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shboard" sheetId="2" state="visible" r:id="rId2"/>
    <sheet name="Raw_Data" sheetId="3" state="visible" r:id="rId3"/>
    <sheet name="Lookups" sheetId="4" state="visible" r:id="rId4"/>
    <sheet name="Clean_Model" sheetId="5" state="visible" r:id="rId5"/>
    <sheet name="Advanced_Formulas" sheetId="6" state="visible" r:id="rId6"/>
  </sheets>
  <definedNames>
    <definedName name="_xlnm._FilterDatabase" localSheetId="2" hidden="1">'Raw_Data'!$A$1:$M$1201</definedName>
    <definedName name="_xlnm._FilterDatabase" localSheetId="4" hidden="1">'Clean_Model'!$A$1:$Y$1201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yyyy-mm-dd"/>
    <numFmt numFmtId="166" formatCode="DD-MMM-YYYY"/>
    <numFmt numFmtId="167" formatCode="₹#,##0.00"/>
    <numFmt numFmtId="168" formatCode="₹#,##0"/>
    <numFmt numFmtId="169" formatCode="0.0%;[Red]-0.0%"/>
    <numFmt numFmtId="170" formatCode="0.0"/>
    <numFmt numFmtId="171" formatCode="MMM-YY"/>
  </numFmts>
  <fonts count="20">
    <font>
      <name val="Calibri"/>
      <family val="2"/>
      <color theme="1"/>
      <sz val="11"/>
      <scheme val="minor"/>
    </font>
    <font>
      <name val="Calibri"/>
      <b val="1"/>
      <color rgb="001B3A4B"/>
      <sz val="18"/>
    </font>
    <font>
      <name val="Calibri"/>
      <i val="1"/>
      <color rgb="0064748B"/>
      <sz val="11"/>
    </font>
    <font>
      <name val="Calibri"/>
      <color rgb="000D7377"/>
      <sz val="10"/>
    </font>
    <font>
      <name val="Calibri"/>
      <b val="1"/>
      <color rgb="000D7377"/>
      <sz val="13"/>
    </font>
    <font>
      <name val="Calibri"/>
      <b val="1"/>
      <color rgb="000F172A"/>
      <sz val="10"/>
    </font>
    <font>
      <name val="Calibri"/>
      <sz val="10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color rgb="0064748B"/>
      <sz val="9"/>
    </font>
    <font>
      <name val="Calibri"/>
      <i val="1"/>
      <color rgb="0064748B"/>
      <sz val="9"/>
    </font>
    <font>
      <b val="1"/>
    </font>
    <font>
      <name val="Calibri"/>
      <b val="1"/>
      <color rgb="000F172A"/>
      <sz val="11"/>
    </font>
    <font>
      <name val="Consolas"/>
      <color rgb="001E3A5F"/>
      <sz val="9"/>
    </font>
    <font>
      <i val="1"/>
      <color rgb="0064748B"/>
      <sz val="9"/>
    </font>
    <font>
      <name val="Calibri"/>
      <b val="1"/>
      <color rgb="00FFFFFF"/>
      <sz val="22"/>
    </font>
    <font>
      <name val="Calibri"/>
      <color rgb="00FFFFFF"/>
      <sz val="10"/>
    </font>
    <font>
      <name val="Calibri"/>
      <b val="1"/>
      <color rgb="0064748B"/>
      <sz val="10"/>
    </font>
    <font>
      <name val="Calibri"/>
      <b val="1"/>
      <color rgb="000F172A"/>
      <sz val="16"/>
    </font>
    <font>
      <name val="Calibri"/>
      <i val="1"/>
      <color rgb="0064748B"/>
      <sz val="8"/>
    </font>
  </fonts>
  <fills count="8">
    <fill>
      <patternFill/>
    </fill>
    <fill>
      <patternFill patternType="gray125"/>
    </fill>
    <fill>
      <patternFill patternType="solid">
        <fgColor rgb="001B3A4B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0D7377"/>
      </patternFill>
    </fill>
    <fill>
      <patternFill patternType="solid">
        <fgColor rgb="00F5F7FA"/>
      </patternFill>
    </fill>
    <fill>
      <patternFill patternType="solid">
        <fgColor rgb="00FFFFFF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D7377"/>
      </left>
      <right style="medium">
        <color rgb="000D7377"/>
      </right>
      <top style="medium">
        <color rgb="000D7377"/>
      </top>
      <bottom style="medium">
        <color rgb="000D7377"/>
      </bottom>
    </border>
    <border>
      <left/>
      <right/>
      <top style="medium">
        <color rgb="000D7377"/>
      </top>
      <bottom/>
      <diagonal/>
    </border>
    <border>
      <left style="medium">
        <color rgb="000D7377"/>
      </left>
      <right/>
      <top/>
      <bottom/>
      <diagonal/>
    </border>
    <border>
      <left/>
      <right style="medium">
        <color rgb="000D7377"/>
      </right>
      <top style="medium">
        <color rgb="000D7377"/>
      </top>
      <bottom/>
      <diagonal/>
    </border>
    <border>
      <left/>
      <right style="medium">
        <color rgb="000D7377"/>
      </right>
      <top/>
      <bottom/>
      <diagonal/>
    </border>
    <border>
      <left style="medium">
        <color rgb="000D7377"/>
      </left>
      <right/>
      <top/>
      <bottom style="medium">
        <color rgb="000D7377"/>
      </bottom>
      <diagonal/>
    </border>
    <border>
      <left/>
      <right style="medium">
        <color rgb="000D7377"/>
      </right>
      <top/>
      <bottom style="medium">
        <color rgb="000D7377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5" borderId="0" pivotButton="0" quotePrefix="0" xfId="0"/>
    <xf numFmtId="0" fontId="0" fillId="5" borderId="0" pivotButton="0" quotePrefix="0" xfId="0"/>
    <xf numFmtId="0" fontId="17" fillId="6" borderId="0" pivotButton="0" quotePrefix="0" xfId="0"/>
    <xf numFmtId="0" fontId="8" fillId="2" borderId="1" applyAlignment="1" pivotButton="0" quotePrefix="0" xfId="0">
      <alignment horizontal="center" vertical="center" wrapText="1"/>
    </xf>
    <xf numFmtId="168" fontId="18" fillId="7" borderId="2" applyAlignment="1" pivotButton="0" quotePrefix="0" xfId="0">
      <alignment horizontal="center" vertical="center"/>
    </xf>
    <xf numFmtId="0" fontId="0" fillId="7" borderId="2" pivotButton="0" quotePrefix="0" xfId="0"/>
    <xf numFmtId="164" fontId="18" fillId="7" borderId="2" applyAlignment="1" pivotButton="0" quotePrefix="0" xfId="0">
      <alignment horizontal="center" vertical="center"/>
    </xf>
    <xf numFmtId="3" fontId="18" fillId="7" borderId="2" applyAlignment="1" pivotButton="0" quotePrefix="0" xfId="0">
      <alignment horizontal="center" vertical="center"/>
    </xf>
    <xf numFmtId="168" fontId="0" fillId="0" borderId="0" pivotButton="0" quotePrefix="0" xfId="0"/>
    <xf numFmtId="171" fontId="0" fillId="0" borderId="0" pivotButton="0" quotePrefix="0" xfId="0"/>
    <xf numFmtId="0" fontId="19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4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6" fillId="0" borderId="1" pivotButton="0" quotePrefix="0" xfId="0"/>
    <xf numFmtId="164" fontId="6" fillId="0" borderId="1" pivotButton="0" quotePrefix="0" xfId="0"/>
    <xf numFmtId="0" fontId="9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0" fontId="10" fillId="0" borderId="0" pivotButton="0" quotePrefix="0" xfId="0"/>
    <xf numFmtId="0" fontId="11" fillId="3" borderId="1" pivotButton="0" quotePrefix="0" xfId="0"/>
    <xf numFmtId="168" fontId="0" fillId="3" borderId="1" pivotButton="0" quotePrefix="0" xfId="0"/>
    <xf numFmtId="0" fontId="5" fillId="0" borderId="1" pivotButton="0" quotePrefix="0" xfId="0"/>
    <xf numFmtId="168" fontId="12" fillId="4" borderId="1" pivotButton="0" quotePrefix="0" xfId="0"/>
    <xf numFmtId="0" fontId="13" fillId="0" borderId="1" pivotButton="0" quotePrefix="0" xfId="0"/>
    <xf numFmtId="3" fontId="12" fillId="4" borderId="1" pivotButton="0" quotePrefix="0" xfId="0"/>
    <xf numFmtId="0" fontId="12" fillId="4" borderId="1" pivotButton="0" quotePrefix="0" xfId="0"/>
    <xf numFmtId="164" fontId="12" fillId="4" borderId="1" pivotButton="0" quotePrefix="0" xfId="0"/>
    <xf numFmtId="166" fontId="12" fillId="4" borderId="1" pivotButton="0" quotePrefix="0" xfId="0"/>
    <xf numFmtId="170" fontId="12" fillId="4" borderId="1" pivotButton="0" quotePrefix="0" xfId="0"/>
    <xf numFmtId="169" fontId="12" fillId="4" borderId="1" pivotButton="0" quotePrefix="0" xfId="0"/>
    <xf numFmtId="0" fontId="8" fillId="2" borderId="0" pivotButton="0" quotePrefix="0" xfId="0"/>
    <xf numFmtId="0" fontId="0" fillId="0" borderId="1" pivotButton="0" quotePrefix="0" xfId="0"/>
    <xf numFmtId="168" fontId="0" fillId="0" borderId="1" pivotButton="0" quotePrefix="0" xfId="0"/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3" fillId="4" borderId="1" pivotButton="0" quotePrefix="0" xfId="0"/>
  </cellXfs>
  <cellStyles count="1">
    <cellStyle name="Normal" xfId="0" builtinId="0" hidden="0"/>
  </cellStyles>
  <dxfs count="6">
    <dxf>
      <font>
        <name val="Calibri"/>
        <b val="1"/>
        <color rgb="001B7A4E"/>
        <sz val="16"/>
      </font>
      <fill>
        <patternFill patternType="solid">
          <fgColor rgb="00D1FAE5"/>
        </patternFill>
      </fill>
    </dxf>
    <dxf>
      <font>
        <name val="Calibri"/>
        <b val="1"/>
        <color rgb="00B91C1C"/>
        <sz val="16"/>
      </font>
      <fill>
        <patternFill patternType="solid">
          <fgColor rgb="00FEE2E2"/>
        </patternFill>
      </fill>
    </dxf>
    <dxf>
      <font>
        <b val="1"/>
        <color rgb="001B7A4E"/>
      </font>
      <fill>
        <patternFill patternType="solid">
          <fgColor rgb="00D1FAE5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'Dashboard'!N5</f>
            </strRef>
          </tx>
          <spPr>
            <a:ln>
              <a:prstDash val="solid"/>
            </a:ln>
          </spPr>
          <cat>
            <numRef>
              <f>'Dashboard'!$M$6:$M$10</f>
            </numRef>
          </cat>
          <val>
            <numRef>
              <f>'Dashboard'!$N$6:$N$10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'Dashboard'!N12</f>
            </strRef>
          </tx>
          <spPr>
            <a:ln>
              <a:prstDash val="solid"/>
            </a:ln>
          </spPr>
          <cat>
            <numRef>
              <f>'Dashboard'!$M$13:$M$17</f>
            </numRef>
          </cat>
          <val>
            <numRef>
              <f>'Dashboard'!$N$13:$N$17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'Dashboard'!N20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'Dashboard'!$M$21:$M$44</f>
            </numRef>
          </cat>
          <val>
            <numRef>
              <f>'Dashboard'!$N$21:$N$44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Segment Mix (Revenue)</a:t>
            </a:r>
          </a:p>
        </rich>
      </tx>
    </title>
    <plotArea>
      <pieChart>
        <varyColors val="1"/>
        <ser>
          <idx val="0"/>
          <order val="0"/>
          <tx>
            <strRef>
              <f>'Dashboard'!N46</f>
            </strRef>
          </tx>
          <spPr>
            <a:ln>
              <a:prstDash val="solid"/>
            </a:ln>
          </spPr>
          <cat>
            <numRef>
              <f>'Dashboard'!$M$47:$M$50</f>
            </numRef>
          </cat>
          <val>
            <numRef>
              <f>'Dashboard'!$N$47:$N$50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24</row>
      <rowOff>0</rowOff>
    </from>
    <ext cx="36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2" ht="28" customHeight="1">
      <c r="B2" s="1" t="inlineStr">
        <is>
          <t>Sales Advanced Excel — Portfolio Project</t>
        </is>
      </c>
    </row>
    <row r="3">
      <c r="B3" s="2" t="inlineStr">
        <is>
          <t>Nishant Tyagi  ·  Delhi  ·  MIS / Data Analyst track  ·  GitHub: nishanttyagi28</t>
        </is>
      </c>
    </row>
    <row r="4">
      <c r="B4" s="3" t="inlineStr">
        <is>
          <t>Open in Microsoft Excel (desktop or Excel 365). Formulas recalculate live.</t>
        </is>
      </c>
    </row>
    <row r="6">
      <c r="B6" s="4" t="inlineStr">
        <is>
          <t>Sheet Map</t>
        </is>
      </c>
    </row>
    <row r="7">
      <c r="B7" s="5" t="inlineStr">
        <is>
          <t>Raw_Data</t>
        </is>
      </c>
      <c r="C7" s="6" t="inlineStr">
        <is>
          <t>1,200 synthetic sales transactions (2024–2025). Source table — values only.</t>
        </is>
      </c>
    </row>
    <row r="8">
      <c r="B8" s="5" t="inlineStr">
        <is>
          <t>Lookups</t>
        </is>
      </c>
      <c r="C8" s="6" t="inlineStr">
        <is>
          <t>Dimension tables: Region→Manager, Category→Target Margin, Segment→Priority.</t>
        </is>
      </c>
    </row>
    <row r="9">
      <c r="B9" s="5" t="inlineStr">
        <is>
          <t>Clean_Model</t>
        </is>
      </c>
      <c r="C9" s="6" t="inlineStr">
        <is>
          <t>Derived columns with REAL formulas (Year, Month, Margin %, Net, XLOOKUP Manager, flags).</t>
        </is>
      </c>
    </row>
    <row r="10">
      <c r="B10" s="5" t="inlineStr">
        <is>
          <t>Advanced_Formulas</t>
        </is>
      </c>
      <c r="C10" s="6" t="inlineStr">
        <is>
          <t>Interview showcase: SUMIFS, COUNTIFS, AVERAGEIFS, INDEX/MATCH, XLOOKUP, IFS, TEXT, EOMONTH, RANK, SUMPRODUCT, TEXTJOIN, running totals, YoY.</t>
        </is>
      </c>
    </row>
    <row r="11">
      <c r="B11" s="5" t="inlineStr">
        <is>
          <t>Dashboard</t>
        </is>
      </c>
      <c r="C11" s="6" t="inlineStr">
        <is>
          <t>Executive KPIs + charts (Region, Category, Monthly trend, Segment mix). ₹ INR formats.</t>
        </is>
      </c>
    </row>
    <row r="13">
      <c r="B13" s="4" t="inlineStr">
        <is>
          <t>How to demo (interview)</t>
        </is>
      </c>
    </row>
    <row r="14">
      <c r="B14" s="5" t="inlineStr">
        <is>
          <t>1. Story</t>
        </is>
      </c>
      <c r="C14" s="6" t="inlineStr">
        <is>
          <t>Start on Dashboard → point to KPIs → drill into charts → jump to Advanced_Formulas to prove formula fluency.</t>
        </is>
      </c>
    </row>
    <row r="15">
      <c r="B15" s="5" t="inlineStr">
        <is>
          <t>2. Lookups</t>
        </is>
      </c>
      <c r="C15" s="6" t="inlineStr">
        <is>
          <t>Show Clean_Model!RegionManager = XLOOKUP from Lookups (fallback INDEX/MATCH noted).</t>
        </is>
      </c>
    </row>
    <row r="16">
      <c r="B16" s="5" t="inlineStr">
        <is>
          <t>3. Conditionals</t>
        </is>
      </c>
      <c r="C16" s="6" t="inlineStr">
        <is>
          <t>Margin % conditional formatting: green ≥ target, red below (on Clean_Model &amp; Dashboard).</t>
        </is>
      </c>
    </row>
    <row r="17">
      <c r="B17" s="5" t="inlineStr">
        <is>
          <t>4. IFS / flags</t>
        </is>
      </c>
      <c r="C17" s="6" t="inlineStr">
        <is>
          <t>High-value / loss / high-discount flags driven by nested IF / IFS.</t>
        </is>
      </c>
    </row>
    <row r="18">
      <c r="B18" s="5" t="inlineStr">
        <is>
          <t>5. Excel 365</t>
        </is>
      </c>
      <c r="C18" s="6" t="inlineStr">
        <is>
          <t>FILTER / UNIQUE / SORT blocks are optional dynamic-array demos — open in Excel 365 to spill.</t>
        </is>
      </c>
    </row>
    <row r="20">
      <c r="B20" s="4" t="inlineStr">
        <is>
          <t>Talking points</t>
        </is>
      </c>
    </row>
    <row r="21">
      <c r="B21" s="5" t="inlineStr">
        <is>
          <t>Data model</t>
        </is>
      </c>
      <c r="C21" s="6" t="inlineStr">
        <is>
          <t>Star-style: fact (Raw_Data) + dims (Lookups) → Clean_Model → Dashboard aggregates.</t>
        </is>
      </c>
    </row>
    <row r="22">
      <c r="B22" s="5" t="inlineStr">
        <is>
          <t>Why formulas</t>
        </is>
      </c>
      <c r="C22" s="6" t="inlineStr">
        <is>
          <t>Every derived metric is a cell formula so interviewers can audit / change inputs.</t>
        </is>
      </c>
    </row>
    <row r="23">
      <c r="B23" s="5" t="inlineStr">
        <is>
          <t>Currency</t>
        </is>
      </c>
      <c r="C23" s="6" t="inlineStr">
        <is>
          <t>₹ Indian Rupee formats — tailored for India portfolio / local hiring panels.</t>
        </is>
      </c>
    </row>
    <row r="24">
      <c r="B24" s="5" t="inlineStr">
        <is>
          <t>Scale</t>
        </is>
      </c>
      <c r="C24" s="6" t="inlineStr">
        <is>
          <t>1,200 rows is interview-friendly (fast open) while showing multi-criteria aggregations.</t>
        </is>
      </c>
    </row>
    <row r="26">
      <c r="B26" s="5" t="inlineStr">
        <is>
          <t>Constraints noted</t>
        </is>
      </c>
      <c r="C26" s="6" t="inlineStr">
        <is>
          <t>Built with Python (openpyxl). No Excel Desktop on build machine; formulas are Excel-native.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3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  <col width="14" customWidth="1" min="14" max="14"/>
    <col width="12" customWidth="1" min="15" max="15"/>
  </cols>
  <sheetData>
    <row r="2" ht="36" customHeight="1">
      <c r="B2" s="7" t="inlineStr">
        <is>
          <t>Sales Performance Dashboard</t>
        </is>
      </c>
      <c r="C2" s="8" t="n"/>
      <c r="D2" s="8" t="n"/>
      <c r="E2" s="8" t="n"/>
      <c r="F2" s="8" t="n"/>
      <c r="G2" s="8" t="n"/>
      <c r="H2" s="8" t="n"/>
      <c r="I2" s="8" t="n"/>
      <c r="J2" s="8" t="n"/>
      <c r="K2" s="8" t="n"/>
    </row>
    <row r="3">
      <c r="B3" s="9" t="inlineStr">
        <is>
          <t>Nishant Tyagi  ·  Advanced Excel Portfolio  ·  Currency: ₹ INR  ·  Period: 2024–2025</t>
        </is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</row>
    <row r="5">
      <c r="B5" s="11" t="inlineStr">
        <is>
          <t>Total Revenue</t>
        </is>
      </c>
      <c r="D5" s="11" t="inlineStr">
        <is>
          <t>Total Profit</t>
        </is>
      </c>
      <c r="F5" s="11" t="inlineStr">
        <is>
          <t>Profit Margin %</t>
        </is>
      </c>
      <c r="H5" s="11" t="inlineStr">
        <is>
          <t>Orders</t>
        </is>
      </c>
      <c r="J5" s="11" t="inlineStr">
        <is>
          <t>AOV</t>
        </is>
      </c>
      <c r="M5" s="12" t="inlineStr">
        <is>
          <t>Region</t>
        </is>
      </c>
      <c r="N5" s="12" t="inlineStr">
        <is>
          <t>Revenue</t>
        </is>
      </c>
      <c r="O5" s="12" t="inlineStr">
        <is>
          <t>Profit</t>
        </is>
      </c>
    </row>
    <row r="6" ht="22" customHeight="1">
      <c r="B6" s="13">
        <f>SUM(Clean_Model!O:O)</f>
        <v/>
      </c>
      <c r="C6" s="14" t="n"/>
      <c r="D6" s="13">
        <f>SUM(Clean_Model!Q:Q)</f>
        <v/>
      </c>
      <c r="E6" s="14" t="n"/>
      <c r="F6" s="15">
        <f>IFERROR(SUM(Clean_Model!Q:Q)/SUM(Clean_Model!O:O),0)</f>
        <v/>
      </c>
      <c r="G6" s="14" t="n"/>
      <c r="H6" s="16">
        <f>COUNTA(Clean_Model!A2:A1201)</f>
        <v/>
      </c>
      <c r="I6" s="14" t="n"/>
      <c r="J6" s="13">
        <f>IFERROR(SUM(Clean_Model!O:O)/COUNTA(Clean_Model!A2:A1201),0)</f>
        <v/>
      </c>
      <c r="K6" s="14" t="n"/>
      <c r="M6" t="inlineStr">
        <is>
          <t>North</t>
        </is>
      </c>
      <c r="N6" s="17">
        <f>SUMIF(Clean_Model!F:F,M6,Clean_Model!O:O)</f>
        <v/>
      </c>
      <c r="O6" s="17">
        <f>SUMIF(Clean_Model!F:F,M6,Clean_Model!Q:Q)</f>
        <v/>
      </c>
    </row>
    <row r="7" ht="22" customHeight="1"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M7" t="inlineStr">
        <is>
          <t>South</t>
        </is>
      </c>
      <c r="N7" s="17">
        <f>SUMIF(Clean_Model!F:F,M7,Clean_Model!O:O)</f>
        <v/>
      </c>
      <c r="O7" s="17">
        <f>SUMIF(Clean_Model!F:F,M7,Clean_Model!Q:Q)</f>
        <v/>
      </c>
    </row>
    <row r="8">
      <c r="M8" t="inlineStr">
        <is>
          <t>East</t>
        </is>
      </c>
      <c r="N8" s="17">
        <f>SUMIF(Clean_Model!F:F,M8,Clean_Model!O:O)</f>
        <v/>
      </c>
      <c r="O8" s="17">
        <f>SUMIF(Clean_Model!F:F,M8,Clean_Model!Q:Q)</f>
        <v/>
      </c>
    </row>
    <row r="9">
      <c r="M9" t="inlineStr">
        <is>
          <t>West</t>
        </is>
      </c>
      <c r="N9" s="17">
        <f>SUMIF(Clean_Model!F:F,M9,Clean_Model!O:O)</f>
        <v/>
      </c>
      <c r="O9" s="17">
        <f>SUMIF(Clean_Model!F:F,M9,Clean_Model!Q:Q)</f>
        <v/>
      </c>
    </row>
    <row r="10">
      <c r="M10" t="inlineStr">
        <is>
          <t>Central</t>
        </is>
      </c>
      <c r="N10" s="17">
        <f>SUMIF(Clean_Model!F:F,M10,Clean_Model!O:O)</f>
        <v/>
      </c>
      <c r="O10" s="17">
        <f>SUMIF(Clean_Model!F:F,M10,Clean_Model!Q:Q)</f>
        <v/>
      </c>
    </row>
    <row r="12">
      <c r="M12" s="12" t="inlineStr">
        <is>
          <t>Category</t>
        </is>
      </c>
      <c r="N12" s="12" t="inlineStr">
        <is>
          <t>Revenue</t>
        </is>
      </c>
    </row>
    <row r="13">
      <c r="M13" t="inlineStr">
        <is>
          <t>Electronics</t>
        </is>
      </c>
      <c r="N13" s="17">
        <f>SUMIF(Clean_Model!G:G,M13,Clean_Model!O:O)</f>
        <v/>
      </c>
    </row>
    <row r="14">
      <c r="M14" t="inlineStr">
        <is>
          <t>Furniture</t>
        </is>
      </c>
      <c r="N14" s="17">
        <f>SUMIF(Clean_Model!G:G,M14,Clean_Model!O:O)</f>
        <v/>
      </c>
    </row>
    <row r="15">
      <c r="M15" t="inlineStr">
        <is>
          <t>Office Supplies</t>
        </is>
      </c>
      <c r="N15" s="17">
        <f>SUMIF(Clean_Model!G:G,M15,Clean_Model!O:O)</f>
        <v/>
      </c>
    </row>
    <row r="16">
      <c r="M16" t="inlineStr">
        <is>
          <t>Apparel</t>
        </is>
      </c>
      <c r="N16" s="17">
        <f>SUMIF(Clean_Model!G:G,M16,Clean_Model!O:O)</f>
        <v/>
      </c>
    </row>
    <row r="17">
      <c r="M17" t="inlineStr">
        <is>
          <t>Home &amp; Kitchen</t>
        </is>
      </c>
      <c r="N17" s="17">
        <f>SUMIF(Clean_Model!G:G,M17,Clean_Model!O:O)</f>
        <v/>
      </c>
    </row>
    <row r="20">
      <c r="M20" s="12" t="inlineStr">
        <is>
          <t>Period</t>
        </is>
      </c>
      <c r="N20" s="12" t="inlineStr">
        <is>
          <t>Revenue</t>
        </is>
      </c>
    </row>
    <row r="21">
      <c r="M21" s="18" t="n">
        <v>45292</v>
      </c>
      <c r="N21" s="17">
        <f>SUMIFS(Clean_Model!O:O,Clean_Model!C:C,2024,Clean_Model!D:D,1)</f>
        <v/>
      </c>
    </row>
    <row r="22">
      <c r="M22" s="18" t="n">
        <v>45323</v>
      </c>
      <c r="N22" s="17">
        <f>SUMIFS(Clean_Model!O:O,Clean_Model!C:C,2024,Clean_Model!D:D,2)</f>
        <v/>
      </c>
    </row>
    <row r="23">
      <c r="M23" s="18" t="n">
        <v>45352</v>
      </c>
      <c r="N23" s="17">
        <f>SUMIFS(Clean_Model!O:O,Clean_Model!C:C,2024,Clean_Model!D:D,3)</f>
        <v/>
      </c>
    </row>
    <row r="24">
      <c r="M24" s="18" t="n">
        <v>45383</v>
      </c>
      <c r="N24" s="17">
        <f>SUMIFS(Clean_Model!O:O,Clean_Model!C:C,2024,Clean_Model!D:D,4)</f>
        <v/>
      </c>
    </row>
    <row r="25">
      <c r="M25" s="18" t="n">
        <v>45413</v>
      </c>
      <c r="N25" s="17">
        <f>SUMIFS(Clean_Model!O:O,Clean_Model!C:C,2024,Clean_Model!D:D,5)</f>
        <v/>
      </c>
    </row>
    <row r="26">
      <c r="M26" s="18" t="n">
        <v>45444</v>
      </c>
      <c r="N26" s="17">
        <f>SUMIFS(Clean_Model!O:O,Clean_Model!C:C,2024,Clean_Model!D:D,6)</f>
        <v/>
      </c>
    </row>
    <row r="27">
      <c r="M27" s="18" t="n">
        <v>45474</v>
      </c>
      <c r="N27" s="17">
        <f>SUMIFS(Clean_Model!O:O,Clean_Model!C:C,2024,Clean_Model!D:D,7)</f>
        <v/>
      </c>
    </row>
    <row r="28">
      <c r="M28" s="18" t="n">
        <v>45505</v>
      </c>
      <c r="N28" s="17">
        <f>SUMIFS(Clean_Model!O:O,Clean_Model!C:C,2024,Clean_Model!D:D,8)</f>
        <v/>
      </c>
    </row>
    <row r="29">
      <c r="M29" s="18" t="n">
        <v>45536</v>
      </c>
      <c r="N29" s="17">
        <f>SUMIFS(Clean_Model!O:O,Clean_Model!C:C,2024,Clean_Model!D:D,9)</f>
        <v/>
      </c>
    </row>
    <row r="30">
      <c r="M30" s="18" t="n">
        <v>45566</v>
      </c>
      <c r="N30" s="17">
        <f>SUMIFS(Clean_Model!O:O,Clean_Model!C:C,2024,Clean_Model!D:D,10)</f>
        <v/>
      </c>
    </row>
    <row r="31">
      <c r="M31" s="18" t="n">
        <v>45597</v>
      </c>
      <c r="N31" s="17">
        <f>SUMIFS(Clean_Model!O:O,Clean_Model!C:C,2024,Clean_Model!D:D,11)</f>
        <v/>
      </c>
    </row>
    <row r="32">
      <c r="M32" s="18" t="n">
        <v>45627</v>
      </c>
      <c r="N32" s="17">
        <f>SUMIFS(Clean_Model!O:O,Clean_Model!C:C,2024,Clean_Model!D:D,12)</f>
        <v/>
      </c>
    </row>
    <row r="33">
      <c r="M33" s="18" t="n">
        <v>45658</v>
      </c>
      <c r="N33" s="17">
        <f>SUMIFS(Clean_Model!O:O,Clean_Model!C:C,2025,Clean_Model!D:D,1)</f>
        <v/>
      </c>
    </row>
    <row r="34">
      <c r="M34" s="18" t="n">
        <v>45689</v>
      </c>
      <c r="N34" s="17">
        <f>SUMIFS(Clean_Model!O:O,Clean_Model!C:C,2025,Clean_Model!D:D,2)</f>
        <v/>
      </c>
    </row>
    <row r="35">
      <c r="B35" s="19" t="inlineStr">
        <is>
          <t>Source: Clean_Model formulas ← Raw_Data  ·  Change parameters on Advanced_Formulas sheet  ·  Chart data tables in columns M–O</t>
        </is>
      </c>
      <c r="M35" s="18" t="n">
        <v>45717</v>
      </c>
      <c r="N35" s="17">
        <f>SUMIFS(Clean_Model!O:O,Clean_Model!C:C,2025,Clean_Model!D:D,3)</f>
        <v/>
      </c>
    </row>
    <row r="36">
      <c r="M36" s="18" t="n">
        <v>45748</v>
      </c>
      <c r="N36" s="17">
        <f>SUMIFS(Clean_Model!O:O,Clean_Model!C:C,2025,Clean_Model!D:D,4)</f>
        <v/>
      </c>
    </row>
    <row r="37">
      <c r="M37" s="18" t="n">
        <v>45778</v>
      </c>
      <c r="N37" s="17">
        <f>SUMIFS(Clean_Model!O:O,Clean_Model!C:C,2025,Clean_Model!D:D,5)</f>
        <v/>
      </c>
    </row>
    <row r="38">
      <c r="M38" s="18" t="n">
        <v>45809</v>
      </c>
      <c r="N38" s="17">
        <f>SUMIFS(Clean_Model!O:O,Clean_Model!C:C,2025,Clean_Model!D:D,6)</f>
        <v/>
      </c>
    </row>
    <row r="39">
      <c r="M39" s="18" t="n">
        <v>45839</v>
      </c>
      <c r="N39" s="17">
        <f>SUMIFS(Clean_Model!O:O,Clean_Model!C:C,2025,Clean_Model!D:D,7)</f>
        <v/>
      </c>
    </row>
    <row r="40">
      <c r="M40" s="18" t="n">
        <v>45870</v>
      </c>
      <c r="N40" s="17">
        <f>SUMIFS(Clean_Model!O:O,Clean_Model!C:C,2025,Clean_Model!D:D,8)</f>
        <v/>
      </c>
    </row>
    <row r="41">
      <c r="M41" s="18" t="n">
        <v>45901</v>
      </c>
      <c r="N41" s="17">
        <f>SUMIFS(Clean_Model!O:O,Clean_Model!C:C,2025,Clean_Model!D:D,9)</f>
        <v/>
      </c>
    </row>
    <row r="42">
      <c r="M42" s="18" t="n">
        <v>45931</v>
      </c>
      <c r="N42" s="17">
        <f>SUMIFS(Clean_Model!O:O,Clean_Model!C:C,2025,Clean_Model!D:D,10)</f>
        <v/>
      </c>
    </row>
    <row r="43">
      <c r="M43" s="18" t="n">
        <v>45962</v>
      </c>
      <c r="N43" s="17">
        <f>SUMIFS(Clean_Model!O:O,Clean_Model!C:C,2025,Clean_Model!D:D,11)</f>
        <v/>
      </c>
    </row>
    <row r="44">
      <c r="M44" s="18" t="n">
        <v>45992</v>
      </c>
      <c r="N44" s="17">
        <f>SUMIFS(Clean_Model!O:O,Clean_Model!C:C,2025,Clean_Model!D:D,12)</f>
        <v/>
      </c>
    </row>
    <row r="46">
      <c r="M46" s="12" t="inlineStr">
        <is>
          <t>Segment</t>
        </is>
      </c>
      <c r="N46" s="12" t="inlineStr">
        <is>
          <t>Revenue</t>
        </is>
      </c>
    </row>
    <row r="47">
      <c r="M47" t="inlineStr">
        <is>
          <t>Enterprise</t>
        </is>
      </c>
      <c r="N47" s="17">
        <f>SUMIF(Clean_Model!I:I,M47,Clean_Model!O:O)</f>
        <v/>
      </c>
    </row>
    <row r="48">
      <c r="M48" t="inlineStr">
        <is>
          <t>SMB</t>
        </is>
      </c>
      <c r="N48" s="17">
        <f>SUMIF(Clean_Model!I:I,M48,Clean_Model!O:O)</f>
        <v/>
      </c>
    </row>
    <row r="49">
      <c r="M49" t="inlineStr">
        <is>
          <t>Consumer</t>
        </is>
      </c>
      <c r="N49" s="17">
        <f>SUMIF(Clean_Model!I:I,M49,Clean_Model!O:O)</f>
        <v/>
      </c>
    </row>
    <row r="50">
      <c r="M50" t="inlineStr">
        <is>
          <t>Government</t>
        </is>
      </c>
      <c r="N50" s="17">
        <f>SUMIF(Clean_Model!I:I,M50,Clean_Model!O:O)</f>
        <v/>
      </c>
    </row>
  </sheetData>
  <mergeCells count="12">
    <mergeCell ref="J5:K5"/>
    <mergeCell ref="H6:I7"/>
    <mergeCell ref="B5:C5"/>
    <mergeCell ref="J6:K7"/>
    <mergeCell ref="F5:G5"/>
    <mergeCell ref="D5:E5"/>
    <mergeCell ref="D6:E7"/>
    <mergeCell ref="B6:C7"/>
    <mergeCell ref="H5:I5"/>
    <mergeCell ref="F6:G7"/>
    <mergeCell ref="B2:K2"/>
    <mergeCell ref="B3:K3"/>
  </mergeCells>
  <conditionalFormatting sqref="F6">
    <cfRule type="cellIs" priority="1" operator="greaterThanOrEqual" dxfId="0">
      <formula>0.2</formula>
    </cfRule>
    <cfRule type="cellIs" priority="2" operator="lessThan" dxfId="1">
      <formula>0.15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0" customWidth="1" min="3" max="3"/>
    <col width="16" customWidth="1" min="4" max="4"/>
    <col width="18" customWidth="1" min="5" max="5"/>
    <col width="15" customWidth="1" min="6" max="6"/>
    <col width="18" customWidth="1" min="7" max="7"/>
    <col width="10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</cols>
  <sheetData>
    <row r="1">
      <c r="A1" s="12" t="inlineStr">
        <is>
          <t>OrderID</t>
        </is>
      </c>
      <c r="B1" s="12" t="inlineStr">
        <is>
          <t>OrderDate</t>
        </is>
      </c>
      <c r="C1" s="12" t="inlineStr">
        <is>
          <t>Region</t>
        </is>
      </c>
      <c r="D1" s="12" t="inlineStr">
        <is>
          <t>ProductCategory</t>
        </is>
      </c>
      <c r="E1" s="12" t="inlineStr">
        <is>
          <t>Product</t>
        </is>
      </c>
      <c r="F1" s="12" t="inlineStr">
        <is>
          <t>CustomerSegment</t>
        </is>
      </c>
      <c r="G1" s="12" t="inlineStr">
        <is>
          <t>Customer</t>
        </is>
      </c>
      <c r="H1" s="12" t="inlineStr">
        <is>
          <t>Quantity</t>
        </is>
      </c>
      <c r="I1" s="12" t="inlineStr">
        <is>
          <t>UnitPrice</t>
        </is>
      </c>
      <c r="J1" s="12" t="inlineStr">
        <is>
          <t>Discount</t>
        </is>
      </c>
      <c r="K1" s="12" t="inlineStr">
        <is>
          <t>Revenue</t>
        </is>
      </c>
      <c r="L1" s="12" t="inlineStr">
        <is>
          <t>Cost</t>
        </is>
      </c>
      <c r="M1" s="12" t="inlineStr">
        <is>
          <t>Profit</t>
        </is>
      </c>
    </row>
    <row r="2">
      <c r="A2" s="20" t="inlineStr">
        <is>
          <t>ORD-20240001</t>
        </is>
      </c>
      <c r="B2" s="21" t="n">
        <v>45292</v>
      </c>
      <c r="C2" s="20" t="inlineStr">
        <is>
          <t>North</t>
        </is>
      </c>
      <c r="D2" s="20" t="inlineStr">
        <is>
          <t>Apparel</t>
        </is>
      </c>
      <c r="E2" s="20" t="inlineStr">
        <is>
          <t>Safety Vest</t>
        </is>
      </c>
      <c r="F2" s="20" t="inlineStr">
        <is>
          <t>Government</t>
        </is>
      </c>
      <c r="G2" s="20" t="inlineStr">
        <is>
          <t>Delhi NDMC</t>
        </is>
      </c>
      <c r="H2" s="20" t="n">
        <v>4</v>
      </c>
      <c r="I2" s="22" t="n">
        <v>2195.17</v>
      </c>
      <c r="J2" s="23" t="n">
        <v>0</v>
      </c>
      <c r="K2" s="24" t="n">
        <v>8780.68</v>
      </c>
      <c r="L2" s="24" t="n">
        <v>5954.53</v>
      </c>
      <c r="M2" s="24" t="n">
        <v>2826.15</v>
      </c>
    </row>
    <row r="3">
      <c r="A3" s="20" t="inlineStr">
        <is>
          <t>ORD-20240002</t>
        </is>
      </c>
      <c r="B3" s="21" t="n">
        <v>45292</v>
      </c>
      <c r="C3" s="20" t="inlineStr">
        <is>
          <t>Central</t>
        </is>
      </c>
      <c r="D3" s="20" t="inlineStr">
        <is>
          <t>Electronics</t>
        </is>
      </c>
      <c r="E3" s="20" t="inlineStr">
        <is>
          <t>Webcam HD</t>
        </is>
      </c>
      <c r="F3" s="20" t="inlineStr">
        <is>
          <t>Government</t>
        </is>
      </c>
      <c r="G3" s="20" t="inlineStr">
        <is>
          <t>MH Education Dept</t>
        </is>
      </c>
      <c r="H3" s="20" t="n">
        <v>10</v>
      </c>
      <c r="I3" s="22" t="n">
        <v>6054.97</v>
      </c>
      <c r="J3" s="23" t="n">
        <v>0.2</v>
      </c>
      <c r="K3" s="24" t="n">
        <v>48439.76</v>
      </c>
      <c r="L3" s="24" t="n">
        <v>46781.72</v>
      </c>
      <c r="M3" s="24" t="n">
        <v>1658.04</v>
      </c>
    </row>
    <row r="4">
      <c r="A4" s="20" t="inlineStr">
        <is>
          <t>ORD-20240003</t>
        </is>
      </c>
      <c r="B4" s="21" t="n">
        <v>45292</v>
      </c>
      <c r="C4" s="20" t="inlineStr">
        <is>
          <t>Central</t>
        </is>
      </c>
      <c r="D4" s="20" t="inlineStr">
        <is>
          <t>Furniture</t>
        </is>
      </c>
      <c r="E4" s="20" t="inlineStr">
        <is>
          <t>Bookshelf Oak</t>
        </is>
      </c>
      <c r="F4" s="20" t="inlineStr">
        <is>
          <t>Enterprise</t>
        </is>
      </c>
      <c r="G4" s="20" t="inlineStr">
        <is>
          <t>Infosys Ltd</t>
        </is>
      </c>
      <c r="H4" s="20" t="n">
        <v>16</v>
      </c>
      <c r="I4" s="22" t="n">
        <v>15497.41</v>
      </c>
      <c r="J4" s="23" t="n">
        <v>0.12</v>
      </c>
      <c r="K4" s="24" t="n">
        <v>218203.53</v>
      </c>
      <c r="L4" s="24" t="n">
        <v>156466.51</v>
      </c>
      <c r="M4" s="24" t="n">
        <v>61737.02</v>
      </c>
    </row>
    <row r="5">
      <c r="A5" s="20" t="inlineStr">
        <is>
          <t>ORD-20240004</t>
        </is>
      </c>
      <c r="B5" s="21" t="n">
        <v>45293</v>
      </c>
      <c r="C5" s="20" t="inlineStr">
        <is>
          <t>North</t>
        </is>
      </c>
      <c r="D5" s="20" t="inlineStr">
        <is>
          <t>Furniture</t>
        </is>
      </c>
      <c r="E5" s="20" t="inlineStr">
        <is>
          <t>Standing Desk</t>
        </is>
      </c>
      <c r="F5" s="20" t="inlineStr">
        <is>
          <t>Government</t>
        </is>
      </c>
      <c r="G5" s="20" t="inlineStr">
        <is>
          <t>Delhi NDMC</t>
        </is>
      </c>
      <c r="H5" s="20" t="n">
        <v>8</v>
      </c>
      <c r="I5" s="22" t="n">
        <v>25515.67</v>
      </c>
      <c r="J5" s="23" t="n">
        <v>0</v>
      </c>
      <c r="K5" s="24" t="n">
        <v>204125.36</v>
      </c>
      <c r="L5" s="24" t="n">
        <v>156916.83</v>
      </c>
      <c r="M5" s="24" t="n">
        <v>47208.53</v>
      </c>
    </row>
    <row r="6">
      <c r="A6" s="20" t="inlineStr">
        <is>
          <t>ORD-20240005</t>
        </is>
      </c>
      <c r="B6" s="21" t="n">
        <v>45295</v>
      </c>
      <c r="C6" s="20" t="inlineStr">
        <is>
          <t>West</t>
        </is>
      </c>
      <c r="D6" s="20" t="inlineStr">
        <is>
          <t>Electronics</t>
        </is>
      </c>
      <c r="E6" s="20" t="inlineStr">
        <is>
          <t>Webcam HD</t>
        </is>
      </c>
      <c r="F6" s="20" t="inlineStr">
        <is>
          <t>Government</t>
        </is>
      </c>
      <c r="G6" s="20" t="inlineStr">
        <is>
          <t>State Health UP</t>
        </is>
      </c>
      <c r="H6" s="20" t="n">
        <v>13</v>
      </c>
      <c r="I6" s="22" t="n">
        <v>71868.94</v>
      </c>
      <c r="J6" s="23" t="n">
        <v>0</v>
      </c>
      <c r="K6" s="24" t="n">
        <v>934296.22</v>
      </c>
      <c r="L6" s="24" t="n">
        <v>629930.17</v>
      </c>
      <c r="M6" s="24" t="n">
        <v>304366.05</v>
      </c>
    </row>
    <row r="7">
      <c r="A7" s="20" t="inlineStr">
        <is>
          <t>ORD-20240006</t>
        </is>
      </c>
      <c r="B7" s="21" t="n">
        <v>45296</v>
      </c>
      <c r="C7" s="20" t="inlineStr">
        <is>
          <t>East</t>
        </is>
      </c>
      <c r="D7" s="20" t="inlineStr">
        <is>
          <t>Home &amp; Kitchen</t>
        </is>
      </c>
      <c r="E7" s="20" t="inlineStr">
        <is>
          <t>Coffee Maker</t>
        </is>
      </c>
      <c r="F7" s="20" t="inlineStr">
        <is>
          <t>Enterprise</t>
        </is>
      </c>
      <c r="G7" s="20" t="inlineStr">
        <is>
          <t>Wipro Tech</t>
        </is>
      </c>
      <c r="H7" s="20" t="n">
        <v>25</v>
      </c>
      <c r="I7" s="22" t="n">
        <v>23497.01</v>
      </c>
      <c r="J7" s="23" t="n">
        <v>0.05</v>
      </c>
      <c r="K7" s="24" t="n">
        <v>558053.99</v>
      </c>
      <c r="L7" s="24" t="n">
        <v>325504.5</v>
      </c>
      <c r="M7" s="24" t="n">
        <v>232549.49</v>
      </c>
    </row>
    <row r="8">
      <c r="A8" s="20" t="inlineStr">
        <is>
          <t>ORD-20240007</t>
        </is>
      </c>
      <c r="B8" s="21" t="n">
        <v>45298</v>
      </c>
      <c r="C8" s="20" t="inlineStr">
        <is>
          <t>South</t>
        </is>
      </c>
      <c r="D8" s="20" t="inlineStr">
        <is>
          <t>Home &amp; Kitchen</t>
        </is>
      </c>
      <c r="E8" s="20" t="inlineStr">
        <is>
          <t>Water Purifier</t>
        </is>
      </c>
      <c r="F8" s="20" t="inlineStr">
        <is>
          <t>Consumer</t>
        </is>
      </c>
      <c r="G8" s="20" t="inlineStr">
        <is>
          <t>Retail Counter</t>
        </is>
      </c>
      <c r="H8" s="20" t="n">
        <v>2</v>
      </c>
      <c r="I8" s="22" t="n">
        <v>26256.12</v>
      </c>
      <c r="J8" s="23" t="n">
        <v>0.15</v>
      </c>
      <c r="K8" s="24" t="n">
        <v>44635.4</v>
      </c>
      <c r="L8" s="24" t="n">
        <v>29576.17</v>
      </c>
      <c r="M8" s="24" t="n">
        <v>15059.23</v>
      </c>
    </row>
    <row r="9">
      <c r="A9" s="20" t="inlineStr">
        <is>
          <t>ORD-20240008</t>
        </is>
      </c>
      <c r="B9" s="21" t="n">
        <v>45299</v>
      </c>
      <c r="C9" s="20" t="inlineStr">
        <is>
          <t>West</t>
        </is>
      </c>
      <c r="D9" s="20" t="inlineStr">
        <is>
          <t>Home &amp; Kitchen</t>
        </is>
      </c>
      <c r="E9" s="20" t="inlineStr">
        <is>
          <t>Air Fryer</t>
        </is>
      </c>
      <c r="F9" s="20" t="inlineStr">
        <is>
          <t>Government</t>
        </is>
      </c>
      <c r="G9" s="20" t="inlineStr">
        <is>
          <t>Railways Zone W</t>
        </is>
      </c>
      <c r="H9" s="20" t="n">
        <v>1</v>
      </c>
      <c r="I9" s="22" t="n">
        <v>21678.23</v>
      </c>
      <c r="J9" s="23" t="n">
        <v>0.05</v>
      </c>
      <c r="K9" s="24" t="n">
        <v>20594.32</v>
      </c>
      <c r="L9" s="24" t="n">
        <v>14899.68</v>
      </c>
      <c r="M9" s="24" t="n">
        <v>5694.64</v>
      </c>
    </row>
    <row r="10">
      <c r="A10" s="20" t="inlineStr">
        <is>
          <t>ORD-20240009</t>
        </is>
      </c>
      <c r="B10" s="21" t="n">
        <v>45300</v>
      </c>
      <c r="C10" s="20" t="inlineStr">
        <is>
          <t>West</t>
        </is>
      </c>
      <c r="D10" s="20" t="inlineStr">
        <is>
          <t>Home &amp; Kitchen</t>
        </is>
      </c>
      <c r="E10" s="20" t="inlineStr">
        <is>
          <t>Vacuum Robot</t>
        </is>
      </c>
      <c r="F10" s="20" t="inlineStr">
        <is>
          <t>SMB</t>
        </is>
      </c>
      <c r="G10" s="20" t="inlineStr">
        <is>
          <t>GreenFarm Agro</t>
        </is>
      </c>
      <c r="H10" s="20" t="n">
        <v>4</v>
      </c>
      <c r="I10" s="22" t="n">
        <v>19852.3</v>
      </c>
      <c r="J10" s="23" t="n">
        <v>0.15</v>
      </c>
      <c r="K10" s="24" t="n">
        <v>67497.82000000001</v>
      </c>
      <c r="L10" s="24" t="n">
        <v>49440.15</v>
      </c>
      <c r="M10" s="24" t="n">
        <v>18057.67</v>
      </c>
    </row>
    <row r="11">
      <c r="A11" s="20" t="inlineStr">
        <is>
          <t>ORD-20240010</t>
        </is>
      </c>
      <c r="B11" s="21" t="n">
        <v>45300</v>
      </c>
      <c r="C11" s="20" t="inlineStr">
        <is>
          <t>Central</t>
        </is>
      </c>
      <c r="D11" s="20" t="inlineStr">
        <is>
          <t>Office Supplies</t>
        </is>
      </c>
      <c r="E11" s="20" t="inlineStr">
        <is>
          <t>Stapler Heavy</t>
        </is>
      </c>
      <c r="F11" s="20" t="inlineStr">
        <is>
          <t>SMB</t>
        </is>
      </c>
      <c r="G11" s="20" t="inlineStr">
        <is>
          <t>Nova Logistics</t>
        </is>
      </c>
      <c r="H11" s="20" t="n">
        <v>16</v>
      </c>
      <c r="I11" s="22" t="n">
        <v>1114.93</v>
      </c>
      <c r="J11" s="23" t="n">
        <v>0.1</v>
      </c>
      <c r="K11" s="24" t="n">
        <v>16054.99</v>
      </c>
      <c r="L11" s="24" t="n">
        <v>11005.6</v>
      </c>
      <c r="M11" s="24" t="n">
        <v>5049.39</v>
      </c>
    </row>
    <row r="12">
      <c r="A12" s="20" t="inlineStr">
        <is>
          <t>ORD-20240011</t>
        </is>
      </c>
      <c r="B12" s="21" t="n">
        <v>45301</v>
      </c>
      <c r="C12" s="20" t="inlineStr">
        <is>
          <t>North</t>
        </is>
      </c>
      <c r="D12" s="20" t="inlineStr">
        <is>
          <t>Apparel</t>
        </is>
      </c>
      <c r="E12" s="20" t="inlineStr">
        <is>
          <t>Formal Blazer</t>
        </is>
      </c>
      <c r="F12" s="20" t="inlineStr">
        <is>
          <t>Government</t>
        </is>
      </c>
      <c r="G12" s="20" t="inlineStr">
        <is>
          <t>State Health UP</t>
        </is>
      </c>
      <c r="H12" s="20" t="n">
        <v>6</v>
      </c>
      <c r="I12" s="22" t="n">
        <v>4701.06</v>
      </c>
      <c r="J12" s="23" t="n">
        <v>0.05</v>
      </c>
      <c r="K12" s="24" t="n">
        <v>26796.04</v>
      </c>
      <c r="L12" s="24" t="n">
        <v>21201.34</v>
      </c>
      <c r="M12" s="24" t="n">
        <v>5594.7</v>
      </c>
    </row>
    <row r="13">
      <c r="A13" s="20" t="inlineStr">
        <is>
          <t>ORD-20240012</t>
        </is>
      </c>
      <c r="B13" s="21" t="n">
        <v>45301</v>
      </c>
      <c r="C13" s="20" t="inlineStr">
        <is>
          <t>West</t>
        </is>
      </c>
      <c r="D13" s="20" t="inlineStr">
        <is>
          <t>Furniture</t>
        </is>
      </c>
      <c r="E13" s="20" t="inlineStr">
        <is>
          <t>Filing Cabinet</t>
        </is>
      </c>
      <c r="F13" s="20" t="inlineStr">
        <is>
          <t>Government</t>
        </is>
      </c>
      <c r="G13" s="20" t="inlineStr">
        <is>
          <t>MH Education Dept</t>
        </is>
      </c>
      <c r="H13" s="20" t="n">
        <v>5</v>
      </c>
      <c r="I13" s="22" t="n">
        <v>36501.59</v>
      </c>
      <c r="J13" s="23" t="n">
        <v>0</v>
      </c>
      <c r="K13" s="24" t="n">
        <v>182507.95</v>
      </c>
      <c r="L13" s="24" t="n">
        <v>120233.87</v>
      </c>
      <c r="M13" s="24" t="n">
        <v>62274.08</v>
      </c>
    </row>
    <row r="14">
      <c r="A14" s="20" t="inlineStr">
        <is>
          <t>ORD-20240013</t>
        </is>
      </c>
      <c r="B14" s="21" t="n">
        <v>45301</v>
      </c>
      <c r="C14" s="20" t="inlineStr">
        <is>
          <t>East</t>
        </is>
      </c>
      <c r="D14" s="20" t="inlineStr">
        <is>
          <t>Home &amp; Kitchen</t>
        </is>
      </c>
      <c r="E14" s="20" t="inlineStr">
        <is>
          <t>Water Purifier</t>
        </is>
      </c>
      <c r="F14" s="20" t="inlineStr">
        <is>
          <t>Consumer</t>
        </is>
      </c>
      <c r="G14" s="20" t="inlineStr">
        <is>
          <t>Online Guest</t>
        </is>
      </c>
      <c r="H14" s="20" t="n">
        <v>4</v>
      </c>
      <c r="I14" s="22" t="n">
        <v>1138.17</v>
      </c>
      <c r="J14" s="23" t="n">
        <v>0</v>
      </c>
      <c r="K14" s="24" t="n">
        <v>4552.68</v>
      </c>
      <c r="L14" s="24" t="n">
        <v>2924.99</v>
      </c>
      <c r="M14" s="24" t="n">
        <v>1627.69</v>
      </c>
    </row>
    <row r="15">
      <c r="A15" s="20" t="inlineStr">
        <is>
          <t>ORD-20240014</t>
        </is>
      </c>
      <c r="B15" s="21" t="n">
        <v>45301</v>
      </c>
      <c r="C15" s="20" t="inlineStr">
        <is>
          <t>East</t>
        </is>
      </c>
      <c r="D15" s="20" t="inlineStr">
        <is>
          <t>Apparel</t>
        </is>
      </c>
      <c r="E15" s="20" t="inlineStr">
        <is>
          <t>Hoodie Soft</t>
        </is>
      </c>
      <c r="F15" s="20" t="inlineStr">
        <is>
          <t>SMB</t>
        </is>
      </c>
      <c r="G15" s="20" t="inlineStr">
        <is>
          <t>Nova Logistics</t>
        </is>
      </c>
      <c r="H15" s="20" t="n">
        <v>1</v>
      </c>
      <c r="I15" s="22" t="n">
        <v>1051.01</v>
      </c>
      <c r="J15" s="23" t="n">
        <v>0.05</v>
      </c>
      <c r="K15" s="24" t="n">
        <v>998.46</v>
      </c>
      <c r="L15" s="24" t="n">
        <v>721.1900000000001</v>
      </c>
      <c r="M15" s="24" t="n">
        <v>277.27</v>
      </c>
    </row>
    <row r="16">
      <c r="A16" s="20" t="inlineStr">
        <is>
          <t>ORD-20240015</t>
        </is>
      </c>
      <c r="B16" s="21" t="n">
        <v>45302</v>
      </c>
      <c r="C16" s="20" t="inlineStr">
        <is>
          <t>South</t>
        </is>
      </c>
      <c r="D16" s="20" t="inlineStr">
        <is>
          <t>Furniture</t>
        </is>
      </c>
      <c r="E16" s="20" t="inlineStr">
        <is>
          <t>Ergo Chair</t>
        </is>
      </c>
      <c r="F16" s="20" t="inlineStr">
        <is>
          <t>Enterprise</t>
        </is>
      </c>
      <c r="G16" s="20" t="inlineStr">
        <is>
          <t>Infosys Ltd</t>
        </is>
      </c>
      <c r="H16" s="20" t="n">
        <v>24</v>
      </c>
      <c r="I16" s="22" t="n">
        <v>14648.66</v>
      </c>
      <c r="J16" s="23" t="n">
        <v>0.15</v>
      </c>
      <c r="K16" s="24" t="n">
        <v>298832.66</v>
      </c>
      <c r="L16" s="24" t="n">
        <v>258725.73</v>
      </c>
      <c r="M16" s="24" t="n">
        <v>40106.93</v>
      </c>
    </row>
    <row r="17">
      <c r="A17" s="20" t="inlineStr">
        <is>
          <t>ORD-20240016</t>
        </is>
      </c>
      <c r="B17" s="21" t="n">
        <v>45303</v>
      </c>
      <c r="C17" s="20" t="inlineStr">
        <is>
          <t>West</t>
        </is>
      </c>
      <c r="D17" s="20" t="inlineStr">
        <is>
          <t>Furniture</t>
        </is>
      </c>
      <c r="E17" s="20" t="inlineStr">
        <is>
          <t>Standing Desk</t>
        </is>
      </c>
      <c r="F17" s="20" t="inlineStr">
        <is>
          <t>Consumer</t>
        </is>
      </c>
      <c r="G17" s="20" t="inlineStr">
        <is>
          <t>Walk-in Mumbai</t>
        </is>
      </c>
      <c r="H17" s="20" t="n">
        <v>10</v>
      </c>
      <c r="I17" s="22" t="n">
        <v>31284.78</v>
      </c>
      <c r="J17" s="23" t="n">
        <v>0.1</v>
      </c>
      <c r="K17" s="24" t="n">
        <v>281563.02</v>
      </c>
      <c r="L17" s="24" t="n">
        <v>240955.4</v>
      </c>
      <c r="M17" s="24" t="n">
        <v>40607.62</v>
      </c>
    </row>
    <row r="18">
      <c r="A18" s="20" t="inlineStr">
        <is>
          <t>ORD-20240017</t>
        </is>
      </c>
      <c r="B18" s="21" t="n">
        <v>45304</v>
      </c>
      <c r="C18" s="20" t="inlineStr">
        <is>
          <t>West</t>
        </is>
      </c>
      <c r="D18" s="20" t="inlineStr">
        <is>
          <t>Furniture</t>
        </is>
      </c>
      <c r="E18" s="20" t="inlineStr">
        <is>
          <t>Conference Table</t>
        </is>
      </c>
      <c r="F18" s="20" t="inlineStr">
        <is>
          <t>Enterprise</t>
        </is>
      </c>
      <c r="G18" s="20" t="inlineStr">
        <is>
          <t>TCS Digital</t>
        </is>
      </c>
      <c r="H18" s="20" t="n">
        <v>16</v>
      </c>
      <c r="I18" s="22" t="n">
        <v>29618.5</v>
      </c>
      <c r="J18" s="23" t="n">
        <v>0</v>
      </c>
      <c r="K18" s="24" t="n">
        <v>473896</v>
      </c>
      <c r="L18" s="24" t="n">
        <v>318223.96</v>
      </c>
      <c r="M18" s="24" t="n">
        <v>155672.04</v>
      </c>
    </row>
    <row r="19">
      <c r="A19" s="20" t="inlineStr">
        <is>
          <t>ORD-20240018</t>
        </is>
      </c>
      <c r="B19" s="21" t="n">
        <v>45304</v>
      </c>
      <c r="C19" s="20" t="inlineStr">
        <is>
          <t>North</t>
        </is>
      </c>
      <c r="D19" s="20" t="inlineStr">
        <is>
          <t>Office Supplies</t>
        </is>
      </c>
      <c r="E19" s="20" t="inlineStr">
        <is>
          <t>A4 Paper Ream</t>
        </is>
      </c>
      <c r="F19" s="20" t="inlineStr">
        <is>
          <t>Government</t>
        </is>
      </c>
      <c r="G19" s="20" t="inlineStr">
        <is>
          <t>Municipal Corp Hyd</t>
        </is>
      </c>
      <c r="H19" s="20" t="n">
        <v>13</v>
      </c>
      <c r="I19" s="22" t="n">
        <v>1954.59</v>
      </c>
      <c r="J19" s="23" t="n">
        <v>0.05</v>
      </c>
      <c r="K19" s="24" t="n">
        <v>24139.19</v>
      </c>
      <c r="L19" s="24" t="n">
        <v>17012.49</v>
      </c>
      <c r="M19" s="24" t="n">
        <v>7126.7</v>
      </c>
    </row>
    <row r="20">
      <c r="A20" s="20" t="inlineStr">
        <is>
          <t>ORD-20240019</t>
        </is>
      </c>
      <c r="B20" s="21" t="n">
        <v>45306</v>
      </c>
      <c r="C20" s="20" t="inlineStr">
        <is>
          <t>South</t>
        </is>
      </c>
      <c r="D20" s="20" t="inlineStr">
        <is>
          <t>Apparel</t>
        </is>
      </c>
      <c r="E20" s="20" t="inlineStr">
        <is>
          <t>Formal Blazer</t>
        </is>
      </c>
      <c r="F20" s="20" t="inlineStr">
        <is>
          <t>Consumer</t>
        </is>
      </c>
      <c r="G20" s="20" t="inlineStr">
        <is>
          <t>Walk-in Mumbai</t>
        </is>
      </c>
      <c r="H20" s="20" t="n">
        <v>7</v>
      </c>
      <c r="I20" s="22" t="n">
        <v>728.52</v>
      </c>
      <c r="J20" s="23" t="n">
        <v>0.12</v>
      </c>
      <c r="K20" s="24" t="n">
        <v>4487.68</v>
      </c>
      <c r="L20" s="24" t="n">
        <v>2837.58</v>
      </c>
      <c r="M20" s="24" t="n">
        <v>1650.1</v>
      </c>
    </row>
    <row r="21">
      <c r="A21" s="20" t="inlineStr">
        <is>
          <t>ORD-20240020</t>
        </is>
      </c>
      <c r="B21" s="21" t="n">
        <v>45307</v>
      </c>
      <c r="C21" s="20" t="inlineStr">
        <is>
          <t>South</t>
        </is>
      </c>
      <c r="D21" s="20" t="inlineStr">
        <is>
          <t>Apparel</t>
        </is>
      </c>
      <c r="E21" s="20" t="inlineStr">
        <is>
          <t>Formal Blazer</t>
        </is>
      </c>
      <c r="F21" s="20" t="inlineStr">
        <is>
          <t>Enterprise</t>
        </is>
      </c>
      <c r="G21" s="20" t="inlineStr">
        <is>
          <t>TCS Digital</t>
        </is>
      </c>
      <c r="H21" s="20" t="n">
        <v>19</v>
      </c>
      <c r="I21" s="22" t="n">
        <v>3249.61</v>
      </c>
      <c r="J21" s="23" t="n">
        <v>0.15</v>
      </c>
      <c r="K21" s="24" t="n">
        <v>52481.2</v>
      </c>
      <c r="L21" s="24" t="n">
        <v>35341.67</v>
      </c>
      <c r="M21" s="24" t="n">
        <v>17139.53</v>
      </c>
    </row>
    <row r="22">
      <c r="A22" s="20" t="inlineStr">
        <is>
          <t>ORD-20240021</t>
        </is>
      </c>
      <c r="B22" s="21" t="n">
        <v>45308</v>
      </c>
      <c r="C22" s="20" t="inlineStr">
        <is>
          <t>West</t>
        </is>
      </c>
      <c r="D22" s="20" t="inlineStr">
        <is>
          <t>Apparel</t>
        </is>
      </c>
      <c r="E22" s="20" t="inlineStr">
        <is>
          <t>Safety Vest</t>
        </is>
      </c>
      <c r="F22" s="20" t="inlineStr">
        <is>
          <t>SMB</t>
        </is>
      </c>
      <c r="G22" s="20" t="inlineStr">
        <is>
          <t>Pixel Studio</t>
        </is>
      </c>
      <c r="H22" s="20" t="n">
        <v>22</v>
      </c>
      <c r="I22" s="22" t="n">
        <v>889.08</v>
      </c>
      <c r="J22" s="23" t="n">
        <v>0</v>
      </c>
      <c r="K22" s="24" t="n">
        <v>19559.76</v>
      </c>
      <c r="L22" s="24" t="n">
        <v>11080.63</v>
      </c>
      <c r="M22" s="24" t="n">
        <v>8479.129999999999</v>
      </c>
    </row>
    <row r="23">
      <c r="A23" s="20" t="inlineStr">
        <is>
          <t>ORD-20240022</t>
        </is>
      </c>
      <c r="B23" s="21" t="n">
        <v>45309</v>
      </c>
      <c r="C23" s="20" t="inlineStr">
        <is>
          <t>North</t>
        </is>
      </c>
      <c r="D23" s="20" t="inlineStr">
        <is>
          <t>Apparel</t>
        </is>
      </c>
      <c r="E23" s="20" t="inlineStr">
        <is>
          <t>Safety Vest</t>
        </is>
      </c>
      <c r="F23" s="20" t="inlineStr">
        <is>
          <t>Government</t>
        </is>
      </c>
      <c r="G23" s="20" t="inlineStr">
        <is>
          <t>State Health UP</t>
        </is>
      </c>
      <c r="H23" s="20" t="n">
        <v>1</v>
      </c>
      <c r="I23" s="22" t="n">
        <v>330.08</v>
      </c>
      <c r="J23" s="23" t="n">
        <v>0.2</v>
      </c>
      <c r="K23" s="24" t="n">
        <v>264.06</v>
      </c>
      <c r="L23" s="24" t="n">
        <v>212.77</v>
      </c>
      <c r="M23" s="24" t="n">
        <v>51.29</v>
      </c>
    </row>
    <row r="24">
      <c r="A24" s="20" t="inlineStr">
        <is>
          <t>ORD-20240023</t>
        </is>
      </c>
      <c r="B24" s="21" t="n">
        <v>45309</v>
      </c>
      <c r="C24" s="20" t="inlineStr">
        <is>
          <t>Central</t>
        </is>
      </c>
      <c r="D24" s="20" t="inlineStr">
        <is>
          <t>Home &amp; Kitchen</t>
        </is>
      </c>
      <c r="E24" s="20" t="inlineStr">
        <is>
          <t>Mixer Grinder</t>
        </is>
      </c>
      <c r="F24" s="20" t="inlineStr">
        <is>
          <t>Enterprise</t>
        </is>
      </c>
      <c r="G24" s="20" t="inlineStr">
        <is>
          <t>HCL Services</t>
        </is>
      </c>
      <c r="H24" s="20" t="n">
        <v>15</v>
      </c>
      <c r="I24" s="22" t="n">
        <v>25732.76</v>
      </c>
      <c r="J24" s="23" t="n">
        <v>0</v>
      </c>
      <c r="K24" s="24" t="n">
        <v>385991.4</v>
      </c>
      <c r="L24" s="24" t="n">
        <v>284990.69</v>
      </c>
      <c r="M24" s="24" t="n">
        <v>101000.71</v>
      </c>
    </row>
    <row r="25">
      <c r="A25" s="20" t="inlineStr">
        <is>
          <t>ORD-20240024</t>
        </is>
      </c>
      <c r="B25" s="21" t="n">
        <v>45309</v>
      </c>
      <c r="C25" s="20" t="inlineStr">
        <is>
          <t>West</t>
        </is>
      </c>
      <c r="D25" s="20" t="inlineStr">
        <is>
          <t>Electronics</t>
        </is>
      </c>
      <c r="E25" s="20" t="inlineStr">
        <is>
          <t>Webcam HD</t>
        </is>
      </c>
      <c r="F25" s="20" t="inlineStr">
        <is>
          <t>SMB</t>
        </is>
      </c>
      <c r="G25" s="20" t="inlineStr">
        <is>
          <t>SwiftPrint</t>
        </is>
      </c>
      <c r="H25" s="20" t="n">
        <v>3</v>
      </c>
      <c r="I25" s="22" t="n">
        <v>20603.26</v>
      </c>
      <c r="J25" s="23" t="n">
        <v>0</v>
      </c>
      <c r="K25" s="24" t="n">
        <v>61809.78</v>
      </c>
      <c r="L25" s="24" t="n">
        <v>36885.25</v>
      </c>
      <c r="M25" s="24" t="n">
        <v>24924.53</v>
      </c>
    </row>
    <row r="26">
      <c r="A26" s="20" t="inlineStr">
        <is>
          <t>ORD-20240025</t>
        </is>
      </c>
      <c r="B26" s="21" t="n">
        <v>45310</v>
      </c>
      <c r="C26" s="20" t="inlineStr">
        <is>
          <t>North</t>
        </is>
      </c>
      <c r="D26" s="20" t="inlineStr">
        <is>
          <t>Home &amp; Kitchen</t>
        </is>
      </c>
      <c r="E26" s="20" t="inlineStr">
        <is>
          <t>Air Fryer</t>
        </is>
      </c>
      <c r="F26" s="20" t="inlineStr">
        <is>
          <t>SMB</t>
        </is>
      </c>
      <c r="G26" s="20" t="inlineStr">
        <is>
          <t>CityCare Clinics</t>
        </is>
      </c>
      <c r="H26" s="20" t="n">
        <v>10</v>
      </c>
      <c r="I26" s="22" t="n">
        <v>10005.71</v>
      </c>
      <c r="J26" s="23" t="n">
        <v>0.12</v>
      </c>
      <c r="K26" s="24" t="n">
        <v>88050.25</v>
      </c>
      <c r="L26" s="24" t="n">
        <v>72162.17</v>
      </c>
      <c r="M26" s="24" t="n">
        <v>15888.08</v>
      </c>
    </row>
    <row r="27">
      <c r="A27" s="20" t="inlineStr">
        <is>
          <t>ORD-20240026</t>
        </is>
      </c>
      <c r="B27" s="21" t="n">
        <v>45311</v>
      </c>
      <c r="C27" s="20" t="inlineStr">
        <is>
          <t>East</t>
        </is>
      </c>
      <c r="D27" s="20" t="inlineStr">
        <is>
          <t>Home &amp; Kitchen</t>
        </is>
      </c>
      <c r="E27" s="20" t="inlineStr">
        <is>
          <t>Air Fryer</t>
        </is>
      </c>
      <c r="F27" s="20" t="inlineStr">
        <is>
          <t>SMB</t>
        </is>
      </c>
      <c r="G27" s="20" t="inlineStr">
        <is>
          <t>CityCare Clinics</t>
        </is>
      </c>
      <c r="H27" s="20" t="n">
        <v>7</v>
      </c>
      <c r="I27" s="22" t="n">
        <v>8106.6</v>
      </c>
      <c r="J27" s="23" t="n">
        <v>0</v>
      </c>
      <c r="K27" s="24" t="n">
        <v>56746.2</v>
      </c>
      <c r="L27" s="24" t="n">
        <v>40704.49</v>
      </c>
      <c r="M27" s="24" t="n">
        <v>16041.71</v>
      </c>
    </row>
    <row r="28">
      <c r="A28" s="20" t="inlineStr">
        <is>
          <t>ORD-20240027</t>
        </is>
      </c>
      <c r="B28" s="21" t="n">
        <v>45311</v>
      </c>
      <c r="C28" s="20" t="inlineStr">
        <is>
          <t>East</t>
        </is>
      </c>
      <c r="D28" s="20" t="inlineStr">
        <is>
          <t>Electronics</t>
        </is>
      </c>
      <c r="E28" s="20" t="inlineStr">
        <is>
          <t>Monitor 27in</t>
        </is>
      </c>
      <c r="F28" s="20" t="inlineStr">
        <is>
          <t>Enterprise</t>
        </is>
      </c>
      <c r="G28" s="20" t="inlineStr">
        <is>
          <t>Infosys Ltd</t>
        </is>
      </c>
      <c r="H28" s="20" t="n">
        <v>3</v>
      </c>
      <c r="I28" s="22" t="n">
        <v>6728.72</v>
      </c>
      <c r="J28" s="23" t="n">
        <v>0.05</v>
      </c>
      <c r="K28" s="24" t="n">
        <v>19176.85</v>
      </c>
      <c r="L28" s="24" t="n">
        <v>14710.96</v>
      </c>
      <c r="M28" s="24" t="n">
        <v>4465.89</v>
      </c>
    </row>
    <row r="29">
      <c r="A29" s="20" t="inlineStr">
        <is>
          <t>ORD-20240028</t>
        </is>
      </c>
      <c r="B29" s="21" t="n">
        <v>45311</v>
      </c>
      <c r="C29" s="20" t="inlineStr">
        <is>
          <t>West</t>
        </is>
      </c>
      <c r="D29" s="20" t="inlineStr">
        <is>
          <t>Electronics</t>
        </is>
      </c>
      <c r="E29" s="20" t="inlineStr">
        <is>
          <t>USB-C Hub</t>
        </is>
      </c>
      <c r="F29" s="20" t="inlineStr">
        <is>
          <t>Government</t>
        </is>
      </c>
      <c r="G29" s="20" t="inlineStr">
        <is>
          <t>Delhi NDMC</t>
        </is>
      </c>
      <c r="H29" s="20" t="n">
        <v>16</v>
      </c>
      <c r="I29" s="22" t="n">
        <v>3233.92</v>
      </c>
      <c r="J29" s="23" t="n">
        <v>0.05</v>
      </c>
      <c r="K29" s="24" t="n">
        <v>49155.58</v>
      </c>
      <c r="L29" s="24" t="n">
        <v>39332.7</v>
      </c>
      <c r="M29" s="24" t="n">
        <v>9822.879999999999</v>
      </c>
    </row>
    <row r="30">
      <c r="A30" s="20" t="inlineStr">
        <is>
          <t>ORD-20240029</t>
        </is>
      </c>
      <c r="B30" s="21" t="n">
        <v>45312</v>
      </c>
      <c r="C30" s="20" t="inlineStr">
        <is>
          <t>South</t>
        </is>
      </c>
      <c r="D30" s="20" t="inlineStr">
        <is>
          <t>Electronics</t>
        </is>
      </c>
      <c r="E30" s="20" t="inlineStr">
        <is>
          <t>USB-C Hub</t>
        </is>
      </c>
      <c r="F30" s="20" t="inlineStr">
        <is>
          <t>Enterprise</t>
        </is>
      </c>
      <c r="G30" s="20" t="inlineStr">
        <is>
          <t>L&amp;T Infotech</t>
        </is>
      </c>
      <c r="H30" s="20" t="n">
        <v>2</v>
      </c>
      <c r="I30" s="22" t="n">
        <v>64306.44</v>
      </c>
      <c r="J30" s="23" t="n">
        <v>0.05</v>
      </c>
      <c r="K30" s="24" t="n">
        <v>122182.24</v>
      </c>
      <c r="L30" s="24" t="n">
        <v>76634.36</v>
      </c>
      <c r="M30" s="24" t="n">
        <v>45547.88</v>
      </c>
    </row>
    <row r="31">
      <c r="A31" s="20" t="inlineStr">
        <is>
          <t>ORD-20240030</t>
        </is>
      </c>
      <c r="B31" s="21" t="n">
        <v>45314</v>
      </c>
      <c r="C31" s="20" t="inlineStr">
        <is>
          <t>South</t>
        </is>
      </c>
      <c r="D31" s="20" t="inlineStr">
        <is>
          <t>Office Supplies</t>
        </is>
      </c>
      <c r="E31" s="20" t="inlineStr">
        <is>
          <t>Gel Pen Pack</t>
        </is>
      </c>
      <c r="F31" s="20" t="inlineStr">
        <is>
          <t>Government</t>
        </is>
      </c>
      <c r="G31" s="20" t="inlineStr">
        <is>
          <t>Delhi NDMC</t>
        </is>
      </c>
      <c r="H31" s="20" t="n">
        <v>8</v>
      </c>
      <c r="I31" s="22" t="n">
        <v>823.91</v>
      </c>
      <c r="J31" s="23" t="n">
        <v>0</v>
      </c>
      <c r="K31" s="24" t="n">
        <v>6591.28</v>
      </c>
      <c r="L31" s="24" t="n">
        <v>3945.37</v>
      </c>
      <c r="M31" s="24" t="n">
        <v>2645.91</v>
      </c>
    </row>
    <row r="32">
      <c r="A32" s="20" t="inlineStr">
        <is>
          <t>ORD-20240031</t>
        </is>
      </c>
      <c r="B32" s="21" t="n">
        <v>45315</v>
      </c>
      <c r="C32" s="20" t="inlineStr">
        <is>
          <t>Central</t>
        </is>
      </c>
      <c r="D32" s="20" t="inlineStr">
        <is>
          <t>Electronics</t>
        </is>
      </c>
      <c r="E32" s="20" t="inlineStr">
        <is>
          <t>Wireless Mouse</t>
        </is>
      </c>
      <c r="F32" s="20" t="inlineStr">
        <is>
          <t>Government</t>
        </is>
      </c>
      <c r="G32" s="20" t="inlineStr">
        <is>
          <t>Municipal Corp Hyd</t>
        </is>
      </c>
      <c r="H32" s="20" t="n">
        <v>5</v>
      </c>
      <c r="I32" s="22" t="n">
        <v>62085.66</v>
      </c>
      <c r="J32" s="23" t="n">
        <v>0.05</v>
      </c>
      <c r="K32" s="24" t="n">
        <v>294906.89</v>
      </c>
      <c r="L32" s="24" t="n">
        <v>230340.58</v>
      </c>
      <c r="M32" s="24" t="n">
        <v>64566.31</v>
      </c>
    </row>
    <row r="33">
      <c r="A33" s="20" t="inlineStr">
        <is>
          <t>ORD-20240032</t>
        </is>
      </c>
      <c r="B33" s="21" t="n">
        <v>45315</v>
      </c>
      <c r="C33" s="20" t="inlineStr">
        <is>
          <t>East</t>
        </is>
      </c>
      <c r="D33" s="20" t="inlineStr">
        <is>
          <t>Electronics</t>
        </is>
      </c>
      <c r="E33" s="20" t="inlineStr">
        <is>
          <t>Wireless Mouse</t>
        </is>
      </c>
      <c r="F33" s="20" t="inlineStr">
        <is>
          <t>SMB</t>
        </is>
      </c>
      <c r="G33" s="20" t="inlineStr">
        <is>
          <t>CityCare Clinics</t>
        </is>
      </c>
      <c r="H33" s="20" t="n">
        <v>24</v>
      </c>
      <c r="I33" s="22" t="n">
        <v>66665.67999999999</v>
      </c>
      <c r="J33" s="23" t="n">
        <v>0.05</v>
      </c>
      <c r="K33" s="24" t="n">
        <v>1519977.5</v>
      </c>
      <c r="L33" s="24" t="n">
        <v>1191923.88</v>
      </c>
      <c r="M33" s="24" t="n">
        <v>328053.62</v>
      </c>
    </row>
    <row r="34">
      <c r="A34" s="20" t="inlineStr">
        <is>
          <t>ORD-20240033</t>
        </is>
      </c>
      <c r="B34" s="21" t="n">
        <v>45316</v>
      </c>
      <c r="C34" s="20" t="inlineStr">
        <is>
          <t>West</t>
        </is>
      </c>
      <c r="D34" s="20" t="inlineStr">
        <is>
          <t>Electronics</t>
        </is>
      </c>
      <c r="E34" s="20" t="inlineStr">
        <is>
          <t>Laptop Pro 14</t>
        </is>
      </c>
      <c r="F34" s="20" t="inlineStr">
        <is>
          <t>Government</t>
        </is>
      </c>
      <c r="G34" s="20" t="inlineStr">
        <is>
          <t>Railways Zone W</t>
        </is>
      </c>
      <c r="H34" s="20" t="n">
        <v>12</v>
      </c>
      <c r="I34" s="22" t="n">
        <v>16839.24</v>
      </c>
      <c r="J34" s="23" t="n">
        <v>0.1</v>
      </c>
      <c r="K34" s="24" t="n">
        <v>181863.79</v>
      </c>
      <c r="L34" s="24" t="n">
        <v>138740.2</v>
      </c>
      <c r="M34" s="24" t="n">
        <v>43123.59</v>
      </c>
    </row>
    <row r="35">
      <c r="A35" s="20" t="inlineStr">
        <is>
          <t>ORD-20240034</t>
        </is>
      </c>
      <c r="B35" s="21" t="n">
        <v>45317</v>
      </c>
      <c r="C35" s="20" t="inlineStr">
        <is>
          <t>Central</t>
        </is>
      </c>
      <c r="D35" s="20" t="inlineStr">
        <is>
          <t>Home &amp; Kitchen</t>
        </is>
      </c>
      <c r="E35" s="20" t="inlineStr">
        <is>
          <t>Mixer Grinder</t>
        </is>
      </c>
      <c r="F35" s="20" t="inlineStr">
        <is>
          <t>SMB</t>
        </is>
      </c>
      <c r="G35" s="20" t="inlineStr">
        <is>
          <t>GreenFarm Agro</t>
        </is>
      </c>
      <c r="H35" s="20" t="n">
        <v>12</v>
      </c>
      <c r="I35" s="22" t="n">
        <v>11560.01</v>
      </c>
      <c r="J35" s="23" t="n">
        <v>0.2</v>
      </c>
      <c r="K35" s="24" t="n">
        <v>110976.1</v>
      </c>
      <c r="L35" s="24" t="n">
        <v>81105.67999999999</v>
      </c>
      <c r="M35" s="24" t="n">
        <v>29870.42</v>
      </c>
    </row>
    <row r="36">
      <c r="A36" s="20" t="inlineStr">
        <is>
          <t>ORD-20240035</t>
        </is>
      </c>
      <c r="B36" s="21" t="n">
        <v>45317</v>
      </c>
      <c r="C36" s="20" t="inlineStr">
        <is>
          <t>South</t>
        </is>
      </c>
      <c r="D36" s="20" t="inlineStr">
        <is>
          <t>Office Supplies</t>
        </is>
      </c>
      <c r="E36" s="20" t="inlineStr">
        <is>
          <t>Stapler Heavy</t>
        </is>
      </c>
      <c r="F36" s="20" t="inlineStr">
        <is>
          <t>Consumer</t>
        </is>
      </c>
      <c r="G36" s="20" t="inlineStr">
        <is>
          <t>App User North</t>
        </is>
      </c>
      <c r="H36" s="20" t="n">
        <v>18</v>
      </c>
      <c r="I36" s="22" t="n">
        <v>3415.36</v>
      </c>
      <c r="J36" s="23" t="n">
        <v>0.2</v>
      </c>
      <c r="K36" s="24" t="n">
        <v>49181.18</v>
      </c>
      <c r="L36" s="24" t="n">
        <v>38076</v>
      </c>
      <c r="M36" s="24" t="n">
        <v>11105.18</v>
      </c>
    </row>
    <row r="37">
      <c r="A37" s="20" t="inlineStr">
        <is>
          <t>ORD-20240036</t>
        </is>
      </c>
      <c r="B37" s="21" t="n">
        <v>45318</v>
      </c>
      <c r="C37" s="20" t="inlineStr">
        <is>
          <t>North</t>
        </is>
      </c>
      <c r="D37" s="20" t="inlineStr">
        <is>
          <t>Electronics</t>
        </is>
      </c>
      <c r="E37" s="20" t="inlineStr">
        <is>
          <t>USB-C Hub</t>
        </is>
      </c>
      <c r="F37" s="20" t="inlineStr">
        <is>
          <t>Government</t>
        </is>
      </c>
      <c r="G37" s="20" t="inlineStr">
        <is>
          <t>Delhi NDMC</t>
        </is>
      </c>
      <c r="H37" s="20" t="n">
        <v>10</v>
      </c>
      <c r="I37" s="22" t="n">
        <v>70172.14999999999</v>
      </c>
      <c r="J37" s="23" t="n">
        <v>0.15</v>
      </c>
      <c r="K37" s="24" t="n">
        <v>596463.28</v>
      </c>
      <c r="L37" s="24" t="n">
        <v>418173.53</v>
      </c>
      <c r="M37" s="24" t="n">
        <v>178289.75</v>
      </c>
    </row>
    <row r="38">
      <c r="A38" s="20" t="inlineStr">
        <is>
          <t>ORD-20240037</t>
        </is>
      </c>
      <c r="B38" s="21" t="n">
        <v>45318</v>
      </c>
      <c r="C38" s="20" t="inlineStr">
        <is>
          <t>South</t>
        </is>
      </c>
      <c r="D38" s="20" t="inlineStr">
        <is>
          <t>Electronics</t>
        </is>
      </c>
      <c r="E38" s="20" t="inlineStr">
        <is>
          <t>Wireless Mouse</t>
        </is>
      </c>
      <c r="F38" s="20" t="inlineStr">
        <is>
          <t>Government</t>
        </is>
      </c>
      <c r="G38" s="20" t="inlineStr">
        <is>
          <t>Delhi NDMC</t>
        </is>
      </c>
      <c r="H38" s="20" t="n">
        <v>4</v>
      </c>
      <c r="I38" s="22" t="n">
        <v>6171.32</v>
      </c>
      <c r="J38" s="23" t="n">
        <v>0.15</v>
      </c>
      <c r="K38" s="24" t="n">
        <v>20982.49</v>
      </c>
      <c r="L38" s="24" t="n">
        <v>16690.7</v>
      </c>
      <c r="M38" s="24" t="n">
        <v>4291.79</v>
      </c>
    </row>
    <row r="39">
      <c r="A39" s="20" t="inlineStr">
        <is>
          <t>ORD-20240038</t>
        </is>
      </c>
      <c r="B39" s="21" t="n">
        <v>45319</v>
      </c>
      <c r="C39" s="20" t="inlineStr">
        <is>
          <t>South</t>
        </is>
      </c>
      <c r="D39" s="20" t="inlineStr">
        <is>
          <t>Apparel</t>
        </is>
      </c>
      <c r="E39" s="20" t="inlineStr">
        <is>
          <t>Cap Embroidered</t>
        </is>
      </c>
      <c r="F39" s="20" t="inlineStr">
        <is>
          <t>SMB</t>
        </is>
      </c>
      <c r="G39" s="20" t="inlineStr">
        <is>
          <t>BrightRetail Co</t>
        </is>
      </c>
      <c r="H39" s="20" t="n">
        <v>4</v>
      </c>
      <c r="I39" s="22" t="n">
        <v>3766.65</v>
      </c>
      <c r="J39" s="23" t="n">
        <v>0</v>
      </c>
      <c r="K39" s="24" t="n">
        <v>15066.6</v>
      </c>
      <c r="L39" s="24" t="n">
        <v>10012.83</v>
      </c>
      <c r="M39" s="24" t="n">
        <v>5053.77</v>
      </c>
    </row>
    <row r="40">
      <c r="A40" s="20" t="inlineStr">
        <is>
          <t>ORD-20240039</t>
        </is>
      </c>
      <c r="B40" s="21" t="n">
        <v>45320</v>
      </c>
      <c r="C40" s="20" t="inlineStr">
        <is>
          <t>North</t>
        </is>
      </c>
      <c r="D40" s="20" t="inlineStr">
        <is>
          <t>Electronics</t>
        </is>
      </c>
      <c r="E40" s="20" t="inlineStr">
        <is>
          <t>Monitor 27in</t>
        </is>
      </c>
      <c r="F40" s="20" t="inlineStr">
        <is>
          <t>Government</t>
        </is>
      </c>
      <c r="G40" s="20" t="inlineStr">
        <is>
          <t>Municipal Corp Hyd</t>
        </is>
      </c>
      <c r="H40" s="20" t="n">
        <v>12</v>
      </c>
      <c r="I40" s="22" t="n">
        <v>20652.51</v>
      </c>
      <c r="J40" s="23" t="n">
        <v>0</v>
      </c>
      <c r="K40" s="24" t="n">
        <v>247830.12</v>
      </c>
      <c r="L40" s="24" t="n">
        <v>157676.94</v>
      </c>
      <c r="M40" s="24" t="n">
        <v>90153.17999999999</v>
      </c>
    </row>
    <row r="41">
      <c r="A41" s="20" t="inlineStr">
        <is>
          <t>ORD-20240040</t>
        </is>
      </c>
      <c r="B41" s="21" t="n">
        <v>45320</v>
      </c>
      <c r="C41" s="20" t="inlineStr">
        <is>
          <t>East</t>
        </is>
      </c>
      <c r="D41" s="20" t="inlineStr">
        <is>
          <t>Home &amp; Kitchen</t>
        </is>
      </c>
      <c r="E41" s="20" t="inlineStr">
        <is>
          <t>Water Purifier</t>
        </is>
      </c>
      <c r="F41" s="20" t="inlineStr">
        <is>
          <t>SMB</t>
        </is>
      </c>
      <c r="G41" s="20" t="inlineStr">
        <is>
          <t>Nova Logistics</t>
        </is>
      </c>
      <c r="H41" s="20" t="n">
        <v>8</v>
      </c>
      <c r="I41" s="22" t="n">
        <v>16997.62</v>
      </c>
      <c r="J41" s="23" t="n">
        <v>0.1</v>
      </c>
      <c r="K41" s="24" t="n">
        <v>122382.86</v>
      </c>
      <c r="L41" s="24" t="n">
        <v>103374.82</v>
      </c>
      <c r="M41" s="24" t="n">
        <v>19008.04</v>
      </c>
    </row>
    <row r="42">
      <c r="A42" s="20" t="inlineStr">
        <is>
          <t>ORD-20240041</t>
        </is>
      </c>
      <c r="B42" s="21" t="n">
        <v>45321</v>
      </c>
      <c r="C42" s="20" t="inlineStr">
        <is>
          <t>North</t>
        </is>
      </c>
      <c r="D42" s="20" t="inlineStr">
        <is>
          <t>Home &amp; Kitchen</t>
        </is>
      </c>
      <c r="E42" s="20" t="inlineStr">
        <is>
          <t>Coffee Maker</t>
        </is>
      </c>
      <c r="F42" s="20" t="inlineStr">
        <is>
          <t>Consumer</t>
        </is>
      </c>
      <c r="G42" s="20" t="inlineStr">
        <is>
          <t>Retail Counter</t>
        </is>
      </c>
      <c r="H42" s="20" t="n">
        <v>13</v>
      </c>
      <c r="I42" s="22" t="n">
        <v>4661.68</v>
      </c>
      <c r="J42" s="23" t="n">
        <v>0.2</v>
      </c>
      <c r="K42" s="24" t="n">
        <v>48481.47</v>
      </c>
      <c r="L42" s="24" t="n">
        <v>45587.52</v>
      </c>
      <c r="M42" s="24" t="n">
        <v>2893.95</v>
      </c>
    </row>
    <row r="43">
      <c r="A43" s="20" t="inlineStr">
        <is>
          <t>ORD-20240042</t>
        </is>
      </c>
      <c r="B43" s="21" t="n">
        <v>45321</v>
      </c>
      <c r="C43" s="20" t="inlineStr">
        <is>
          <t>Central</t>
        </is>
      </c>
      <c r="D43" s="20" t="inlineStr">
        <is>
          <t>Electronics</t>
        </is>
      </c>
      <c r="E43" s="20" t="inlineStr">
        <is>
          <t>Monitor 27in</t>
        </is>
      </c>
      <c r="F43" s="20" t="inlineStr">
        <is>
          <t>SMB</t>
        </is>
      </c>
      <c r="G43" s="20" t="inlineStr">
        <is>
          <t>Nova Logistics</t>
        </is>
      </c>
      <c r="H43" s="20" t="n">
        <v>7</v>
      </c>
      <c r="I43" s="22" t="n">
        <v>15150.46</v>
      </c>
      <c r="J43" s="23" t="n">
        <v>0</v>
      </c>
      <c r="K43" s="24" t="n">
        <v>106053.22</v>
      </c>
      <c r="L43" s="24" t="n">
        <v>60901.91</v>
      </c>
      <c r="M43" s="24" t="n">
        <v>45151.31</v>
      </c>
    </row>
    <row r="44">
      <c r="A44" s="20" t="inlineStr">
        <is>
          <t>ORD-20240043</t>
        </is>
      </c>
      <c r="B44" s="21" t="n">
        <v>45321</v>
      </c>
      <c r="C44" s="20" t="inlineStr">
        <is>
          <t>West</t>
        </is>
      </c>
      <c r="D44" s="20" t="inlineStr">
        <is>
          <t>Electronics</t>
        </is>
      </c>
      <c r="E44" s="20" t="inlineStr">
        <is>
          <t>Wireless Mouse</t>
        </is>
      </c>
      <c r="F44" s="20" t="inlineStr">
        <is>
          <t>Enterprise</t>
        </is>
      </c>
      <c r="G44" s="20" t="inlineStr">
        <is>
          <t>L&amp;T Infotech</t>
        </is>
      </c>
      <c r="H44" s="20" t="n">
        <v>4</v>
      </c>
      <c r="I44" s="22" t="n">
        <v>21055.36</v>
      </c>
      <c r="J44" s="23" t="n">
        <v>0.15</v>
      </c>
      <c r="K44" s="24" t="n">
        <v>71588.22</v>
      </c>
      <c r="L44" s="24" t="n">
        <v>49944.73</v>
      </c>
      <c r="M44" s="24" t="n">
        <v>21643.49</v>
      </c>
    </row>
    <row r="45">
      <c r="A45" s="20" t="inlineStr">
        <is>
          <t>ORD-20240044</t>
        </is>
      </c>
      <c r="B45" s="21" t="n">
        <v>45322</v>
      </c>
      <c r="C45" s="20" t="inlineStr">
        <is>
          <t>West</t>
        </is>
      </c>
      <c r="D45" s="20" t="inlineStr">
        <is>
          <t>Furniture</t>
        </is>
      </c>
      <c r="E45" s="20" t="inlineStr">
        <is>
          <t>Bookshelf Oak</t>
        </is>
      </c>
      <c r="F45" s="20" t="inlineStr">
        <is>
          <t>SMB</t>
        </is>
      </c>
      <c r="G45" s="20" t="inlineStr">
        <is>
          <t>SwiftPrint</t>
        </is>
      </c>
      <c r="H45" s="20" t="n">
        <v>19</v>
      </c>
      <c r="I45" s="22" t="n">
        <v>41290.12</v>
      </c>
      <c r="J45" s="23" t="n">
        <v>0.1</v>
      </c>
      <c r="K45" s="24" t="n">
        <v>706061.05</v>
      </c>
      <c r="L45" s="24" t="n">
        <v>439403.85</v>
      </c>
      <c r="M45" s="24" t="n">
        <v>266657.2</v>
      </c>
    </row>
    <row r="46">
      <c r="A46" s="20" t="inlineStr">
        <is>
          <t>ORD-20240045</t>
        </is>
      </c>
      <c r="B46" s="21" t="n">
        <v>45322</v>
      </c>
      <c r="C46" s="20" t="inlineStr">
        <is>
          <t>Central</t>
        </is>
      </c>
      <c r="D46" s="20" t="inlineStr">
        <is>
          <t>Home &amp; Kitchen</t>
        </is>
      </c>
      <c r="E46" s="20" t="inlineStr">
        <is>
          <t>Vacuum Robot</t>
        </is>
      </c>
      <c r="F46" s="20" t="inlineStr">
        <is>
          <t>Government</t>
        </is>
      </c>
      <c r="G46" s="20" t="inlineStr">
        <is>
          <t>Railways Zone W</t>
        </is>
      </c>
      <c r="H46" s="20" t="n">
        <v>20</v>
      </c>
      <c r="I46" s="22" t="n">
        <v>23320.36</v>
      </c>
      <c r="J46" s="23" t="n">
        <v>0.2</v>
      </c>
      <c r="K46" s="24" t="n">
        <v>373125.76</v>
      </c>
      <c r="L46" s="24" t="n">
        <v>294311.46</v>
      </c>
      <c r="M46" s="24" t="n">
        <v>78814.3</v>
      </c>
    </row>
    <row r="47">
      <c r="A47" s="20" t="inlineStr">
        <is>
          <t>ORD-20240046</t>
        </is>
      </c>
      <c r="B47" s="21" t="n">
        <v>45322</v>
      </c>
      <c r="C47" s="20" t="inlineStr">
        <is>
          <t>South</t>
        </is>
      </c>
      <c r="D47" s="20" t="inlineStr">
        <is>
          <t>Home &amp; Kitchen</t>
        </is>
      </c>
      <c r="E47" s="20" t="inlineStr">
        <is>
          <t>Vacuum Robot</t>
        </is>
      </c>
      <c r="F47" s="20" t="inlineStr">
        <is>
          <t>Consumer</t>
        </is>
      </c>
      <c r="G47" s="20" t="inlineStr">
        <is>
          <t>Retail Counter</t>
        </is>
      </c>
      <c r="H47" s="20" t="n">
        <v>19</v>
      </c>
      <c r="I47" s="22" t="n">
        <v>10397.92</v>
      </c>
      <c r="J47" s="23" t="n">
        <v>0.12</v>
      </c>
      <c r="K47" s="24" t="n">
        <v>173853.22</v>
      </c>
      <c r="L47" s="24" t="n">
        <v>111728.57</v>
      </c>
      <c r="M47" s="24" t="n">
        <v>62124.65</v>
      </c>
    </row>
    <row r="48">
      <c r="A48" s="20" t="inlineStr">
        <is>
          <t>ORD-20240047</t>
        </is>
      </c>
      <c r="B48" s="21" t="n">
        <v>45324</v>
      </c>
      <c r="C48" s="20" t="inlineStr">
        <is>
          <t>South</t>
        </is>
      </c>
      <c r="D48" s="20" t="inlineStr">
        <is>
          <t>Furniture</t>
        </is>
      </c>
      <c r="E48" s="20" t="inlineStr">
        <is>
          <t>Filing Cabinet</t>
        </is>
      </c>
      <c r="F48" s="20" t="inlineStr">
        <is>
          <t>Enterprise</t>
        </is>
      </c>
      <c r="G48" s="20" t="inlineStr">
        <is>
          <t>Infosys Ltd</t>
        </is>
      </c>
      <c r="H48" s="20" t="n">
        <v>23</v>
      </c>
      <c r="I48" s="22" t="n">
        <v>29321.88</v>
      </c>
      <c r="J48" s="23" t="n">
        <v>0.05</v>
      </c>
      <c r="K48" s="24" t="n">
        <v>640683.08</v>
      </c>
      <c r="L48" s="24" t="n">
        <v>381376.43</v>
      </c>
      <c r="M48" s="24" t="n">
        <v>259306.65</v>
      </c>
    </row>
    <row r="49">
      <c r="A49" s="20" t="inlineStr">
        <is>
          <t>ORD-20240048</t>
        </is>
      </c>
      <c r="B49" s="21" t="n">
        <v>45325</v>
      </c>
      <c r="C49" s="20" t="inlineStr">
        <is>
          <t>South</t>
        </is>
      </c>
      <c r="D49" s="20" t="inlineStr">
        <is>
          <t>Apparel</t>
        </is>
      </c>
      <c r="E49" s="20" t="inlineStr">
        <is>
          <t>Hoodie Soft</t>
        </is>
      </c>
      <c r="F49" s="20" t="inlineStr">
        <is>
          <t>Government</t>
        </is>
      </c>
      <c r="G49" s="20" t="inlineStr">
        <is>
          <t>Delhi NDMC</t>
        </is>
      </c>
      <c r="H49" s="20" t="n">
        <v>24</v>
      </c>
      <c r="I49" s="22" t="n">
        <v>4200.33</v>
      </c>
      <c r="J49" s="23" t="n">
        <v>0.05</v>
      </c>
      <c r="K49" s="24" t="n">
        <v>95767.52</v>
      </c>
      <c r="L49" s="24" t="n">
        <v>62346.98</v>
      </c>
      <c r="M49" s="24" t="n">
        <v>33420.54</v>
      </c>
    </row>
    <row r="50">
      <c r="A50" s="20" t="inlineStr">
        <is>
          <t>ORD-20240049</t>
        </is>
      </c>
      <c r="B50" s="21" t="n">
        <v>45325</v>
      </c>
      <c r="C50" s="20" t="inlineStr">
        <is>
          <t>South</t>
        </is>
      </c>
      <c r="D50" s="20" t="inlineStr">
        <is>
          <t>Office Supplies</t>
        </is>
      </c>
      <c r="E50" s="20" t="inlineStr">
        <is>
          <t>Whiteboard Kit</t>
        </is>
      </c>
      <c r="F50" s="20" t="inlineStr">
        <is>
          <t>SMB</t>
        </is>
      </c>
      <c r="G50" s="20" t="inlineStr">
        <is>
          <t>BrightRetail Co</t>
        </is>
      </c>
      <c r="H50" s="20" t="n">
        <v>17</v>
      </c>
      <c r="I50" s="22" t="n">
        <v>2807.48</v>
      </c>
      <c r="J50" s="23" t="n">
        <v>0.15</v>
      </c>
      <c r="K50" s="24" t="n">
        <v>40568.09</v>
      </c>
      <c r="L50" s="24" t="n">
        <v>36564.76</v>
      </c>
      <c r="M50" s="24" t="n">
        <v>4003.33</v>
      </c>
    </row>
    <row r="51">
      <c r="A51" s="20" t="inlineStr">
        <is>
          <t>ORD-20240050</t>
        </is>
      </c>
      <c r="B51" s="21" t="n">
        <v>45325</v>
      </c>
      <c r="C51" s="20" t="inlineStr">
        <is>
          <t>East</t>
        </is>
      </c>
      <c r="D51" s="20" t="inlineStr">
        <is>
          <t>Furniture</t>
        </is>
      </c>
      <c r="E51" s="20" t="inlineStr">
        <is>
          <t>Conference Table</t>
        </is>
      </c>
      <c r="F51" s="20" t="inlineStr">
        <is>
          <t>SMB</t>
        </is>
      </c>
      <c r="G51" s="20" t="inlineStr">
        <is>
          <t>Pixel Studio</t>
        </is>
      </c>
      <c r="H51" s="20" t="n">
        <v>23</v>
      </c>
      <c r="I51" s="22" t="n">
        <v>12538.32</v>
      </c>
      <c r="J51" s="23" t="n">
        <v>0</v>
      </c>
      <c r="K51" s="24" t="n">
        <v>288381.36</v>
      </c>
      <c r="L51" s="24" t="n">
        <v>211630.26</v>
      </c>
      <c r="M51" s="24" t="n">
        <v>76751.10000000001</v>
      </c>
    </row>
    <row r="52">
      <c r="A52" s="20" t="inlineStr">
        <is>
          <t>ORD-20240051</t>
        </is>
      </c>
      <c r="B52" s="21" t="n">
        <v>45326</v>
      </c>
      <c r="C52" s="20" t="inlineStr">
        <is>
          <t>West</t>
        </is>
      </c>
      <c r="D52" s="20" t="inlineStr">
        <is>
          <t>Electronics</t>
        </is>
      </c>
      <c r="E52" s="20" t="inlineStr">
        <is>
          <t>Webcam HD</t>
        </is>
      </c>
      <c r="F52" s="20" t="inlineStr">
        <is>
          <t>Government</t>
        </is>
      </c>
      <c r="G52" s="20" t="inlineStr">
        <is>
          <t>MH Education Dept</t>
        </is>
      </c>
      <c r="H52" s="20" t="n">
        <v>19</v>
      </c>
      <c r="I52" s="22" t="n">
        <v>30515.49</v>
      </c>
      <c r="J52" s="23" t="n">
        <v>0</v>
      </c>
      <c r="K52" s="24" t="n">
        <v>579794.3100000001</v>
      </c>
      <c r="L52" s="24" t="n">
        <v>378816.02</v>
      </c>
      <c r="M52" s="24" t="n">
        <v>200978.29</v>
      </c>
    </row>
    <row r="53">
      <c r="A53" s="20" t="inlineStr">
        <is>
          <t>ORD-20240052</t>
        </is>
      </c>
      <c r="B53" s="21" t="n">
        <v>45327</v>
      </c>
      <c r="C53" s="20" t="inlineStr">
        <is>
          <t>Central</t>
        </is>
      </c>
      <c r="D53" s="20" t="inlineStr">
        <is>
          <t>Electronics</t>
        </is>
      </c>
      <c r="E53" s="20" t="inlineStr">
        <is>
          <t>USB-C Hub</t>
        </is>
      </c>
      <c r="F53" s="20" t="inlineStr">
        <is>
          <t>SMB</t>
        </is>
      </c>
      <c r="G53" s="20" t="inlineStr">
        <is>
          <t>GreenFarm Agro</t>
        </is>
      </c>
      <c r="H53" s="20" t="n">
        <v>9</v>
      </c>
      <c r="I53" s="22" t="n">
        <v>31926.39</v>
      </c>
      <c r="J53" s="23" t="n">
        <v>0.05</v>
      </c>
      <c r="K53" s="24" t="n">
        <v>272970.63</v>
      </c>
      <c r="L53" s="24" t="n">
        <v>195209.08</v>
      </c>
      <c r="M53" s="24" t="n">
        <v>77761.55</v>
      </c>
    </row>
    <row r="54">
      <c r="A54" s="20" t="inlineStr">
        <is>
          <t>ORD-20240053</t>
        </is>
      </c>
      <c r="B54" s="21" t="n">
        <v>45327</v>
      </c>
      <c r="C54" s="20" t="inlineStr">
        <is>
          <t>East</t>
        </is>
      </c>
      <c r="D54" s="20" t="inlineStr">
        <is>
          <t>Home &amp; Kitchen</t>
        </is>
      </c>
      <c r="E54" s="20" t="inlineStr">
        <is>
          <t>Water Purifier</t>
        </is>
      </c>
      <c r="F54" s="20" t="inlineStr">
        <is>
          <t>Enterprise</t>
        </is>
      </c>
      <c r="G54" s="20" t="inlineStr">
        <is>
          <t>L&amp;T Infotech</t>
        </is>
      </c>
      <c r="H54" s="20" t="n">
        <v>13</v>
      </c>
      <c r="I54" s="22" t="n">
        <v>26015.93</v>
      </c>
      <c r="J54" s="23" t="n">
        <v>0.05</v>
      </c>
      <c r="K54" s="24" t="n">
        <v>321296.74</v>
      </c>
      <c r="L54" s="24" t="n">
        <v>204865.95</v>
      </c>
      <c r="M54" s="24" t="n">
        <v>116430.79</v>
      </c>
    </row>
    <row r="55">
      <c r="A55" s="20" t="inlineStr">
        <is>
          <t>ORD-20240054</t>
        </is>
      </c>
      <c r="B55" s="21" t="n">
        <v>45327</v>
      </c>
      <c r="C55" s="20" t="inlineStr">
        <is>
          <t>South</t>
        </is>
      </c>
      <c r="D55" s="20" t="inlineStr">
        <is>
          <t>Electronics</t>
        </is>
      </c>
      <c r="E55" s="20" t="inlineStr">
        <is>
          <t>Laptop Pro 14</t>
        </is>
      </c>
      <c r="F55" s="20" t="inlineStr">
        <is>
          <t>SMB</t>
        </is>
      </c>
      <c r="G55" s="20" t="inlineStr">
        <is>
          <t>SwiftPrint</t>
        </is>
      </c>
      <c r="H55" s="20" t="n">
        <v>6</v>
      </c>
      <c r="I55" s="22" t="n">
        <v>8194.52</v>
      </c>
      <c r="J55" s="23" t="n">
        <v>0.05</v>
      </c>
      <c r="K55" s="24" t="n">
        <v>46708.76</v>
      </c>
      <c r="L55" s="24" t="n">
        <v>36670.49</v>
      </c>
      <c r="M55" s="24" t="n">
        <v>10038.27</v>
      </c>
    </row>
    <row r="56">
      <c r="A56" s="20" t="inlineStr">
        <is>
          <t>ORD-20240055</t>
        </is>
      </c>
      <c r="B56" s="21" t="n">
        <v>45328</v>
      </c>
      <c r="C56" s="20" t="inlineStr">
        <is>
          <t>West</t>
        </is>
      </c>
      <c r="D56" s="20" t="inlineStr">
        <is>
          <t>Apparel</t>
        </is>
      </c>
      <c r="E56" s="20" t="inlineStr">
        <is>
          <t>Hoodie Soft</t>
        </is>
      </c>
      <c r="F56" s="20" t="inlineStr">
        <is>
          <t>Consumer</t>
        </is>
      </c>
      <c r="G56" s="20" t="inlineStr">
        <is>
          <t>App User North</t>
        </is>
      </c>
      <c r="H56" s="20" t="n">
        <v>12</v>
      </c>
      <c r="I56" s="22" t="n">
        <v>4813.73</v>
      </c>
      <c r="J56" s="23" t="n">
        <v>0.05</v>
      </c>
      <c r="K56" s="24" t="n">
        <v>54876.52</v>
      </c>
      <c r="L56" s="24" t="n">
        <v>35613.01</v>
      </c>
      <c r="M56" s="24" t="n">
        <v>19263.51</v>
      </c>
    </row>
    <row r="57">
      <c r="A57" s="20" t="inlineStr">
        <is>
          <t>ORD-20240056</t>
        </is>
      </c>
      <c r="B57" s="21" t="n">
        <v>45328</v>
      </c>
      <c r="C57" s="20" t="inlineStr">
        <is>
          <t>North</t>
        </is>
      </c>
      <c r="D57" s="20" t="inlineStr">
        <is>
          <t>Home &amp; Kitchen</t>
        </is>
      </c>
      <c r="E57" s="20" t="inlineStr">
        <is>
          <t>Water Purifier</t>
        </is>
      </c>
      <c r="F57" s="20" t="inlineStr">
        <is>
          <t>Enterprise</t>
        </is>
      </c>
      <c r="G57" s="20" t="inlineStr">
        <is>
          <t>L&amp;T Infotech</t>
        </is>
      </c>
      <c r="H57" s="20" t="n">
        <v>8</v>
      </c>
      <c r="I57" s="22" t="n">
        <v>26892.2</v>
      </c>
      <c r="J57" s="23" t="n">
        <v>0.05</v>
      </c>
      <c r="K57" s="24" t="n">
        <v>204380.72</v>
      </c>
      <c r="L57" s="24" t="n">
        <v>124025.37</v>
      </c>
      <c r="M57" s="24" t="n">
        <v>80355.35000000001</v>
      </c>
    </row>
    <row r="58">
      <c r="A58" s="20" t="inlineStr">
        <is>
          <t>ORD-20240057</t>
        </is>
      </c>
      <c r="B58" s="21" t="n">
        <v>45329</v>
      </c>
      <c r="C58" s="20" t="inlineStr">
        <is>
          <t>West</t>
        </is>
      </c>
      <c r="D58" s="20" t="inlineStr">
        <is>
          <t>Electronics</t>
        </is>
      </c>
      <c r="E58" s="20" t="inlineStr">
        <is>
          <t>USB-C Hub</t>
        </is>
      </c>
      <c r="F58" s="20" t="inlineStr">
        <is>
          <t>Government</t>
        </is>
      </c>
      <c r="G58" s="20" t="inlineStr">
        <is>
          <t>State Health UP</t>
        </is>
      </c>
      <c r="H58" s="20" t="n">
        <v>22</v>
      </c>
      <c r="I58" s="22" t="n">
        <v>67519.55</v>
      </c>
      <c r="J58" s="23" t="n">
        <v>0</v>
      </c>
      <c r="K58" s="24" t="n">
        <v>1485430.1</v>
      </c>
      <c r="L58" s="24" t="n">
        <v>986215.05</v>
      </c>
      <c r="M58" s="24" t="n">
        <v>499215.05</v>
      </c>
    </row>
    <row r="59">
      <c r="A59" s="20" t="inlineStr">
        <is>
          <t>ORD-20240058</t>
        </is>
      </c>
      <c r="B59" s="21" t="n">
        <v>45329</v>
      </c>
      <c r="C59" s="20" t="inlineStr">
        <is>
          <t>South</t>
        </is>
      </c>
      <c r="D59" s="20" t="inlineStr">
        <is>
          <t>Apparel</t>
        </is>
      </c>
      <c r="E59" s="20" t="inlineStr">
        <is>
          <t>Polo Shirt</t>
        </is>
      </c>
      <c r="F59" s="20" t="inlineStr">
        <is>
          <t>Government</t>
        </is>
      </c>
      <c r="G59" s="20" t="inlineStr">
        <is>
          <t>Municipal Corp Hyd</t>
        </is>
      </c>
      <c r="H59" s="20" t="n">
        <v>5</v>
      </c>
      <c r="I59" s="22" t="n">
        <v>3781.94</v>
      </c>
      <c r="J59" s="23" t="n">
        <v>0.05</v>
      </c>
      <c r="K59" s="24" t="n">
        <v>17964.22</v>
      </c>
      <c r="L59" s="24" t="n">
        <v>14422.57</v>
      </c>
      <c r="M59" s="24" t="n">
        <v>3541.65</v>
      </c>
    </row>
    <row r="60">
      <c r="A60" s="20" t="inlineStr">
        <is>
          <t>ORD-20240059</t>
        </is>
      </c>
      <c r="B60" s="21" t="n">
        <v>45330</v>
      </c>
      <c r="C60" s="20" t="inlineStr">
        <is>
          <t>South</t>
        </is>
      </c>
      <c r="D60" s="20" t="inlineStr">
        <is>
          <t>Apparel</t>
        </is>
      </c>
      <c r="E60" s="20" t="inlineStr">
        <is>
          <t>Polo Shirt</t>
        </is>
      </c>
      <c r="F60" s="20" t="inlineStr">
        <is>
          <t>Government</t>
        </is>
      </c>
      <c r="G60" s="20" t="inlineStr">
        <is>
          <t>State Health UP</t>
        </is>
      </c>
      <c r="H60" s="20" t="n">
        <v>13</v>
      </c>
      <c r="I60" s="22" t="n">
        <v>2315.42</v>
      </c>
      <c r="J60" s="23" t="n">
        <v>0.15</v>
      </c>
      <c r="K60" s="24" t="n">
        <v>25585.39</v>
      </c>
      <c r="L60" s="24" t="n">
        <v>19208.99</v>
      </c>
      <c r="M60" s="24" t="n">
        <v>6376.4</v>
      </c>
    </row>
    <row r="61">
      <c r="A61" s="20" t="inlineStr">
        <is>
          <t>ORD-20240060</t>
        </is>
      </c>
      <c r="B61" s="21" t="n">
        <v>45332</v>
      </c>
      <c r="C61" s="20" t="inlineStr">
        <is>
          <t>North</t>
        </is>
      </c>
      <c r="D61" s="20" t="inlineStr">
        <is>
          <t>Electronics</t>
        </is>
      </c>
      <c r="E61" s="20" t="inlineStr">
        <is>
          <t>Wireless Mouse</t>
        </is>
      </c>
      <c r="F61" s="20" t="inlineStr">
        <is>
          <t>Enterprise</t>
        </is>
      </c>
      <c r="G61" s="20" t="inlineStr">
        <is>
          <t>L&amp;T Infotech</t>
        </is>
      </c>
      <c r="H61" s="20" t="n">
        <v>8</v>
      </c>
      <c r="I61" s="22" t="n">
        <v>34797.9</v>
      </c>
      <c r="J61" s="23" t="n">
        <v>0.05</v>
      </c>
      <c r="K61" s="24" t="n">
        <v>264464.04</v>
      </c>
      <c r="L61" s="24" t="n">
        <v>190177.87</v>
      </c>
      <c r="M61" s="24" t="n">
        <v>74286.17</v>
      </c>
    </row>
    <row r="62">
      <c r="A62" s="20" t="inlineStr">
        <is>
          <t>ORD-20240061</t>
        </is>
      </c>
      <c r="B62" s="21" t="n">
        <v>45332</v>
      </c>
      <c r="C62" s="20" t="inlineStr">
        <is>
          <t>West</t>
        </is>
      </c>
      <c r="D62" s="20" t="inlineStr">
        <is>
          <t>Home &amp; Kitchen</t>
        </is>
      </c>
      <c r="E62" s="20" t="inlineStr">
        <is>
          <t>Vacuum Robot</t>
        </is>
      </c>
      <c r="F62" s="20" t="inlineStr">
        <is>
          <t>SMB</t>
        </is>
      </c>
      <c r="G62" s="20" t="inlineStr">
        <is>
          <t>BrightRetail Co</t>
        </is>
      </c>
      <c r="H62" s="20" t="n">
        <v>23</v>
      </c>
      <c r="I62" s="22" t="n">
        <v>11199.14</v>
      </c>
      <c r="J62" s="23" t="n">
        <v>0</v>
      </c>
      <c r="K62" s="24" t="n">
        <v>257580.22</v>
      </c>
      <c r="L62" s="24" t="n">
        <v>156521.23</v>
      </c>
      <c r="M62" s="24" t="n">
        <v>101058.99</v>
      </c>
    </row>
    <row r="63">
      <c r="A63" s="20" t="inlineStr">
        <is>
          <t>ORD-20240062</t>
        </is>
      </c>
      <c r="B63" s="21" t="n">
        <v>45333</v>
      </c>
      <c r="C63" s="20" t="inlineStr">
        <is>
          <t>Central</t>
        </is>
      </c>
      <c r="D63" s="20" t="inlineStr">
        <is>
          <t>Home &amp; Kitchen</t>
        </is>
      </c>
      <c r="E63" s="20" t="inlineStr">
        <is>
          <t>Vacuum Robot</t>
        </is>
      </c>
      <c r="F63" s="20" t="inlineStr">
        <is>
          <t>SMB</t>
        </is>
      </c>
      <c r="G63" s="20" t="inlineStr">
        <is>
          <t>Pixel Studio</t>
        </is>
      </c>
      <c r="H63" s="20" t="n">
        <v>16</v>
      </c>
      <c r="I63" s="22" t="n">
        <v>8782.309999999999</v>
      </c>
      <c r="J63" s="23" t="n">
        <v>0.05</v>
      </c>
      <c r="K63" s="24" t="n">
        <v>133491.11</v>
      </c>
      <c r="L63" s="24" t="n">
        <v>77788.25999999999</v>
      </c>
      <c r="M63" s="24" t="n">
        <v>55702.85</v>
      </c>
    </row>
    <row r="64">
      <c r="A64" s="20" t="inlineStr">
        <is>
          <t>ORD-20240063</t>
        </is>
      </c>
      <c r="B64" s="21" t="n">
        <v>45334</v>
      </c>
      <c r="C64" s="20" t="inlineStr">
        <is>
          <t>North</t>
        </is>
      </c>
      <c r="D64" s="20" t="inlineStr">
        <is>
          <t>Home &amp; Kitchen</t>
        </is>
      </c>
      <c r="E64" s="20" t="inlineStr">
        <is>
          <t>Mixer Grinder</t>
        </is>
      </c>
      <c r="F64" s="20" t="inlineStr">
        <is>
          <t>Enterprise</t>
        </is>
      </c>
      <c r="G64" s="20" t="inlineStr">
        <is>
          <t>Wipro Tech</t>
        </is>
      </c>
      <c r="H64" s="20" t="n">
        <v>25</v>
      </c>
      <c r="I64" s="22" t="n">
        <v>15663.41</v>
      </c>
      <c r="J64" s="23" t="n">
        <v>0.1</v>
      </c>
      <c r="K64" s="24" t="n">
        <v>352426.73</v>
      </c>
      <c r="L64" s="24" t="n">
        <v>264190.81</v>
      </c>
      <c r="M64" s="24" t="n">
        <v>88235.92</v>
      </c>
    </row>
    <row r="65">
      <c r="A65" s="20" t="inlineStr">
        <is>
          <t>ORD-20240064</t>
        </is>
      </c>
      <c r="B65" s="21" t="n">
        <v>45334</v>
      </c>
      <c r="C65" s="20" t="inlineStr">
        <is>
          <t>North</t>
        </is>
      </c>
      <c r="D65" s="20" t="inlineStr">
        <is>
          <t>Home &amp; Kitchen</t>
        </is>
      </c>
      <c r="E65" s="20" t="inlineStr">
        <is>
          <t>Water Purifier</t>
        </is>
      </c>
      <c r="F65" s="20" t="inlineStr">
        <is>
          <t>Consumer</t>
        </is>
      </c>
      <c r="G65" s="20" t="inlineStr">
        <is>
          <t>App User North</t>
        </is>
      </c>
      <c r="H65" s="20" t="n">
        <v>13</v>
      </c>
      <c r="I65" s="22" t="n">
        <v>19319</v>
      </c>
      <c r="J65" s="23" t="n">
        <v>0.2</v>
      </c>
      <c r="K65" s="24" t="n">
        <v>200917.6</v>
      </c>
      <c r="L65" s="24" t="n">
        <v>177576.39</v>
      </c>
      <c r="M65" s="24" t="n">
        <v>23341.21</v>
      </c>
    </row>
    <row r="66">
      <c r="A66" s="20" t="inlineStr">
        <is>
          <t>ORD-20240065</t>
        </is>
      </c>
      <c r="B66" s="21" t="n">
        <v>45335</v>
      </c>
      <c r="C66" s="20" t="inlineStr">
        <is>
          <t>West</t>
        </is>
      </c>
      <c r="D66" s="20" t="inlineStr">
        <is>
          <t>Home &amp; Kitchen</t>
        </is>
      </c>
      <c r="E66" s="20" t="inlineStr">
        <is>
          <t>Vacuum Robot</t>
        </is>
      </c>
      <c r="F66" s="20" t="inlineStr">
        <is>
          <t>Government</t>
        </is>
      </c>
      <c r="G66" s="20" t="inlineStr">
        <is>
          <t>Delhi NDMC</t>
        </is>
      </c>
      <c r="H66" s="20" t="n">
        <v>2</v>
      </c>
      <c r="I66" s="22" t="n">
        <v>10160.04</v>
      </c>
      <c r="J66" s="23" t="n">
        <v>0.1</v>
      </c>
      <c r="K66" s="24" t="n">
        <v>18288.07</v>
      </c>
      <c r="L66" s="24" t="n">
        <v>14857.82</v>
      </c>
      <c r="M66" s="24" t="n">
        <v>3430.25</v>
      </c>
    </row>
    <row r="67">
      <c r="A67" s="20" t="inlineStr">
        <is>
          <t>ORD-20240066</t>
        </is>
      </c>
      <c r="B67" s="21" t="n">
        <v>45335</v>
      </c>
      <c r="C67" s="20" t="inlineStr">
        <is>
          <t>Central</t>
        </is>
      </c>
      <c r="D67" s="20" t="inlineStr">
        <is>
          <t>Home &amp; Kitchen</t>
        </is>
      </c>
      <c r="E67" s="20" t="inlineStr">
        <is>
          <t>Vacuum Robot</t>
        </is>
      </c>
      <c r="F67" s="20" t="inlineStr">
        <is>
          <t>Consumer</t>
        </is>
      </c>
      <c r="G67" s="20" t="inlineStr">
        <is>
          <t>Retail Counter</t>
        </is>
      </c>
      <c r="H67" s="20" t="n">
        <v>10</v>
      </c>
      <c r="I67" s="22" t="n">
        <v>12304.19</v>
      </c>
      <c r="J67" s="23" t="n">
        <v>0</v>
      </c>
      <c r="K67" s="24" t="n">
        <v>123041.9</v>
      </c>
      <c r="L67" s="24" t="n">
        <v>70640.2</v>
      </c>
      <c r="M67" s="24" t="n">
        <v>52401.7</v>
      </c>
    </row>
    <row r="68">
      <c r="A68" s="20" t="inlineStr">
        <is>
          <t>ORD-20240067</t>
        </is>
      </c>
      <c r="B68" s="21" t="n">
        <v>45336</v>
      </c>
      <c r="C68" s="20" t="inlineStr">
        <is>
          <t>East</t>
        </is>
      </c>
      <c r="D68" s="20" t="inlineStr">
        <is>
          <t>Apparel</t>
        </is>
      </c>
      <c r="E68" s="20" t="inlineStr">
        <is>
          <t>Cap Embroidered</t>
        </is>
      </c>
      <c r="F68" s="20" t="inlineStr">
        <is>
          <t>Enterprise</t>
        </is>
      </c>
      <c r="G68" s="20" t="inlineStr">
        <is>
          <t>L&amp;T Infotech</t>
        </is>
      </c>
      <c r="H68" s="20" t="n">
        <v>17</v>
      </c>
      <c r="I68" s="22" t="n">
        <v>2491.96</v>
      </c>
      <c r="J68" s="23" t="n">
        <v>0.1</v>
      </c>
      <c r="K68" s="24" t="n">
        <v>38126.99</v>
      </c>
      <c r="L68" s="24" t="n">
        <v>28339.75</v>
      </c>
      <c r="M68" s="24" t="n">
        <v>9787.24</v>
      </c>
    </row>
    <row r="69">
      <c r="A69" s="20" t="inlineStr">
        <is>
          <t>ORD-20240068</t>
        </is>
      </c>
      <c r="B69" s="21" t="n">
        <v>45337</v>
      </c>
      <c r="C69" s="20" t="inlineStr">
        <is>
          <t>North</t>
        </is>
      </c>
      <c r="D69" s="20" t="inlineStr">
        <is>
          <t>Electronics</t>
        </is>
      </c>
      <c r="E69" s="20" t="inlineStr">
        <is>
          <t>Webcam HD</t>
        </is>
      </c>
      <c r="F69" s="20" t="inlineStr">
        <is>
          <t>Government</t>
        </is>
      </c>
      <c r="G69" s="20" t="inlineStr">
        <is>
          <t>Municipal Corp Hyd</t>
        </is>
      </c>
      <c r="H69" s="20" t="n">
        <v>22</v>
      </c>
      <c r="I69" s="22" t="n">
        <v>60016.7</v>
      </c>
      <c r="J69" s="23" t="n">
        <v>0</v>
      </c>
      <c r="K69" s="24" t="n">
        <v>1320367.4</v>
      </c>
      <c r="L69" s="24" t="n">
        <v>800524.04</v>
      </c>
      <c r="M69" s="24" t="n">
        <v>519843.36</v>
      </c>
    </row>
    <row r="70">
      <c r="A70" s="20" t="inlineStr">
        <is>
          <t>ORD-20240069</t>
        </is>
      </c>
      <c r="B70" s="21" t="n">
        <v>45337</v>
      </c>
      <c r="C70" s="20" t="inlineStr">
        <is>
          <t>North</t>
        </is>
      </c>
      <c r="D70" s="20" t="inlineStr">
        <is>
          <t>Home &amp; Kitchen</t>
        </is>
      </c>
      <c r="E70" s="20" t="inlineStr">
        <is>
          <t>Mixer Grinder</t>
        </is>
      </c>
      <c r="F70" s="20" t="inlineStr">
        <is>
          <t>Enterprise</t>
        </is>
      </c>
      <c r="G70" s="20" t="inlineStr">
        <is>
          <t>TCS Digital</t>
        </is>
      </c>
      <c r="H70" s="20" t="n">
        <v>22</v>
      </c>
      <c r="I70" s="22" t="n">
        <v>18946.4</v>
      </c>
      <c r="J70" s="23" t="n">
        <v>0</v>
      </c>
      <c r="K70" s="24" t="n">
        <v>416820.8</v>
      </c>
      <c r="L70" s="24" t="n">
        <v>291278.53</v>
      </c>
      <c r="M70" s="24" t="n">
        <v>125542.27</v>
      </c>
    </row>
    <row r="71">
      <c r="A71" s="20" t="inlineStr">
        <is>
          <t>ORD-20240070</t>
        </is>
      </c>
      <c r="B71" s="21" t="n">
        <v>45337</v>
      </c>
      <c r="C71" s="20" t="inlineStr">
        <is>
          <t>Central</t>
        </is>
      </c>
      <c r="D71" s="20" t="inlineStr">
        <is>
          <t>Office Supplies</t>
        </is>
      </c>
      <c r="E71" s="20" t="inlineStr">
        <is>
          <t>A4 Paper Ream</t>
        </is>
      </c>
      <c r="F71" s="20" t="inlineStr">
        <is>
          <t>Government</t>
        </is>
      </c>
      <c r="G71" s="20" t="inlineStr">
        <is>
          <t>MH Education Dept</t>
        </is>
      </c>
      <c r="H71" s="20" t="n">
        <v>12</v>
      </c>
      <c r="I71" s="22" t="n">
        <v>3104.95</v>
      </c>
      <c r="J71" s="23" t="n">
        <v>0.1</v>
      </c>
      <c r="K71" s="24" t="n">
        <v>33533.46</v>
      </c>
      <c r="L71" s="24" t="n">
        <v>22091.62</v>
      </c>
      <c r="M71" s="24" t="n">
        <v>11441.84</v>
      </c>
    </row>
    <row r="72">
      <c r="A72" s="20" t="inlineStr">
        <is>
          <t>ORD-20240071</t>
        </is>
      </c>
      <c r="B72" s="21" t="n">
        <v>45338</v>
      </c>
      <c r="C72" s="20" t="inlineStr">
        <is>
          <t>South</t>
        </is>
      </c>
      <c r="D72" s="20" t="inlineStr">
        <is>
          <t>Furniture</t>
        </is>
      </c>
      <c r="E72" s="20" t="inlineStr">
        <is>
          <t>Bookshelf Oak</t>
        </is>
      </c>
      <c r="F72" s="20" t="inlineStr">
        <is>
          <t>Consumer</t>
        </is>
      </c>
      <c r="G72" s="20" t="inlineStr">
        <is>
          <t>Walk-in Mumbai</t>
        </is>
      </c>
      <c r="H72" s="20" t="n">
        <v>10</v>
      </c>
      <c r="I72" s="22" t="n">
        <v>3101.31</v>
      </c>
      <c r="J72" s="23" t="n">
        <v>0.2</v>
      </c>
      <c r="K72" s="24" t="n">
        <v>24810.48</v>
      </c>
      <c r="L72" s="24" t="n">
        <v>17960.12</v>
      </c>
      <c r="M72" s="24" t="n">
        <v>6850.36</v>
      </c>
    </row>
    <row r="73">
      <c r="A73" s="20" t="inlineStr">
        <is>
          <t>ORD-20240072</t>
        </is>
      </c>
      <c r="B73" s="21" t="n">
        <v>45338</v>
      </c>
      <c r="C73" s="20" t="inlineStr">
        <is>
          <t>Central</t>
        </is>
      </c>
      <c r="D73" s="20" t="inlineStr">
        <is>
          <t>Office Supplies</t>
        </is>
      </c>
      <c r="E73" s="20" t="inlineStr">
        <is>
          <t>Stapler Heavy</t>
        </is>
      </c>
      <c r="F73" s="20" t="inlineStr">
        <is>
          <t>Consumer</t>
        </is>
      </c>
      <c r="G73" s="20" t="inlineStr">
        <is>
          <t>Walk-in Mumbai</t>
        </is>
      </c>
      <c r="H73" s="20" t="n">
        <v>7</v>
      </c>
      <c r="I73" s="22" t="n">
        <v>2128.5</v>
      </c>
      <c r="J73" s="23" t="n">
        <v>0.12</v>
      </c>
      <c r="K73" s="24" t="n">
        <v>13111.56</v>
      </c>
      <c r="L73" s="24" t="n">
        <v>9908.43</v>
      </c>
      <c r="M73" s="24" t="n">
        <v>3203.13</v>
      </c>
    </row>
    <row r="74">
      <c r="A74" s="20" t="inlineStr">
        <is>
          <t>ORD-20240073</t>
        </is>
      </c>
      <c r="B74" s="21" t="n">
        <v>45338</v>
      </c>
      <c r="C74" s="20" t="inlineStr">
        <is>
          <t>East</t>
        </is>
      </c>
      <c r="D74" s="20" t="inlineStr">
        <is>
          <t>Furniture</t>
        </is>
      </c>
      <c r="E74" s="20" t="inlineStr">
        <is>
          <t>Standing Desk</t>
        </is>
      </c>
      <c r="F74" s="20" t="inlineStr">
        <is>
          <t>Consumer</t>
        </is>
      </c>
      <c r="G74" s="20" t="inlineStr">
        <is>
          <t>Walk-in Mumbai</t>
        </is>
      </c>
      <c r="H74" s="20" t="n">
        <v>4</v>
      </c>
      <c r="I74" s="22" t="n">
        <v>18800.9</v>
      </c>
      <c r="J74" s="23" t="n">
        <v>0.05</v>
      </c>
      <c r="K74" s="24" t="n">
        <v>71443.42</v>
      </c>
      <c r="L74" s="24" t="n">
        <v>44250.9</v>
      </c>
      <c r="M74" s="24" t="n">
        <v>27192.52</v>
      </c>
    </row>
    <row r="75">
      <c r="A75" s="20" t="inlineStr">
        <is>
          <t>ORD-20240074</t>
        </is>
      </c>
      <c r="B75" s="21" t="n">
        <v>45338</v>
      </c>
      <c r="C75" s="20" t="inlineStr">
        <is>
          <t>North</t>
        </is>
      </c>
      <c r="D75" s="20" t="inlineStr">
        <is>
          <t>Electronics</t>
        </is>
      </c>
      <c r="E75" s="20" t="inlineStr">
        <is>
          <t>Wireless Mouse</t>
        </is>
      </c>
      <c r="F75" s="20" t="inlineStr">
        <is>
          <t>Consumer</t>
        </is>
      </c>
      <c r="G75" s="20" t="inlineStr">
        <is>
          <t>Online Guest</t>
        </is>
      </c>
      <c r="H75" s="20" t="n">
        <v>22</v>
      </c>
      <c r="I75" s="22" t="n">
        <v>27129.94</v>
      </c>
      <c r="J75" s="23" t="n">
        <v>0</v>
      </c>
      <c r="K75" s="24" t="n">
        <v>596858.6800000001</v>
      </c>
      <c r="L75" s="24" t="n">
        <v>341313.43</v>
      </c>
      <c r="M75" s="24" t="n">
        <v>255545.25</v>
      </c>
    </row>
    <row r="76">
      <c r="A76" s="20" t="inlineStr">
        <is>
          <t>ORD-20240075</t>
        </is>
      </c>
      <c r="B76" s="21" t="n">
        <v>45338</v>
      </c>
      <c r="C76" s="20" t="inlineStr">
        <is>
          <t>North</t>
        </is>
      </c>
      <c r="D76" s="20" t="inlineStr">
        <is>
          <t>Electronics</t>
        </is>
      </c>
      <c r="E76" s="20" t="inlineStr">
        <is>
          <t>Webcam HD</t>
        </is>
      </c>
      <c r="F76" s="20" t="inlineStr">
        <is>
          <t>Enterprise</t>
        </is>
      </c>
      <c r="G76" s="20" t="inlineStr">
        <is>
          <t>L&amp;T Infotech</t>
        </is>
      </c>
      <c r="H76" s="20" t="n">
        <v>22</v>
      </c>
      <c r="I76" s="22" t="n">
        <v>39774.41</v>
      </c>
      <c r="J76" s="23" t="n">
        <v>0</v>
      </c>
      <c r="K76" s="24" t="n">
        <v>875037.02</v>
      </c>
      <c r="L76" s="24" t="n">
        <v>650913.14</v>
      </c>
      <c r="M76" s="24" t="n">
        <v>224123.88</v>
      </c>
    </row>
    <row r="77">
      <c r="A77" s="20" t="inlineStr">
        <is>
          <t>ORD-20240076</t>
        </is>
      </c>
      <c r="B77" s="21" t="n">
        <v>45338</v>
      </c>
      <c r="C77" s="20" t="inlineStr">
        <is>
          <t>North</t>
        </is>
      </c>
      <c r="D77" s="20" t="inlineStr">
        <is>
          <t>Electronics</t>
        </is>
      </c>
      <c r="E77" s="20" t="inlineStr">
        <is>
          <t>Wireless Mouse</t>
        </is>
      </c>
      <c r="F77" s="20" t="inlineStr">
        <is>
          <t>Consumer</t>
        </is>
      </c>
      <c r="G77" s="20" t="inlineStr">
        <is>
          <t>App User North</t>
        </is>
      </c>
      <c r="H77" s="20" t="n">
        <v>19</v>
      </c>
      <c r="I77" s="22" t="n">
        <v>884.75</v>
      </c>
      <c r="J77" s="23" t="n">
        <v>0.05</v>
      </c>
      <c r="K77" s="24" t="n">
        <v>15969.74</v>
      </c>
      <c r="L77" s="24" t="n">
        <v>11072.76</v>
      </c>
      <c r="M77" s="24" t="n">
        <v>4896.98</v>
      </c>
    </row>
    <row r="78">
      <c r="A78" s="20" t="inlineStr">
        <is>
          <t>ORD-20240077</t>
        </is>
      </c>
      <c r="B78" s="21" t="n">
        <v>45339</v>
      </c>
      <c r="C78" s="20" t="inlineStr">
        <is>
          <t>Central</t>
        </is>
      </c>
      <c r="D78" s="20" t="inlineStr">
        <is>
          <t>Electronics</t>
        </is>
      </c>
      <c r="E78" s="20" t="inlineStr">
        <is>
          <t>Laptop Pro 14</t>
        </is>
      </c>
      <c r="F78" s="20" t="inlineStr">
        <is>
          <t>Consumer</t>
        </is>
      </c>
      <c r="G78" s="20" t="inlineStr">
        <is>
          <t>Online Guest</t>
        </is>
      </c>
      <c r="H78" s="20" t="n">
        <v>18</v>
      </c>
      <c r="I78" s="22" t="n">
        <v>15248.99</v>
      </c>
      <c r="J78" s="23" t="n">
        <v>0</v>
      </c>
      <c r="K78" s="24" t="n">
        <v>274481.82</v>
      </c>
      <c r="L78" s="24" t="n">
        <v>166642.72</v>
      </c>
      <c r="M78" s="24" t="n">
        <v>107839.1</v>
      </c>
    </row>
    <row r="79">
      <c r="A79" s="20" t="inlineStr">
        <is>
          <t>ORD-20240078</t>
        </is>
      </c>
      <c r="B79" s="21" t="n">
        <v>45340</v>
      </c>
      <c r="C79" s="20" t="inlineStr">
        <is>
          <t>West</t>
        </is>
      </c>
      <c r="D79" s="20" t="inlineStr">
        <is>
          <t>Office Supplies</t>
        </is>
      </c>
      <c r="E79" s="20" t="inlineStr">
        <is>
          <t>Notebook Set</t>
        </is>
      </c>
      <c r="F79" s="20" t="inlineStr">
        <is>
          <t>Government</t>
        </is>
      </c>
      <c r="G79" s="20" t="inlineStr">
        <is>
          <t>Railways Zone W</t>
        </is>
      </c>
      <c r="H79" s="20" t="n">
        <v>2</v>
      </c>
      <c r="I79" s="22" t="n">
        <v>2648.85</v>
      </c>
      <c r="J79" s="23" t="n">
        <v>0.05</v>
      </c>
      <c r="K79" s="24" t="n">
        <v>5032.81</v>
      </c>
      <c r="L79" s="24" t="n">
        <v>3262.35</v>
      </c>
      <c r="M79" s="24" t="n">
        <v>1770.46</v>
      </c>
    </row>
    <row r="80">
      <c r="A80" s="20" t="inlineStr">
        <is>
          <t>ORD-20240079</t>
        </is>
      </c>
      <c r="B80" s="21" t="n">
        <v>45340</v>
      </c>
      <c r="C80" s="20" t="inlineStr">
        <is>
          <t>East</t>
        </is>
      </c>
      <c r="D80" s="20" t="inlineStr">
        <is>
          <t>Office Supplies</t>
        </is>
      </c>
      <c r="E80" s="20" t="inlineStr">
        <is>
          <t>Stapler Heavy</t>
        </is>
      </c>
      <c r="F80" s="20" t="inlineStr">
        <is>
          <t>Consumer</t>
        </is>
      </c>
      <c r="G80" s="20" t="inlineStr">
        <is>
          <t>App User North</t>
        </is>
      </c>
      <c r="H80" s="20" t="n">
        <v>3</v>
      </c>
      <c r="I80" s="22" t="n">
        <v>1969.75</v>
      </c>
      <c r="J80" s="23" t="n">
        <v>0.1</v>
      </c>
      <c r="K80" s="24" t="n">
        <v>5318.32</v>
      </c>
      <c r="L80" s="24" t="n">
        <v>3921.25</v>
      </c>
      <c r="M80" s="24" t="n">
        <v>1397.07</v>
      </c>
    </row>
    <row r="81">
      <c r="A81" s="20" t="inlineStr">
        <is>
          <t>ORD-20240080</t>
        </is>
      </c>
      <c r="B81" s="21" t="n">
        <v>45340</v>
      </c>
      <c r="C81" s="20" t="inlineStr">
        <is>
          <t>West</t>
        </is>
      </c>
      <c r="D81" s="20" t="inlineStr">
        <is>
          <t>Apparel</t>
        </is>
      </c>
      <c r="E81" s="20" t="inlineStr">
        <is>
          <t>Safety Vest</t>
        </is>
      </c>
      <c r="F81" s="20" t="inlineStr">
        <is>
          <t>Government</t>
        </is>
      </c>
      <c r="G81" s="20" t="inlineStr">
        <is>
          <t>Delhi NDMC</t>
        </is>
      </c>
      <c r="H81" s="20" t="n">
        <v>12</v>
      </c>
      <c r="I81" s="22" t="n">
        <v>4706.21</v>
      </c>
      <c r="J81" s="23" t="n">
        <v>0</v>
      </c>
      <c r="K81" s="24" t="n">
        <v>56474.52</v>
      </c>
      <c r="L81" s="24" t="n">
        <v>31441.41</v>
      </c>
      <c r="M81" s="24" t="n">
        <v>25033.11</v>
      </c>
    </row>
    <row r="82">
      <c r="A82" s="20" t="inlineStr">
        <is>
          <t>ORD-20240081</t>
        </is>
      </c>
      <c r="B82" s="21" t="n">
        <v>45341</v>
      </c>
      <c r="C82" s="20" t="inlineStr">
        <is>
          <t>North</t>
        </is>
      </c>
      <c r="D82" s="20" t="inlineStr">
        <is>
          <t>Furniture</t>
        </is>
      </c>
      <c r="E82" s="20" t="inlineStr">
        <is>
          <t>Conference Table</t>
        </is>
      </c>
      <c r="F82" s="20" t="inlineStr">
        <is>
          <t>Enterprise</t>
        </is>
      </c>
      <c r="G82" s="20" t="inlineStr">
        <is>
          <t>HCL Services</t>
        </is>
      </c>
      <c r="H82" s="20" t="n">
        <v>23</v>
      </c>
      <c r="I82" s="22" t="n">
        <v>15603.78</v>
      </c>
      <c r="J82" s="23" t="n">
        <v>0</v>
      </c>
      <c r="K82" s="24" t="n">
        <v>358886.94</v>
      </c>
      <c r="L82" s="24" t="n">
        <v>246766.08</v>
      </c>
      <c r="M82" s="24" t="n">
        <v>112120.86</v>
      </c>
    </row>
    <row r="83">
      <c r="A83" s="20" t="inlineStr">
        <is>
          <t>ORD-20240082</t>
        </is>
      </c>
      <c r="B83" s="21" t="n">
        <v>45342</v>
      </c>
      <c r="C83" s="20" t="inlineStr">
        <is>
          <t>Central</t>
        </is>
      </c>
      <c r="D83" s="20" t="inlineStr">
        <is>
          <t>Furniture</t>
        </is>
      </c>
      <c r="E83" s="20" t="inlineStr">
        <is>
          <t>Conference Table</t>
        </is>
      </c>
      <c r="F83" s="20" t="inlineStr">
        <is>
          <t>Government</t>
        </is>
      </c>
      <c r="G83" s="20" t="inlineStr">
        <is>
          <t>Municipal Corp Hyd</t>
        </is>
      </c>
      <c r="H83" s="20" t="n">
        <v>11</v>
      </c>
      <c r="I83" s="22" t="n">
        <v>4759.18</v>
      </c>
      <c r="J83" s="23" t="n">
        <v>0.05</v>
      </c>
      <c r="K83" s="24" t="n">
        <v>49733.43</v>
      </c>
      <c r="L83" s="24" t="n">
        <v>33245.47</v>
      </c>
      <c r="M83" s="24" t="n">
        <v>16487.96</v>
      </c>
    </row>
    <row r="84">
      <c r="A84" s="20" t="inlineStr">
        <is>
          <t>ORD-20240083</t>
        </is>
      </c>
      <c r="B84" s="21" t="n">
        <v>45343</v>
      </c>
      <c r="C84" s="20" t="inlineStr">
        <is>
          <t>North</t>
        </is>
      </c>
      <c r="D84" s="20" t="inlineStr">
        <is>
          <t>Home &amp; Kitchen</t>
        </is>
      </c>
      <c r="E84" s="20" t="inlineStr">
        <is>
          <t>Air Fryer</t>
        </is>
      </c>
      <c r="F84" s="20" t="inlineStr">
        <is>
          <t>Consumer</t>
        </is>
      </c>
      <c r="G84" s="20" t="inlineStr">
        <is>
          <t>Walk-in Mumbai</t>
        </is>
      </c>
      <c r="H84" s="20" t="n">
        <v>15</v>
      </c>
      <c r="I84" s="22" t="n">
        <v>27693.97</v>
      </c>
      <c r="J84" s="23" t="n">
        <v>0.05</v>
      </c>
      <c r="K84" s="24" t="n">
        <v>394639.07</v>
      </c>
      <c r="L84" s="24" t="n">
        <v>253710.87</v>
      </c>
      <c r="M84" s="24" t="n">
        <v>140928.2</v>
      </c>
    </row>
    <row r="85">
      <c r="A85" s="20" t="inlineStr">
        <is>
          <t>ORD-20240084</t>
        </is>
      </c>
      <c r="B85" s="21" t="n">
        <v>45344</v>
      </c>
      <c r="C85" s="20" t="inlineStr">
        <is>
          <t>North</t>
        </is>
      </c>
      <c r="D85" s="20" t="inlineStr">
        <is>
          <t>Apparel</t>
        </is>
      </c>
      <c r="E85" s="20" t="inlineStr">
        <is>
          <t>Cap Embroidered</t>
        </is>
      </c>
      <c r="F85" s="20" t="inlineStr">
        <is>
          <t>Enterprise</t>
        </is>
      </c>
      <c r="G85" s="20" t="inlineStr">
        <is>
          <t>TCS Digital</t>
        </is>
      </c>
      <c r="H85" s="20" t="n">
        <v>17</v>
      </c>
      <c r="I85" s="22" t="n">
        <v>1700.67</v>
      </c>
      <c r="J85" s="23" t="n">
        <v>0</v>
      </c>
      <c r="K85" s="24" t="n">
        <v>28911.39</v>
      </c>
      <c r="L85" s="24" t="n">
        <v>19217.51</v>
      </c>
      <c r="M85" s="24" t="n">
        <v>9693.879999999999</v>
      </c>
    </row>
    <row r="86">
      <c r="A86" s="20" t="inlineStr">
        <is>
          <t>ORD-20240085</t>
        </is>
      </c>
      <c r="B86" s="21" t="n">
        <v>45345</v>
      </c>
      <c r="C86" s="20" t="inlineStr">
        <is>
          <t>Central</t>
        </is>
      </c>
      <c r="D86" s="20" t="inlineStr">
        <is>
          <t>Apparel</t>
        </is>
      </c>
      <c r="E86" s="20" t="inlineStr">
        <is>
          <t>Hoodie Soft</t>
        </is>
      </c>
      <c r="F86" s="20" t="inlineStr">
        <is>
          <t>Government</t>
        </is>
      </c>
      <c r="G86" s="20" t="inlineStr">
        <is>
          <t>MH Education Dept</t>
        </is>
      </c>
      <c r="H86" s="20" t="n">
        <v>7</v>
      </c>
      <c r="I86" s="22" t="n">
        <v>4064.92</v>
      </c>
      <c r="J86" s="23" t="n">
        <v>0</v>
      </c>
      <c r="K86" s="24" t="n">
        <v>28454.44</v>
      </c>
      <c r="L86" s="24" t="n">
        <v>21363.32</v>
      </c>
      <c r="M86" s="24" t="n">
        <v>7091.12</v>
      </c>
    </row>
    <row r="87">
      <c r="A87" s="20" t="inlineStr">
        <is>
          <t>ORD-20240086</t>
        </is>
      </c>
      <c r="B87" s="21" t="n">
        <v>45345</v>
      </c>
      <c r="C87" s="20" t="inlineStr">
        <is>
          <t>West</t>
        </is>
      </c>
      <c r="D87" s="20" t="inlineStr">
        <is>
          <t>Office Supplies</t>
        </is>
      </c>
      <c r="E87" s="20" t="inlineStr">
        <is>
          <t>Gel Pen Pack</t>
        </is>
      </c>
      <c r="F87" s="20" t="inlineStr">
        <is>
          <t>Consumer</t>
        </is>
      </c>
      <c r="G87" s="20" t="inlineStr">
        <is>
          <t>Online Guest</t>
        </is>
      </c>
      <c r="H87" s="20" t="n">
        <v>20</v>
      </c>
      <c r="I87" s="22" t="n">
        <v>2827.78</v>
      </c>
      <c r="J87" s="23" t="n">
        <v>0.15</v>
      </c>
      <c r="K87" s="24" t="n">
        <v>48072.26</v>
      </c>
      <c r="L87" s="24" t="n">
        <v>31669.04</v>
      </c>
      <c r="M87" s="24" t="n">
        <v>16403.22</v>
      </c>
    </row>
    <row r="88">
      <c r="A88" s="20" t="inlineStr">
        <is>
          <t>ORD-20240087</t>
        </is>
      </c>
      <c r="B88" s="21" t="n">
        <v>45345</v>
      </c>
      <c r="C88" s="20" t="inlineStr">
        <is>
          <t>East</t>
        </is>
      </c>
      <c r="D88" s="20" t="inlineStr">
        <is>
          <t>Office Supplies</t>
        </is>
      </c>
      <c r="E88" s="20" t="inlineStr">
        <is>
          <t>Stapler Heavy</t>
        </is>
      </c>
      <c r="F88" s="20" t="inlineStr">
        <is>
          <t>Government</t>
        </is>
      </c>
      <c r="G88" s="20" t="inlineStr">
        <is>
          <t>MH Education Dept</t>
        </is>
      </c>
      <c r="H88" s="20" t="n">
        <v>11</v>
      </c>
      <c r="I88" s="22" t="n">
        <v>3138.12</v>
      </c>
      <c r="J88" s="23" t="n">
        <v>0</v>
      </c>
      <c r="K88" s="24" t="n">
        <v>34519.32</v>
      </c>
      <c r="L88" s="24" t="n">
        <v>19310.26</v>
      </c>
      <c r="M88" s="24" t="n">
        <v>15209.06</v>
      </c>
    </row>
    <row r="89">
      <c r="A89" s="20" t="inlineStr">
        <is>
          <t>ORD-20240088</t>
        </is>
      </c>
      <c r="B89" s="21" t="n">
        <v>45347</v>
      </c>
      <c r="C89" s="20" t="inlineStr">
        <is>
          <t>East</t>
        </is>
      </c>
      <c r="D89" s="20" t="inlineStr">
        <is>
          <t>Electronics</t>
        </is>
      </c>
      <c r="E89" s="20" t="inlineStr">
        <is>
          <t>Keyboard Mech</t>
        </is>
      </c>
      <c r="F89" s="20" t="inlineStr">
        <is>
          <t>SMB</t>
        </is>
      </c>
      <c r="G89" s="20" t="inlineStr">
        <is>
          <t>CityCare Clinics</t>
        </is>
      </c>
      <c r="H89" s="20" t="n">
        <v>20</v>
      </c>
      <c r="I89" s="22" t="n">
        <v>43701.8</v>
      </c>
      <c r="J89" s="23" t="n">
        <v>0.12</v>
      </c>
      <c r="K89" s="24" t="n">
        <v>769151.6800000001</v>
      </c>
      <c r="L89" s="24" t="n">
        <v>540132.11</v>
      </c>
      <c r="M89" s="24" t="n">
        <v>229019.57</v>
      </c>
    </row>
    <row r="90">
      <c r="A90" s="20" t="inlineStr">
        <is>
          <t>ORD-20240089</t>
        </is>
      </c>
      <c r="B90" s="21" t="n">
        <v>45347</v>
      </c>
      <c r="C90" s="20" t="inlineStr">
        <is>
          <t>South</t>
        </is>
      </c>
      <c r="D90" s="20" t="inlineStr">
        <is>
          <t>Home &amp; Kitchen</t>
        </is>
      </c>
      <c r="E90" s="20" t="inlineStr">
        <is>
          <t>Water Purifier</t>
        </is>
      </c>
      <c r="F90" s="20" t="inlineStr">
        <is>
          <t>Consumer</t>
        </is>
      </c>
      <c r="G90" s="20" t="inlineStr">
        <is>
          <t>Walk-in Delhi</t>
        </is>
      </c>
      <c r="H90" s="20" t="n">
        <v>13</v>
      </c>
      <c r="I90" s="22" t="n">
        <v>11463.36</v>
      </c>
      <c r="J90" s="23" t="n">
        <v>0.1</v>
      </c>
      <c r="K90" s="24" t="n">
        <v>134121.31</v>
      </c>
      <c r="L90" s="24" t="n">
        <v>115067.39</v>
      </c>
      <c r="M90" s="24" t="n">
        <v>19053.92</v>
      </c>
    </row>
    <row r="91">
      <c r="A91" s="20" t="inlineStr">
        <is>
          <t>ORD-20240090</t>
        </is>
      </c>
      <c r="B91" s="21" t="n">
        <v>45348</v>
      </c>
      <c r="C91" s="20" t="inlineStr">
        <is>
          <t>Central</t>
        </is>
      </c>
      <c r="D91" s="20" t="inlineStr">
        <is>
          <t>Home &amp; Kitchen</t>
        </is>
      </c>
      <c r="E91" s="20" t="inlineStr">
        <is>
          <t>Mixer Grinder</t>
        </is>
      </c>
      <c r="F91" s="20" t="inlineStr">
        <is>
          <t>SMB</t>
        </is>
      </c>
      <c r="G91" s="20" t="inlineStr">
        <is>
          <t>SwiftPrint</t>
        </is>
      </c>
      <c r="H91" s="20" t="n">
        <v>3</v>
      </c>
      <c r="I91" s="22" t="n">
        <v>17751.91</v>
      </c>
      <c r="J91" s="23" t="n">
        <v>0.1</v>
      </c>
      <c r="K91" s="24" t="n">
        <v>47930.16</v>
      </c>
      <c r="L91" s="24" t="n">
        <v>38302.85</v>
      </c>
      <c r="M91" s="24" t="n">
        <v>9627.309999999999</v>
      </c>
    </row>
    <row r="92">
      <c r="A92" s="20" t="inlineStr">
        <is>
          <t>ORD-20240091</t>
        </is>
      </c>
      <c r="B92" s="21" t="n">
        <v>45348</v>
      </c>
      <c r="C92" s="20" t="inlineStr">
        <is>
          <t>East</t>
        </is>
      </c>
      <c r="D92" s="20" t="inlineStr">
        <is>
          <t>Electronics</t>
        </is>
      </c>
      <c r="E92" s="20" t="inlineStr">
        <is>
          <t>USB-C Hub</t>
        </is>
      </c>
      <c r="F92" s="20" t="inlineStr">
        <is>
          <t>SMB</t>
        </is>
      </c>
      <c r="G92" s="20" t="inlineStr">
        <is>
          <t>SwiftPrint</t>
        </is>
      </c>
      <c r="H92" s="20" t="n">
        <v>2</v>
      </c>
      <c r="I92" s="22" t="n">
        <v>81950.86</v>
      </c>
      <c r="J92" s="23" t="n">
        <v>0.15</v>
      </c>
      <c r="K92" s="24" t="n">
        <v>139316.46</v>
      </c>
      <c r="L92" s="24" t="n">
        <v>119634.12</v>
      </c>
      <c r="M92" s="24" t="n">
        <v>19682.34</v>
      </c>
    </row>
    <row r="93">
      <c r="A93" s="20" t="inlineStr">
        <is>
          <t>ORD-20240092</t>
        </is>
      </c>
      <c r="B93" s="21" t="n">
        <v>45349</v>
      </c>
      <c r="C93" s="20" t="inlineStr">
        <is>
          <t>West</t>
        </is>
      </c>
      <c r="D93" s="20" t="inlineStr">
        <is>
          <t>Electronics</t>
        </is>
      </c>
      <c r="E93" s="20" t="inlineStr">
        <is>
          <t>Wireless Mouse</t>
        </is>
      </c>
      <c r="F93" s="20" t="inlineStr">
        <is>
          <t>SMB</t>
        </is>
      </c>
      <c r="G93" s="20" t="inlineStr">
        <is>
          <t>GreenFarm Agro</t>
        </is>
      </c>
      <c r="H93" s="20" t="n">
        <v>24</v>
      </c>
      <c r="I93" s="22" t="n">
        <v>41591.56</v>
      </c>
      <c r="J93" s="23" t="n">
        <v>0.2</v>
      </c>
      <c r="K93" s="24" t="n">
        <v>798557.95</v>
      </c>
      <c r="L93" s="24" t="n">
        <v>748102.53</v>
      </c>
      <c r="M93" s="24" t="n">
        <v>50455.42</v>
      </c>
    </row>
    <row r="94">
      <c r="A94" s="20" t="inlineStr">
        <is>
          <t>ORD-20240093</t>
        </is>
      </c>
      <c r="B94" s="21" t="n">
        <v>45349</v>
      </c>
      <c r="C94" s="20" t="inlineStr">
        <is>
          <t>West</t>
        </is>
      </c>
      <c r="D94" s="20" t="inlineStr">
        <is>
          <t>Apparel</t>
        </is>
      </c>
      <c r="E94" s="20" t="inlineStr">
        <is>
          <t>Formal Blazer</t>
        </is>
      </c>
      <c r="F94" s="20" t="inlineStr">
        <is>
          <t>Enterprise</t>
        </is>
      </c>
      <c r="G94" s="20" t="inlineStr">
        <is>
          <t>Tech Mahindra</t>
        </is>
      </c>
      <c r="H94" s="20" t="n">
        <v>21</v>
      </c>
      <c r="I94" s="22" t="n">
        <v>1710.85</v>
      </c>
      <c r="J94" s="23" t="n">
        <v>0.12</v>
      </c>
      <c r="K94" s="24" t="n">
        <v>31616.51</v>
      </c>
      <c r="L94" s="24" t="n">
        <v>20408.81</v>
      </c>
      <c r="M94" s="24" t="n">
        <v>11207.7</v>
      </c>
    </row>
    <row r="95">
      <c r="A95" s="20" t="inlineStr">
        <is>
          <t>ORD-20240094</t>
        </is>
      </c>
      <c r="B95" s="21" t="n">
        <v>45349</v>
      </c>
      <c r="C95" s="20" t="inlineStr">
        <is>
          <t>North</t>
        </is>
      </c>
      <c r="D95" s="20" t="inlineStr">
        <is>
          <t>Office Supplies</t>
        </is>
      </c>
      <c r="E95" s="20" t="inlineStr">
        <is>
          <t>Notebook Set</t>
        </is>
      </c>
      <c r="F95" s="20" t="inlineStr">
        <is>
          <t>Consumer</t>
        </is>
      </c>
      <c r="G95" s="20" t="inlineStr">
        <is>
          <t>App User North</t>
        </is>
      </c>
      <c r="H95" s="20" t="n">
        <v>4</v>
      </c>
      <c r="I95" s="22" t="n">
        <v>1527.11</v>
      </c>
      <c r="J95" s="23" t="n">
        <v>0.1</v>
      </c>
      <c r="K95" s="24" t="n">
        <v>5497.6</v>
      </c>
      <c r="L95" s="24" t="n">
        <v>3938.38</v>
      </c>
      <c r="M95" s="24" t="n">
        <v>1559.22</v>
      </c>
    </row>
    <row r="96">
      <c r="A96" s="20" t="inlineStr">
        <is>
          <t>ORD-20240095</t>
        </is>
      </c>
      <c r="B96" s="21" t="n">
        <v>45350</v>
      </c>
      <c r="C96" s="20" t="inlineStr">
        <is>
          <t>Central</t>
        </is>
      </c>
      <c r="D96" s="20" t="inlineStr">
        <is>
          <t>Office Supplies</t>
        </is>
      </c>
      <c r="E96" s="20" t="inlineStr">
        <is>
          <t>A4 Paper Ream</t>
        </is>
      </c>
      <c r="F96" s="20" t="inlineStr">
        <is>
          <t>Consumer</t>
        </is>
      </c>
      <c r="G96" s="20" t="inlineStr">
        <is>
          <t>Walk-in Mumbai</t>
        </is>
      </c>
      <c r="H96" s="20" t="n">
        <v>14</v>
      </c>
      <c r="I96" s="22" t="n">
        <v>3149.26</v>
      </c>
      <c r="J96" s="23" t="n">
        <v>0.05</v>
      </c>
      <c r="K96" s="24" t="n">
        <v>41885.16</v>
      </c>
      <c r="L96" s="24" t="n">
        <v>27541.3</v>
      </c>
      <c r="M96" s="24" t="n">
        <v>14343.86</v>
      </c>
    </row>
    <row r="97">
      <c r="A97" s="20" t="inlineStr">
        <is>
          <t>ORD-20240096</t>
        </is>
      </c>
      <c r="B97" s="21" t="n">
        <v>45352</v>
      </c>
      <c r="C97" s="20" t="inlineStr">
        <is>
          <t>West</t>
        </is>
      </c>
      <c r="D97" s="20" t="inlineStr">
        <is>
          <t>Furniture</t>
        </is>
      </c>
      <c r="E97" s="20" t="inlineStr">
        <is>
          <t>Conference Table</t>
        </is>
      </c>
      <c r="F97" s="20" t="inlineStr">
        <is>
          <t>Government</t>
        </is>
      </c>
      <c r="G97" s="20" t="inlineStr">
        <is>
          <t>MH Education Dept</t>
        </is>
      </c>
      <c r="H97" s="20" t="n">
        <v>25</v>
      </c>
      <c r="I97" s="22" t="n">
        <v>43466.35</v>
      </c>
      <c r="J97" s="23" t="n">
        <v>0.1</v>
      </c>
      <c r="K97" s="24" t="n">
        <v>977992.88</v>
      </c>
      <c r="L97" s="24" t="n">
        <v>668996.6</v>
      </c>
      <c r="M97" s="24" t="n">
        <v>308996.28</v>
      </c>
    </row>
    <row r="98">
      <c r="A98" s="20" t="inlineStr">
        <is>
          <t>ORD-20240097</t>
        </is>
      </c>
      <c r="B98" s="21" t="n">
        <v>45353</v>
      </c>
      <c r="C98" s="20" t="inlineStr">
        <is>
          <t>South</t>
        </is>
      </c>
      <c r="D98" s="20" t="inlineStr">
        <is>
          <t>Office Supplies</t>
        </is>
      </c>
      <c r="E98" s="20" t="inlineStr">
        <is>
          <t>A4 Paper Ream</t>
        </is>
      </c>
      <c r="F98" s="20" t="inlineStr">
        <is>
          <t>Enterprise</t>
        </is>
      </c>
      <c r="G98" s="20" t="inlineStr">
        <is>
          <t>Infosys Ltd</t>
        </is>
      </c>
      <c r="H98" s="20" t="n">
        <v>14</v>
      </c>
      <c r="I98" s="22" t="n">
        <v>1238.62</v>
      </c>
      <c r="J98" s="23" t="n">
        <v>0</v>
      </c>
      <c r="K98" s="24" t="n">
        <v>17340.68</v>
      </c>
      <c r="L98" s="24" t="n">
        <v>11695.73</v>
      </c>
      <c r="M98" s="24" t="n">
        <v>5644.95</v>
      </c>
    </row>
    <row r="99">
      <c r="A99" s="20" t="inlineStr">
        <is>
          <t>ORD-20240098</t>
        </is>
      </c>
      <c r="B99" s="21" t="n">
        <v>45354</v>
      </c>
      <c r="C99" s="20" t="inlineStr">
        <is>
          <t>East</t>
        </is>
      </c>
      <c r="D99" s="20" t="inlineStr">
        <is>
          <t>Home &amp; Kitchen</t>
        </is>
      </c>
      <c r="E99" s="20" t="inlineStr">
        <is>
          <t>Mixer Grinder</t>
        </is>
      </c>
      <c r="F99" s="20" t="inlineStr">
        <is>
          <t>Enterprise</t>
        </is>
      </c>
      <c r="G99" s="20" t="inlineStr">
        <is>
          <t>HCL Services</t>
        </is>
      </c>
      <c r="H99" s="20" t="n">
        <v>13</v>
      </c>
      <c r="I99" s="22" t="n">
        <v>14124.21</v>
      </c>
      <c r="J99" s="23" t="n">
        <v>0.15</v>
      </c>
      <c r="K99" s="24" t="n">
        <v>156072.52</v>
      </c>
      <c r="L99" s="24" t="n">
        <v>110781.8</v>
      </c>
      <c r="M99" s="24" t="n">
        <v>45290.72</v>
      </c>
    </row>
    <row r="100">
      <c r="A100" s="20" t="inlineStr">
        <is>
          <t>ORD-20240099</t>
        </is>
      </c>
      <c r="B100" s="21" t="n">
        <v>45355</v>
      </c>
      <c r="C100" s="20" t="inlineStr">
        <is>
          <t>South</t>
        </is>
      </c>
      <c r="D100" s="20" t="inlineStr">
        <is>
          <t>Office Supplies</t>
        </is>
      </c>
      <c r="E100" s="20" t="inlineStr">
        <is>
          <t>Whiteboard Kit</t>
        </is>
      </c>
      <c r="F100" s="20" t="inlineStr">
        <is>
          <t>Government</t>
        </is>
      </c>
      <c r="G100" s="20" t="inlineStr">
        <is>
          <t>MH Education Dept</t>
        </is>
      </c>
      <c r="H100" s="20" t="n">
        <v>14</v>
      </c>
      <c r="I100" s="22" t="n">
        <v>1781.28</v>
      </c>
      <c r="J100" s="23" t="n">
        <v>0.15</v>
      </c>
      <c r="K100" s="24" t="n">
        <v>21197.23</v>
      </c>
      <c r="L100" s="24" t="n">
        <v>18722.1</v>
      </c>
      <c r="M100" s="24" t="n">
        <v>2475.13</v>
      </c>
    </row>
    <row r="101">
      <c r="A101" s="20" t="inlineStr">
        <is>
          <t>ORD-20240100</t>
        </is>
      </c>
      <c r="B101" s="21" t="n">
        <v>45355</v>
      </c>
      <c r="C101" s="20" t="inlineStr">
        <is>
          <t>East</t>
        </is>
      </c>
      <c r="D101" s="20" t="inlineStr">
        <is>
          <t>Home &amp; Kitchen</t>
        </is>
      </c>
      <c r="E101" s="20" t="inlineStr">
        <is>
          <t>Coffee Maker</t>
        </is>
      </c>
      <c r="F101" s="20" t="inlineStr">
        <is>
          <t>Government</t>
        </is>
      </c>
      <c r="G101" s="20" t="inlineStr">
        <is>
          <t>Delhi NDMC</t>
        </is>
      </c>
      <c r="H101" s="20" t="n">
        <v>5</v>
      </c>
      <c r="I101" s="22" t="n">
        <v>20214</v>
      </c>
      <c r="J101" s="23" t="n">
        <v>0.12</v>
      </c>
      <c r="K101" s="24" t="n">
        <v>88941.60000000001</v>
      </c>
      <c r="L101" s="24" t="n">
        <v>57493.45</v>
      </c>
      <c r="M101" s="24" t="n">
        <v>31448.15</v>
      </c>
    </row>
    <row r="102">
      <c r="A102" s="20" t="inlineStr">
        <is>
          <t>ORD-20240101</t>
        </is>
      </c>
      <c r="B102" s="21" t="n">
        <v>45356</v>
      </c>
      <c r="C102" s="20" t="inlineStr">
        <is>
          <t>South</t>
        </is>
      </c>
      <c r="D102" s="20" t="inlineStr">
        <is>
          <t>Home &amp; Kitchen</t>
        </is>
      </c>
      <c r="E102" s="20" t="inlineStr">
        <is>
          <t>Mixer Grinder</t>
        </is>
      </c>
      <c r="F102" s="20" t="inlineStr">
        <is>
          <t>Government</t>
        </is>
      </c>
      <c r="G102" s="20" t="inlineStr">
        <is>
          <t>MH Education Dept</t>
        </is>
      </c>
      <c r="H102" s="20" t="n">
        <v>5</v>
      </c>
      <c r="I102" s="22" t="n">
        <v>8260.08</v>
      </c>
      <c r="J102" s="23" t="n">
        <v>0.05</v>
      </c>
      <c r="K102" s="24" t="n">
        <v>39235.38</v>
      </c>
      <c r="L102" s="24" t="n">
        <v>27399.45</v>
      </c>
      <c r="M102" s="24" t="n">
        <v>11835.93</v>
      </c>
    </row>
    <row r="103">
      <c r="A103" s="20" t="inlineStr">
        <is>
          <t>ORD-20240102</t>
        </is>
      </c>
      <c r="B103" s="21" t="n">
        <v>45356</v>
      </c>
      <c r="C103" s="20" t="inlineStr">
        <is>
          <t>West</t>
        </is>
      </c>
      <c r="D103" s="20" t="inlineStr">
        <is>
          <t>Apparel</t>
        </is>
      </c>
      <c r="E103" s="20" t="inlineStr">
        <is>
          <t>Polo Shirt</t>
        </is>
      </c>
      <c r="F103" s="20" t="inlineStr">
        <is>
          <t>SMB</t>
        </is>
      </c>
      <c r="G103" s="20" t="inlineStr">
        <is>
          <t>Nova Logistics</t>
        </is>
      </c>
      <c r="H103" s="20" t="n">
        <v>2</v>
      </c>
      <c r="I103" s="22" t="n">
        <v>1206.54</v>
      </c>
      <c r="J103" s="23" t="n">
        <v>0.05</v>
      </c>
      <c r="K103" s="24" t="n">
        <v>2292.43</v>
      </c>
      <c r="L103" s="24" t="n">
        <v>1598.72</v>
      </c>
      <c r="M103" s="24" t="n">
        <v>693.71</v>
      </c>
    </row>
    <row r="104">
      <c r="A104" s="20" t="inlineStr">
        <is>
          <t>ORD-20240103</t>
        </is>
      </c>
      <c r="B104" s="21" t="n">
        <v>45356</v>
      </c>
      <c r="C104" s="20" t="inlineStr">
        <is>
          <t>West</t>
        </is>
      </c>
      <c r="D104" s="20" t="inlineStr">
        <is>
          <t>Electronics</t>
        </is>
      </c>
      <c r="E104" s="20" t="inlineStr">
        <is>
          <t>USB-C Hub</t>
        </is>
      </c>
      <c r="F104" s="20" t="inlineStr">
        <is>
          <t>SMB</t>
        </is>
      </c>
      <c r="G104" s="20" t="inlineStr">
        <is>
          <t>GreenFarm Agro</t>
        </is>
      </c>
      <c r="H104" s="20" t="n">
        <v>12</v>
      </c>
      <c r="I104" s="22" t="n">
        <v>36174.94</v>
      </c>
      <c r="J104" s="23" t="n">
        <v>0</v>
      </c>
      <c r="K104" s="24" t="n">
        <v>434099.28</v>
      </c>
      <c r="L104" s="24" t="n">
        <v>267860.47</v>
      </c>
      <c r="M104" s="24" t="n">
        <v>166238.81</v>
      </c>
    </row>
    <row r="105">
      <c r="A105" s="20" t="inlineStr">
        <is>
          <t>ORD-20240104</t>
        </is>
      </c>
      <c r="B105" s="21" t="n">
        <v>45356</v>
      </c>
      <c r="C105" s="20" t="inlineStr">
        <is>
          <t>South</t>
        </is>
      </c>
      <c r="D105" s="20" t="inlineStr">
        <is>
          <t>Office Supplies</t>
        </is>
      </c>
      <c r="E105" s="20" t="inlineStr">
        <is>
          <t>A4 Paper Ream</t>
        </is>
      </c>
      <c r="F105" s="20" t="inlineStr">
        <is>
          <t>Consumer</t>
        </is>
      </c>
      <c r="G105" s="20" t="inlineStr">
        <is>
          <t>Retail Counter</t>
        </is>
      </c>
      <c r="H105" s="20" t="n">
        <v>17</v>
      </c>
      <c r="I105" s="22" t="n">
        <v>777.1900000000001</v>
      </c>
      <c r="J105" s="23" t="n">
        <v>0.2</v>
      </c>
      <c r="K105" s="24" t="n">
        <v>10569.78</v>
      </c>
      <c r="L105" s="24" t="n">
        <v>8453.76</v>
      </c>
      <c r="M105" s="24" t="n">
        <v>2116.02</v>
      </c>
    </row>
    <row r="106">
      <c r="A106" s="20" t="inlineStr">
        <is>
          <t>ORD-20240105</t>
        </is>
      </c>
      <c r="B106" s="21" t="n">
        <v>45357</v>
      </c>
      <c r="C106" s="20" t="inlineStr">
        <is>
          <t>North</t>
        </is>
      </c>
      <c r="D106" s="20" t="inlineStr">
        <is>
          <t>Home &amp; Kitchen</t>
        </is>
      </c>
      <c r="E106" s="20" t="inlineStr">
        <is>
          <t>Vacuum Robot</t>
        </is>
      </c>
      <c r="F106" s="20" t="inlineStr">
        <is>
          <t>SMB</t>
        </is>
      </c>
      <c r="G106" s="20" t="inlineStr">
        <is>
          <t>Pixel Studio</t>
        </is>
      </c>
      <c r="H106" s="20" t="n">
        <v>2</v>
      </c>
      <c r="I106" s="22" t="n">
        <v>4421.61</v>
      </c>
      <c r="J106" s="23" t="n">
        <v>0.12</v>
      </c>
      <c r="K106" s="24" t="n">
        <v>7782.03</v>
      </c>
      <c r="L106" s="24" t="n">
        <v>5933.8</v>
      </c>
      <c r="M106" s="24" t="n">
        <v>1848.23</v>
      </c>
    </row>
    <row r="107">
      <c r="A107" s="20" t="inlineStr">
        <is>
          <t>ORD-20240106</t>
        </is>
      </c>
      <c r="B107" s="21" t="n">
        <v>45358</v>
      </c>
      <c r="C107" s="20" t="inlineStr">
        <is>
          <t>East</t>
        </is>
      </c>
      <c r="D107" s="20" t="inlineStr">
        <is>
          <t>Apparel</t>
        </is>
      </c>
      <c r="E107" s="20" t="inlineStr">
        <is>
          <t>Cap Embroidered</t>
        </is>
      </c>
      <c r="F107" s="20" t="inlineStr">
        <is>
          <t>SMB</t>
        </is>
      </c>
      <c r="G107" s="20" t="inlineStr">
        <is>
          <t>BrightRetail Co</t>
        </is>
      </c>
      <c r="H107" s="20" t="n">
        <v>9</v>
      </c>
      <c r="I107" s="22" t="n">
        <v>4722</v>
      </c>
      <c r="J107" s="23" t="n">
        <v>0.15</v>
      </c>
      <c r="K107" s="24" t="n">
        <v>36123.3</v>
      </c>
      <c r="L107" s="24" t="n">
        <v>24489.05</v>
      </c>
      <c r="M107" s="24" t="n">
        <v>11634.25</v>
      </c>
    </row>
    <row r="108">
      <c r="A108" s="20" t="inlineStr">
        <is>
          <t>ORD-20240107</t>
        </is>
      </c>
      <c r="B108" s="21" t="n">
        <v>45360</v>
      </c>
      <c r="C108" s="20" t="inlineStr">
        <is>
          <t>North</t>
        </is>
      </c>
      <c r="D108" s="20" t="inlineStr">
        <is>
          <t>Office Supplies</t>
        </is>
      </c>
      <c r="E108" s="20" t="inlineStr">
        <is>
          <t>Gel Pen Pack</t>
        </is>
      </c>
      <c r="F108" s="20" t="inlineStr">
        <is>
          <t>Enterprise</t>
        </is>
      </c>
      <c r="G108" s="20" t="inlineStr">
        <is>
          <t>L&amp;T Infotech</t>
        </is>
      </c>
      <c r="H108" s="20" t="n">
        <v>14</v>
      </c>
      <c r="I108" s="22" t="n">
        <v>2171.49</v>
      </c>
      <c r="J108" s="23" t="n">
        <v>0</v>
      </c>
      <c r="K108" s="24" t="n">
        <v>30400.86</v>
      </c>
      <c r="L108" s="24" t="n">
        <v>18403.26</v>
      </c>
      <c r="M108" s="24" t="n">
        <v>11997.6</v>
      </c>
    </row>
    <row r="109">
      <c r="A109" s="20" t="inlineStr">
        <is>
          <t>ORD-20240108</t>
        </is>
      </c>
      <c r="B109" s="21" t="n">
        <v>45361</v>
      </c>
      <c r="C109" s="20" t="inlineStr">
        <is>
          <t>East</t>
        </is>
      </c>
      <c r="D109" s="20" t="inlineStr">
        <is>
          <t>Electronics</t>
        </is>
      </c>
      <c r="E109" s="20" t="inlineStr">
        <is>
          <t>USB-C Hub</t>
        </is>
      </c>
      <c r="F109" s="20" t="inlineStr">
        <is>
          <t>SMB</t>
        </is>
      </c>
      <c r="G109" s="20" t="inlineStr">
        <is>
          <t>Nova Logistics</t>
        </is>
      </c>
      <c r="H109" s="20" t="n">
        <v>24</v>
      </c>
      <c r="I109" s="22" t="n">
        <v>41956.43</v>
      </c>
      <c r="J109" s="23" t="n">
        <v>0</v>
      </c>
      <c r="K109" s="24" t="n">
        <v>1006954.32</v>
      </c>
      <c r="L109" s="24" t="n">
        <v>680634.24</v>
      </c>
      <c r="M109" s="24" t="n">
        <v>326320.08</v>
      </c>
    </row>
    <row r="110">
      <c r="A110" s="20" t="inlineStr">
        <is>
          <t>ORD-20240109</t>
        </is>
      </c>
      <c r="B110" s="21" t="n">
        <v>45361</v>
      </c>
      <c r="C110" s="20" t="inlineStr">
        <is>
          <t>Central</t>
        </is>
      </c>
      <c r="D110" s="20" t="inlineStr">
        <is>
          <t>Electronics</t>
        </is>
      </c>
      <c r="E110" s="20" t="inlineStr">
        <is>
          <t>Monitor 27in</t>
        </is>
      </c>
      <c r="F110" s="20" t="inlineStr">
        <is>
          <t>Consumer</t>
        </is>
      </c>
      <c r="G110" s="20" t="inlineStr">
        <is>
          <t>Retail Counter</t>
        </is>
      </c>
      <c r="H110" s="20" t="n">
        <v>7</v>
      </c>
      <c r="I110" s="22" t="n">
        <v>9894.15</v>
      </c>
      <c r="J110" s="23" t="n">
        <v>0</v>
      </c>
      <c r="K110" s="24" t="n">
        <v>69259.05</v>
      </c>
      <c r="L110" s="24" t="n">
        <v>47573.37</v>
      </c>
      <c r="M110" s="24" t="n">
        <v>21685.68</v>
      </c>
    </row>
    <row r="111">
      <c r="A111" s="20" t="inlineStr">
        <is>
          <t>ORD-20240110</t>
        </is>
      </c>
      <c r="B111" s="21" t="n">
        <v>45362</v>
      </c>
      <c r="C111" s="20" t="inlineStr">
        <is>
          <t>North</t>
        </is>
      </c>
      <c r="D111" s="20" t="inlineStr">
        <is>
          <t>Home &amp; Kitchen</t>
        </is>
      </c>
      <c r="E111" s="20" t="inlineStr">
        <is>
          <t>Vacuum Robot</t>
        </is>
      </c>
      <c r="F111" s="20" t="inlineStr">
        <is>
          <t>Enterprise</t>
        </is>
      </c>
      <c r="G111" s="20" t="inlineStr">
        <is>
          <t>TCS Digital</t>
        </is>
      </c>
      <c r="H111" s="20" t="n">
        <v>8</v>
      </c>
      <c r="I111" s="22" t="n">
        <v>22716.93</v>
      </c>
      <c r="J111" s="23" t="n">
        <v>0</v>
      </c>
      <c r="K111" s="24" t="n">
        <v>181735.44</v>
      </c>
      <c r="L111" s="24" t="n">
        <v>139834.2</v>
      </c>
      <c r="M111" s="24" t="n">
        <v>41901.24</v>
      </c>
    </row>
    <row r="112">
      <c r="A112" s="20" t="inlineStr">
        <is>
          <t>ORD-20240111</t>
        </is>
      </c>
      <c r="B112" s="21" t="n">
        <v>45363</v>
      </c>
      <c r="C112" s="20" t="inlineStr">
        <is>
          <t>South</t>
        </is>
      </c>
      <c r="D112" s="20" t="inlineStr">
        <is>
          <t>Office Supplies</t>
        </is>
      </c>
      <c r="E112" s="20" t="inlineStr">
        <is>
          <t>Stapler Heavy</t>
        </is>
      </c>
      <c r="F112" s="20" t="inlineStr">
        <is>
          <t>SMB</t>
        </is>
      </c>
      <c r="G112" s="20" t="inlineStr">
        <is>
          <t>BrightRetail Co</t>
        </is>
      </c>
      <c r="H112" s="20" t="n">
        <v>22</v>
      </c>
      <c r="I112" s="22" t="n">
        <v>716.3</v>
      </c>
      <c r="J112" s="23" t="n">
        <v>0.1</v>
      </c>
      <c r="K112" s="24" t="n">
        <v>14182.74</v>
      </c>
      <c r="L112" s="24" t="n">
        <v>9677.02</v>
      </c>
      <c r="M112" s="24" t="n">
        <v>4505.72</v>
      </c>
    </row>
    <row r="113">
      <c r="A113" s="20" t="inlineStr">
        <is>
          <t>ORD-20240112</t>
        </is>
      </c>
      <c r="B113" s="21" t="n">
        <v>45363</v>
      </c>
      <c r="C113" s="20" t="inlineStr">
        <is>
          <t>North</t>
        </is>
      </c>
      <c r="D113" s="20" t="inlineStr">
        <is>
          <t>Electronics</t>
        </is>
      </c>
      <c r="E113" s="20" t="inlineStr">
        <is>
          <t>Wireless Mouse</t>
        </is>
      </c>
      <c r="F113" s="20" t="inlineStr">
        <is>
          <t>SMB</t>
        </is>
      </c>
      <c r="G113" s="20" t="inlineStr">
        <is>
          <t>BrightRetail Co</t>
        </is>
      </c>
      <c r="H113" s="20" t="n">
        <v>23</v>
      </c>
      <c r="I113" s="22" t="n">
        <v>51603.24</v>
      </c>
      <c r="J113" s="23" t="n">
        <v>0</v>
      </c>
      <c r="K113" s="24" t="n">
        <v>1186874.52</v>
      </c>
      <c r="L113" s="24" t="n">
        <v>703744.41</v>
      </c>
      <c r="M113" s="24" t="n">
        <v>483130.11</v>
      </c>
    </row>
    <row r="114">
      <c r="A114" s="20" t="inlineStr">
        <is>
          <t>ORD-20240113</t>
        </is>
      </c>
      <c r="B114" s="21" t="n">
        <v>45365</v>
      </c>
      <c r="C114" s="20" t="inlineStr">
        <is>
          <t>East</t>
        </is>
      </c>
      <c r="D114" s="20" t="inlineStr">
        <is>
          <t>Office Supplies</t>
        </is>
      </c>
      <c r="E114" s="20" t="inlineStr">
        <is>
          <t>A4 Paper Ream</t>
        </is>
      </c>
      <c r="F114" s="20" t="inlineStr">
        <is>
          <t>SMB</t>
        </is>
      </c>
      <c r="G114" s="20" t="inlineStr">
        <is>
          <t>Nova Logistics</t>
        </is>
      </c>
      <c r="H114" s="20" t="n">
        <v>13</v>
      </c>
      <c r="I114" s="22" t="n">
        <v>2421.42</v>
      </c>
      <c r="J114" s="23" t="n">
        <v>0.05</v>
      </c>
      <c r="K114" s="24" t="n">
        <v>29904.54</v>
      </c>
      <c r="L114" s="24" t="n">
        <v>17816</v>
      </c>
      <c r="M114" s="24" t="n">
        <v>12088.54</v>
      </c>
    </row>
    <row r="115">
      <c r="A115" s="20" t="inlineStr">
        <is>
          <t>ORD-20240114</t>
        </is>
      </c>
      <c r="B115" s="21" t="n">
        <v>45366</v>
      </c>
      <c r="C115" s="20" t="inlineStr">
        <is>
          <t>South</t>
        </is>
      </c>
      <c r="D115" s="20" t="inlineStr">
        <is>
          <t>Office Supplies</t>
        </is>
      </c>
      <c r="E115" s="20" t="inlineStr">
        <is>
          <t>Stapler Heavy</t>
        </is>
      </c>
      <c r="F115" s="20" t="inlineStr">
        <is>
          <t>Government</t>
        </is>
      </c>
      <c r="G115" s="20" t="inlineStr">
        <is>
          <t>Municipal Corp Hyd</t>
        </is>
      </c>
      <c r="H115" s="20" t="n">
        <v>14</v>
      </c>
      <c r="I115" s="22" t="n">
        <v>1310.67</v>
      </c>
      <c r="J115" s="23" t="n">
        <v>0</v>
      </c>
      <c r="K115" s="24" t="n">
        <v>18349.38</v>
      </c>
      <c r="L115" s="24" t="n">
        <v>13311.14</v>
      </c>
      <c r="M115" s="24" t="n">
        <v>5038.24</v>
      </c>
    </row>
    <row r="116">
      <c r="A116" s="20" t="inlineStr">
        <is>
          <t>ORD-20240115</t>
        </is>
      </c>
      <c r="B116" s="21" t="n">
        <v>45366</v>
      </c>
      <c r="C116" s="20" t="inlineStr">
        <is>
          <t>West</t>
        </is>
      </c>
      <c r="D116" s="20" t="inlineStr">
        <is>
          <t>Electronics</t>
        </is>
      </c>
      <c r="E116" s="20" t="inlineStr">
        <is>
          <t>Wireless Mouse</t>
        </is>
      </c>
      <c r="F116" s="20" t="inlineStr">
        <is>
          <t>Government</t>
        </is>
      </c>
      <c r="G116" s="20" t="inlineStr">
        <is>
          <t>Delhi NDMC</t>
        </is>
      </c>
      <c r="H116" s="20" t="n">
        <v>2</v>
      </c>
      <c r="I116" s="22" t="n">
        <v>52322.29</v>
      </c>
      <c r="J116" s="23" t="n">
        <v>0</v>
      </c>
      <c r="K116" s="24" t="n">
        <v>104644.58</v>
      </c>
      <c r="L116" s="24" t="n">
        <v>58455.11</v>
      </c>
      <c r="M116" s="24" t="n">
        <v>46189.47</v>
      </c>
    </row>
    <row r="117">
      <c r="A117" s="20" t="inlineStr">
        <is>
          <t>ORD-20240116</t>
        </is>
      </c>
      <c r="B117" s="21" t="n">
        <v>45367</v>
      </c>
      <c r="C117" s="20" t="inlineStr">
        <is>
          <t>East</t>
        </is>
      </c>
      <c r="D117" s="20" t="inlineStr">
        <is>
          <t>Apparel</t>
        </is>
      </c>
      <c r="E117" s="20" t="inlineStr">
        <is>
          <t>Formal Blazer</t>
        </is>
      </c>
      <c r="F117" s="20" t="inlineStr">
        <is>
          <t>SMB</t>
        </is>
      </c>
      <c r="G117" s="20" t="inlineStr">
        <is>
          <t>Pixel Studio</t>
        </is>
      </c>
      <c r="H117" s="20" t="n">
        <v>22</v>
      </c>
      <c r="I117" s="22" t="n">
        <v>1023.47</v>
      </c>
      <c r="J117" s="23" t="n">
        <v>0.12</v>
      </c>
      <c r="K117" s="24" t="n">
        <v>19814.38</v>
      </c>
      <c r="L117" s="24" t="n">
        <v>16470.42</v>
      </c>
      <c r="M117" s="24" t="n">
        <v>3343.96</v>
      </c>
    </row>
    <row r="118">
      <c r="A118" s="20" t="inlineStr">
        <is>
          <t>ORD-20240117</t>
        </is>
      </c>
      <c r="B118" s="21" t="n">
        <v>45367</v>
      </c>
      <c r="C118" s="20" t="inlineStr">
        <is>
          <t>North</t>
        </is>
      </c>
      <c r="D118" s="20" t="inlineStr">
        <is>
          <t>Home &amp; Kitchen</t>
        </is>
      </c>
      <c r="E118" s="20" t="inlineStr">
        <is>
          <t>Water Purifier</t>
        </is>
      </c>
      <c r="F118" s="20" t="inlineStr">
        <is>
          <t>Government</t>
        </is>
      </c>
      <c r="G118" s="20" t="inlineStr">
        <is>
          <t>Municipal Corp Hyd</t>
        </is>
      </c>
      <c r="H118" s="20" t="n">
        <v>21</v>
      </c>
      <c r="I118" s="22" t="n">
        <v>21472.33</v>
      </c>
      <c r="J118" s="23" t="n">
        <v>0.05</v>
      </c>
      <c r="K118" s="24" t="n">
        <v>428372.98</v>
      </c>
      <c r="L118" s="24" t="n">
        <v>264874.74</v>
      </c>
      <c r="M118" s="24" t="n">
        <v>163498.24</v>
      </c>
    </row>
    <row r="119">
      <c r="A119" s="20" t="inlineStr">
        <is>
          <t>ORD-20240118</t>
        </is>
      </c>
      <c r="B119" s="21" t="n">
        <v>45368</v>
      </c>
      <c r="C119" s="20" t="inlineStr">
        <is>
          <t>Central</t>
        </is>
      </c>
      <c r="D119" s="20" t="inlineStr">
        <is>
          <t>Furniture</t>
        </is>
      </c>
      <c r="E119" s="20" t="inlineStr">
        <is>
          <t>Standing Desk</t>
        </is>
      </c>
      <c r="F119" s="20" t="inlineStr">
        <is>
          <t>Government</t>
        </is>
      </c>
      <c r="G119" s="20" t="inlineStr">
        <is>
          <t>MH Education Dept</t>
        </is>
      </c>
      <c r="H119" s="20" t="n">
        <v>18</v>
      </c>
      <c r="I119" s="22" t="n">
        <v>44588.75</v>
      </c>
      <c r="J119" s="23" t="n">
        <v>0</v>
      </c>
      <c r="K119" s="24" t="n">
        <v>802597.5</v>
      </c>
      <c r="L119" s="24" t="n">
        <v>538147.41</v>
      </c>
      <c r="M119" s="24" t="n">
        <v>264450.09</v>
      </c>
    </row>
    <row r="120">
      <c r="A120" s="20" t="inlineStr">
        <is>
          <t>ORD-20240119</t>
        </is>
      </c>
      <c r="B120" s="21" t="n">
        <v>45368</v>
      </c>
      <c r="C120" s="20" t="inlineStr">
        <is>
          <t>East</t>
        </is>
      </c>
      <c r="D120" s="20" t="inlineStr">
        <is>
          <t>Apparel</t>
        </is>
      </c>
      <c r="E120" s="20" t="inlineStr">
        <is>
          <t>Cap Embroidered</t>
        </is>
      </c>
      <c r="F120" s="20" t="inlineStr">
        <is>
          <t>Enterprise</t>
        </is>
      </c>
      <c r="G120" s="20" t="inlineStr">
        <is>
          <t>Tech Mahindra</t>
        </is>
      </c>
      <c r="H120" s="20" t="n">
        <v>2</v>
      </c>
      <c r="I120" s="22" t="n">
        <v>1378.9</v>
      </c>
      <c r="J120" s="23" t="n">
        <v>0.15</v>
      </c>
      <c r="K120" s="24" t="n">
        <v>2344.13</v>
      </c>
      <c r="L120" s="24" t="n">
        <v>1688.74</v>
      </c>
      <c r="M120" s="24" t="n">
        <v>655.39</v>
      </c>
    </row>
    <row r="121">
      <c r="A121" s="20" t="inlineStr">
        <is>
          <t>ORD-20240120</t>
        </is>
      </c>
      <c r="B121" s="21" t="n">
        <v>45368</v>
      </c>
      <c r="C121" s="20" t="inlineStr">
        <is>
          <t>Central</t>
        </is>
      </c>
      <c r="D121" s="20" t="inlineStr">
        <is>
          <t>Office Supplies</t>
        </is>
      </c>
      <c r="E121" s="20" t="inlineStr">
        <is>
          <t>Notebook Set</t>
        </is>
      </c>
      <c r="F121" s="20" t="inlineStr">
        <is>
          <t>SMB</t>
        </is>
      </c>
      <c r="G121" s="20" t="inlineStr">
        <is>
          <t>SwiftPrint</t>
        </is>
      </c>
      <c r="H121" s="20" t="n">
        <v>7</v>
      </c>
      <c r="I121" s="22" t="n">
        <v>1064.91</v>
      </c>
      <c r="J121" s="23" t="n">
        <v>0</v>
      </c>
      <c r="K121" s="24" t="n">
        <v>7454.37</v>
      </c>
      <c r="L121" s="24" t="n">
        <v>5786.04</v>
      </c>
      <c r="M121" s="24" t="n">
        <v>1668.33</v>
      </c>
    </row>
    <row r="122">
      <c r="A122" s="20" t="inlineStr">
        <is>
          <t>ORD-20240121</t>
        </is>
      </c>
      <c r="B122" s="21" t="n">
        <v>45369</v>
      </c>
      <c r="C122" s="20" t="inlineStr">
        <is>
          <t>West</t>
        </is>
      </c>
      <c r="D122" s="20" t="inlineStr">
        <is>
          <t>Office Supplies</t>
        </is>
      </c>
      <c r="E122" s="20" t="inlineStr">
        <is>
          <t>Gel Pen Pack</t>
        </is>
      </c>
      <c r="F122" s="20" t="inlineStr">
        <is>
          <t>Government</t>
        </is>
      </c>
      <c r="G122" s="20" t="inlineStr">
        <is>
          <t>MH Education Dept</t>
        </is>
      </c>
      <c r="H122" s="20" t="n">
        <v>19</v>
      </c>
      <c r="I122" s="22" t="n">
        <v>2231.79</v>
      </c>
      <c r="J122" s="23" t="n">
        <v>0.12</v>
      </c>
      <c r="K122" s="24" t="n">
        <v>37315.53</v>
      </c>
      <c r="L122" s="24" t="n">
        <v>26981.23</v>
      </c>
      <c r="M122" s="24" t="n">
        <v>10334.3</v>
      </c>
    </row>
    <row r="123">
      <c r="A123" s="20" t="inlineStr">
        <is>
          <t>ORD-20240122</t>
        </is>
      </c>
      <c r="B123" s="21" t="n">
        <v>45369</v>
      </c>
      <c r="C123" s="20" t="inlineStr">
        <is>
          <t>Central</t>
        </is>
      </c>
      <c r="D123" s="20" t="inlineStr">
        <is>
          <t>Furniture</t>
        </is>
      </c>
      <c r="E123" s="20" t="inlineStr">
        <is>
          <t>Conference Table</t>
        </is>
      </c>
      <c r="F123" s="20" t="inlineStr">
        <is>
          <t>SMB</t>
        </is>
      </c>
      <c r="G123" s="20" t="inlineStr">
        <is>
          <t>BrightRetail Co</t>
        </is>
      </c>
      <c r="H123" s="20" t="n">
        <v>23</v>
      </c>
      <c r="I123" s="22" t="n">
        <v>10331.18</v>
      </c>
      <c r="J123" s="23" t="n">
        <v>0.05</v>
      </c>
      <c r="K123" s="24" t="n">
        <v>225736.28</v>
      </c>
      <c r="L123" s="24" t="n">
        <v>156209.46</v>
      </c>
      <c r="M123" s="24" t="n">
        <v>69526.82000000001</v>
      </c>
    </row>
    <row r="124">
      <c r="A124" s="20" t="inlineStr">
        <is>
          <t>ORD-20240123</t>
        </is>
      </c>
      <c r="B124" s="21" t="n">
        <v>45370</v>
      </c>
      <c r="C124" s="20" t="inlineStr">
        <is>
          <t>North</t>
        </is>
      </c>
      <c r="D124" s="20" t="inlineStr">
        <is>
          <t>Home &amp; Kitchen</t>
        </is>
      </c>
      <c r="E124" s="20" t="inlineStr">
        <is>
          <t>Vacuum Robot</t>
        </is>
      </c>
      <c r="F124" s="20" t="inlineStr">
        <is>
          <t>SMB</t>
        </is>
      </c>
      <c r="G124" s="20" t="inlineStr">
        <is>
          <t>GreenFarm Agro</t>
        </is>
      </c>
      <c r="H124" s="20" t="n">
        <v>3</v>
      </c>
      <c r="I124" s="22" t="n">
        <v>3163.68</v>
      </c>
      <c r="J124" s="23" t="n">
        <v>0</v>
      </c>
      <c r="K124" s="24" t="n">
        <v>9491.040000000001</v>
      </c>
      <c r="L124" s="24" t="n">
        <v>5849.57</v>
      </c>
      <c r="M124" s="24" t="n">
        <v>3641.47</v>
      </c>
    </row>
    <row r="125">
      <c r="A125" s="20" t="inlineStr">
        <is>
          <t>ORD-20240124</t>
        </is>
      </c>
      <c r="B125" s="21" t="n">
        <v>45370</v>
      </c>
      <c r="C125" s="20" t="inlineStr">
        <is>
          <t>Central</t>
        </is>
      </c>
      <c r="D125" s="20" t="inlineStr">
        <is>
          <t>Home &amp; Kitchen</t>
        </is>
      </c>
      <c r="E125" s="20" t="inlineStr">
        <is>
          <t>Vacuum Robot</t>
        </is>
      </c>
      <c r="F125" s="20" t="inlineStr">
        <is>
          <t>SMB</t>
        </is>
      </c>
      <c r="G125" s="20" t="inlineStr">
        <is>
          <t>CityCare Clinics</t>
        </is>
      </c>
      <c r="H125" s="20" t="n">
        <v>1</v>
      </c>
      <c r="I125" s="22" t="n">
        <v>15201.94</v>
      </c>
      <c r="J125" s="23" t="n">
        <v>0</v>
      </c>
      <c r="K125" s="24" t="n">
        <v>15201.94</v>
      </c>
      <c r="L125" s="24" t="n">
        <v>9817.049999999999</v>
      </c>
      <c r="M125" s="24" t="n">
        <v>5384.89</v>
      </c>
    </row>
    <row r="126">
      <c r="A126" s="20" t="inlineStr">
        <is>
          <t>ORD-20240125</t>
        </is>
      </c>
      <c r="B126" s="21" t="n">
        <v>45370</v>
      </c>
      <c r="C126" s="20" t="inlineStr">
        <is>
          <t>East</t>
        </is>
      </c>
      <c r="D126" s="20" t="inlineStr">
        <is>
          <t>Home &amp; Kitchen</t>
        </is>
      </c>
      <c r="E126" s="20" t="inlineStr">
        <is>
          <t>Coffee Maker</t>
        </is>
      </c>
      <c r="F126" s="20" t="inlineStr">
        <is>
          <t>Enterprise</t>
        </is>
      </c>
      <c r="G126" s="20" t="inlineStr">
        <is>
          <t>Wipro Tech</t>
        </is>
      </c>
      <c r="H126" s="20" t="n">
        <v>14</v>
      </c>
      <c r="I126" s="22" t="n">
        <v>21805.39</v>
      </c>
      <c r="J126" s="23" t="n">
        <v>0</v>
      </c>
      <c r="K126" s="24" t="n">
        <v>305275.46</v>
      </c>
      <c r="L126" s="24" t="n">
        <v>212464.28</v>
      </c>
      <c r="M126" s="24" t="n">
        <v>92811.17999999999</v>
      </c>
    </row>
    <row r="127">
      <c r="A127" s="20" t="inlineStr">
        <is>
          <t>ORD-20240126</t>
        </is>
      </c>
      <c r="B127" s="21" t="n">
        <v>45371</v>
      </c>
      <c r="C127" s="20" t="inlineStr">
        <is>
          <t>Central</t>
        </is>
      </c>
      <c r="D127" s="20" t="inlineStr">
        <is>
          <t>Furniture</t>
        </is>
      </c>
      <c r="E127" s="20" t="inlineStr">
        <is>
          <t>Ergo Chair</t>
        </is>
      </c>
      <c r="F127" s="20" t="inlineStr">
        <is>
          <t>Government</t>
        </is>
      </c>
      <c r="G127" s="20" t="inlineStr">
        <is>
          <t>MH Education Dept</t>
        </is>
      </c>
      <c r="H127" s="20" t="n">
        <v>11</v>
      </c>
      <c r="I127" s="22" t="n">
        <v>13051.19</v>
      </c>
      <c r="J127" s="23" t="n">
        <v>0.1</v>
      </c>
      <c r="K127" s="24" t="n">
        <v>129206.78</v>
      </c>
      <c r="L127" s="24" t="n">
        <v>87916.5</v>
      </c>
      <c r="M127" s="24" t="n">
        <v>41290.28</v>
      </c>
    </row>
    <row r="128">
      <c r="A128" s="20" t="inlineStr">
        <is>
          <t>ORD-20240127</t>
        </is>
      </c>
      <c r="B128" s="21" t="n">
        <v>45371</v>
      </c>
      <c r="C128" s="20" t="inlineStr">
        <is>
          <t>Central</t>
        </is>
      </c>
      <c r="D128" s="20" t="inlineStr">
        <is>
          <t>Furniture</t>
        </is>
      </c>
      <c r="E128" s="20" t="inlineStr">
        <is>
          <t>Conference Table</t>
        </is>
      </c>
      <c r="F128" s="20" t="inlineStr">
        <is>
          <t>Enterprise</t>
        </is>
      </c>
      <c r="G128" s="20" t="inlineStr">
        <is>
          <t>TCS Digital</t>
        </is>
      </c>
      <c r="H128" s="20" t="n">
        <v>13</v>
      </c>
      <c r="I128" s="22" t="n">
        <v>10306.99</v>
      </c>
      <c r="J128" s="23" t="n">
        <v>0.2</v>
      </c>
      <c r="K128" s="24" t="n">
        <v>107192.7</v>
      </c>
      <c r="L128" s="24" t="n">
        <v>92342.38</v>
      </c>
      <c r="M128" s="24" t="n">
        <v>14850.32</v>
      </c>
    </row>
    <row r="129">
      <c r="A129" s="20" t="inlineStr">
        <is>
          <t>ORD-20240128</t>
        </is>
      </c>
      <c r="B129" s="21" t="n">
        <v>45373</v>
      </c>
      <c r="C129" s="20" t="inlineStr">
        <is>
          <t>Central</t>
        </is>
      </c>
      <c r="D129" s="20" t="inlineStr">
        <is>
          <t>Home &amp; Kitchen</t>
        </is>
      </c>
      <c r="E129" s="20" t="inlineStr">
        <is>
          <t>Vacuum Robot</t>
        </is>
      </c>
      <c r="F129" s="20" t="inlineStr">
        <is>
          <t>SMB</t>
        </is>
      </c>
      <c r="G129" s="20" t="inlineStr">
        <is>
          <t>SwiftPrint</t>
        </is>
      </c>
      <c r="H129" s="20" t="n">
        <v>3</v>
      </c>
      <c r="I129" s="22" t="n">
        <v>2236.3</v>
      </c>
      <c r="J129" s="23" t="n">
        <v>0.05</v>
      </c>
      <c r="K129" s="24" t="n">
        <v>6373.45</v>
      </c>
      <c r="L129" s="24" t="n">
        <v>4882.78</v>
      </c>
      <c r="M129" s="24" t="n">
        <v>1490.67</v>
      </c>
    </row>
    <row r="130">
      <c r="A130" s="20" t="inlineStr">
        <is>
          <t>ORD-20240129</t>
        </is>
      </c>
      <c r="B130" s="21" t="n">
        <v>45374</v>
      </c>
      <c r="C130" s="20" t="inlineStr">
        <is>
          <t>East</t>
        </is>
      </c>
      <c r="D130" s="20" t="inlineStr">
        <is>
          <t>Apparel</t>
        </is>
      </c>
      <c r="E130" s="20" t="inlineStr">
        <is>
          <t>Polo Shirt</t>
        </is>
      </c>
      <c r="F130" s="20" t="inlineStr">
        <is>
          <t>Government</t>
        </is>
      </c>
      <c r="G130" s="20" t="inlineStr">
        <is>
          <t>State Health UP</t>
        </is>
      </c>
      <c r="H130" s="20" t="n">
        <v>19</v>
      </c>
      <c r="I130" s="22" t="n">
        <v>1442.08</v>
      </c>
      <c r="J130" s="23" t="n">
        <v>0.05</v>
      </c>
      <c r="K130" s="24" t="n">
        <v>26029.54</v>
      </c>
      <c r="L130" s="24" t="n">
        <v>16960.14</v>
      </c>
      <c r="M130" s="24" t="n">
        <v>9069.4</v>
      </c>
    </row>
    <row r="131">
      <c r="A131" s="20" t="inlineStr">
        <is>
          <t>ORD-20240130</t>
        </is>
      </c>
      <c r="B131" s="21" t="n">
        <v>45375</v>
      </c>
      <c r="C131" s="20" t="inlineStr">
        <is>
          <t>East</t>
        </is>
      </c>
      <c r="D131" s="20" t="inlineStr">
        <is>
          <t>Furniture</t>
        </is>
      </c>
      <c r="E131" s="20" t="inlineStr">
        <is>
          <t>Ergo Chair</t>
        </is>
      </c>
      <c r="F131" s="20" t="inlineStr">
        <is>
          <t>Government</t>
        </is>
      </c>
      <c r="G131" s="20" t="inlineStr">
        <is>
          <t>Municipal Corp Hyd</t>
        </is>
      </c>
      <c r="H131" s="20" t="n">
        <v>15</v>
      </c>
      <c r="I131" s="22" t="n">
        <v>15940.28</v>
      </c>
      <c r="J131" s="23" t="n">
        <v>0.12</v>
      </c>
      <c r="K131" s="24" t="n">
        <v>210411.7</v>
      </c>
      <c r="L131" s="24" t="n">
        <v>142209.58</v>
      </c>
      <c r="M131" s="24" t="n">
        <v>68202.12</v>
      </c>
    </row>
    <row r="132">
      <c r="A132" s="20" t="inlineStr">
        <is>
          <t>ORD-20240131</t>
        </is>
      </c>
      <c r="B132" s="21" t="n">
        <v>45375</v>
      </c>
      <c r="C132" s="20" t="inlineStr">
        <is>
          <t>North</t>
        </is>
      </c>
      <c r="D132" s="20" t="inlineStr">
        <is>
          <t>Office Supplies</t>
        </is>
      </c>
      <c r="E132" s="20" t="inlineStr">
        <is>
          <t>Gel Pen Pack</t>
        </is>
      </c>
      <c r="F132" s="20" t="inlineStr">
        <is>
          <t>Consumer</t>
        </is>
      </c>
      <c r="G132" s="20" t="inlineStr">
        <is>
          <t>Walk-in Mumbai</t>
        </is>
      </c>
      <c r="H132" s="20" t="n">
        <v>17</v>
      </c>
      <c r="I132" s="22" t="n">
        <v>3390.93</v>
      </c>
      <c r="J132" s="23" t="n">
        <v>0.15</v>
      </c>
      <c r="K132" s="24" t="n">
        <v>48998.94</v>
      </c>
      <c r="L132" s="24" t="n">
        <v>34479.38</v>
      </c>
      <c r="M132" s="24" t="n">
        <v>14519.56</v>
      </c>
    </row>
    <row r="133">
      <c r="A133" s="20" t="inlineStr">
        <is>
          <t>ORD-20240132</t>
        </is>
      </c>
      <c r="B133" s="21" t="n">
        <v>45376</v>
      </c>
      <c r="C133" s="20" t="inlineStr">
        <is>
          <t>West</t>
        </is>
      </c>
      <c r="D133" s="20" t="inlineStr">
        <is>
          <t>Electronics</t>
        </is>
      </c>
      <c r="E133" s="20" t="inlineStr">
        <is>
          <t>Laptop Pro 14</t>
        </is>
      </c>
      <c r="F133" s="20" t="inlineStr">
        <is>
          <t>Government</t>
        </is>
      </c>
      <c r="G133" s="20" t="inlineStr">
        <is>
          <t>State Health UP</t>
        </is>
      </c>
      <c r="H133" s="20" t="n">
        <v>18</v>
      </c>
      <c r="I133" s="22" t="n">
        <v>40879.63</v>
      </c>
      <c r="J133" s="23" t="n">
        <v>0</v>
      </c>
      <c r="K133" s="24" t="n">
        <v>735833.34</v>
      </c>
      <c r="L133" s="24" t="n">
        <v>523659.02</v>
      </c>
      <c r="M133" s="24" t="n">
        <v>212174.32</v>
      </c>
    </row>
    <row r="134">
      <c r="A134" s="20" t="inlineStr">
        <is>
          <t>ORD-20240133</t>
        </is>
      </c>
      <c r="B134" s="21" t="n">
        <v>45376</v>
      </c>
      <c r="C134" s="20" t="inlineStr">
        <is>
          <t>West</t>
        </is>
      </c>
      <c r="D134" s="20" t="inlineStr">
        <is>
          <t>Home &amp; Kitchen</t>
        </is>
      </c>
      <c r="E134" s="20" t="inlineStr">
        <is>
          <t>Mixer Grinder</t>
        </is>
      </c>
      <c r="F134" s="20" t="inlineStr">
        <is>
          <t>Government</t>
        </is>
      </c>
      <c r="G134" s="20" t="inlineStr">
        <is>
          <t>Delhi NDMC</t>
        </is>
      </c>
      <c r="H134" s="20" t="n">
        <v>10</v>
      </c>
      <c r="I134" s="22" t="n">
        <v>25253.5</v>
      </c>
      <c r="J134" s="23" t="n">
        <v>0.05</v>
      </c>
      <c r="K134" s="24" t="n">
        <v>239908.25</v>
      </c>
      <c r="L134" s="24" t="n">
        <v>157498.99</v>
      </c>
      <c r="M134" s="24" t="n">
        <v>82409.25999999999</v>
      </c>
    </row>
    <row r="135">
      <c r="A135" s="20" t="inlineStr">
        <is>
          <t>ORD-20240134</t>
        </is>
      </c>
      <c r="B135" s="21" t="n">
        <v>45376</v>
      </c>
      <c r="C135" s="20" t="inlineStr">
        <is>
          <t>South</t>
        </is>
      </c>
      <c r="D135" s="20" t="inlineStr">
        <is>
          <t>Electronics</t>
        </is>
      </c>
      <c r="E135" s="20" t="inlineStr">
        <is>
          <t>Laptop Pro 14</t>
        </is>
      </c>
      <c r="F135" s="20" t="inlineStr">
        <is>
          <t>Government</t>
        </is>
      </c>
      <c r="G135" s="20" t="inlineStr">
        <is>
          <t>MH Education Dept</t>
        </is>
      </c>
      <c r="H135" s="20" t="n">
        <v>1</v>
      </c>
      <c r="I135" s="22" t="n">
        <v>34535.73</v>
      </c>
      <c r="J135" s="23" t="n">
        <v>0.05</v>
      </c>
      <c r="K135" s="24" t="n">
        <v>32808.94</v>
      </c>
      <c r="L135" s="24" t="n">
        <v>21486.61</v>
      </c>
      <c r="M135" s="24" t="n">
        <v>11322.33</v>
      </c>
    </row>
    <row r="136">
      <c r="A136" s="20" t="inlineStr">
        <is>
          <t>ORD-20240135</t>
        </is>
      </c>
      <c r="B136" s="21" t="n">
        <v>45377</v>
      </c>
      <c r="C136" s="20" t="inlineStr">
        <is>
          <t>Central</t>
        </is>
      </c>
      <c r="D136" s="20" t="inlineStr">
        <is>
          <t>Apparel</t>
        </is>
      </c>
      <c r="E136" s="20" t="inlineStr">
        <is>
          <t>Safety Vest</t>
        </is>
      </c>
      <c r="F136" s="20" t="inlineStr">
        <is>
          <t>Enterprise</t>
        </is>
      </c>
      <c r="G136" s="20" t="inlineStr">
        <is>
          <t>HCL Services</t>
        </is>
      </c>
      <c r="H136" s="20" t="n">
        <v>5</v>
      </c>
      <c r="I136" s="22" t="n">
        <v>1495.23</v>
      </c>
      <c r="J136" s="23" t="n">
        <v>0.05</v>
      </c>
      <c r="K136" s="24" t="n">
        <v>7102.34</v>
      </c>
      <c r="L136" s="24" t="n">
        <v>5676.79</v>
      </c>
      <c r="M136" s="24" t="n">
        <v>1425.55</v>
      </c>
    </row>
    <row r="137">
      <c r="A137" s="20" t="inlineStr">
        <is>
          <t>ORD-20240136</t>
        </is>
      </c>
      <c r="B137" s="21" t="n">
        <v>45377</v>
      </c>
      <c r="C137" s="20" t="inlineStr">
        <is>
          <t>West</t>
        </is>
      </c>
      <c r="D137" s="20" t="inlineStr">
        <is>
          <t>Home &amp; Kitchen</t>
        </is>
      </c>
      <c r="E137" s="20" t="inlineStr">
        <is>
          <t>Air Fryer</t>
        </is>
      </c>
      <c r="F137" s="20" t="inlineStr">
        <is>
          <t>Government</t>
        </is>
      </c>
      <c r="G137" s="20" t="inlineStr">
        <is>
          <t>State Health UP</t>
        </is>
      </c>
      <c r="H137" s="20" t="n">
        <v>23</v>
      </c>
      <c r="I137" s="22" t="n">
        <v>23174.69</v>
      </c>
      <c r="J137" s="23" t="n">
        <v>0.15</v>
      </c>
      <c r="K137" s="24" t="n">
        <v>453065.19</v>
      </c>
      <c r="L137" s="24" t="n">
        <v>353878.86</v>
      </c>
      <c r="M137" s="24" t="n">
        <v>99186.33</v>
      </c>
    </row>
    <row r="138">
      <c r="A138" s="20" t="inlineStr">
        <is>
          <t>ORD-20240137</t>
        </is>
      </c>
      <c r="B138" s="21" t="n">
        <v>45377</v>
      </c>
      <c r="C138" s="20" t="inlineStr">
        <is>
          <t>Central</t>
        </is>
      </c>
      <c r="D138" s="20" t="inlineStr">
        <is>
          <t>Office Supplies</t>
        </is>
      </c>
      <c r="E138" s="20" t="inlineStr">
        <is>
          <t>A4 Paper Ream</t>
        </is>
      </c>
      <c r="F138" s="20" t="inlineStr">
        <is>
          <t>SMB</t>
        </is>
      </c>
      <c r="G138" s="20" t="inlineStr">
        <is>
          <t>CityCare Clinics</t>
        </is>
      </c>
      <c r="H138" s="20" t="n">
        <v>17</v>
      </c>
      <c r="I138" s="22" t="n">
        <v>816.4</v>
      </c>
      <c r="J138" s="23" t="n">
        <v>0.05</v>
      </c>
      <c r="K138" s="24" t="n">
        <v>13184.86</v>
      </c>
      <c r="L138" s="24" t="n">
        <v>8258.09</v>
      </c>
      <c r="M138" s="24" t="n">
        <v>4926.77</v>
      </c>
    </row>
    <row r="139">
      <c r="A139" s="20" t="inlineStr">
        <is>
          <t>ORD-20240138</t>
        </is>
      </c>
      <c r="B139" s="21" t="n">
        <v>45377</v>
      </c>
      <c r="C139" s="20" t="inlineStr">
        <is>
          <t>Central</t>
        </is>
      </c>
      <c r="D139" s="20" t="inlineStr">
        <is>
          <t>Apparel</t>
        </is>
      </c>
      <c r="E139" s="20" t="inlineStr">
        <is>
          <t>Polo Shirt</t>
        </is>
      </c>
      <c r="F139" s="20" t="inlineStr">
        <is>
          <t>Consumer</t>
        </is>
      </c>
      <c r="G139" s="20" t="inlineStr">
        <is>
          <t>Online Guest</t>
        </is>
      </c>
      <c r="H139" s="20" t="n">
        <v>13</v>
      </c>
      <c r="I139" s="22" t="n">
        <v>3352.91</v>
      </c>
      <c r="J139" s="23" t="n">
        <v>0</v>
      </c>
      <c r="K139" s="24" t="n">
        <v>43587.83</v>
      </c>
      <c r="L139" s="24" t="n">
        <v>27983.98</v>
      </c>
      <c r="M139" s="24" t="n">
        <v>15603.85</v>
      </c>
    </row>
    <row r="140">
      <c r="A140" s="20" t="inlineStr">
        <is>
          <t>ORD-20240139</t>
        </is>
      </c>
      <c r="B140" s="21" t="n">
        <v>45378</v>
      </c>
      <c r="C140" s="20" t="inlineStr">
        <is>
          <t>North</t>
        </is>
      </c>
      <c r="D140" s="20" t="inlineStr">
        <is>
          <t>Office Supplies</t>
        </is>
      </c>
      <c r="E140" s="20" t="inlineStr">
        <is>
          <t>A4 Paper Ream</t>
        </is>
      </c>
      <c r="F140" s="20" t="inlineStr">
        <is>
          <t>SMB</t>
        </is>
      </c>
      <c r="G140" s="20" t="inlineStr">
        <is>
          <t>CityCare Clinics</t>
        </is>
      </c>
      <c r="H140" s="20" t="n">
        <v>14</v>
      </c>
      <c r="I140" s="22" t="n">
        <v>2467.92</v>
      </c>
      <c r="J140" s="23" t="n">
        <v>0.1</v>
      </c>
      <c r="K140" s="24" t="n">
        <v>31095.79</v>
      </c>
      <c r="L140" s="24" t="n">
        <v>22646.21</v>
      </c>
      <c r="M140" s="24" t="n">
        <v>8449.58</v>
      </c>
    </row>
    <row r="141">
      <c r="A141" s="20" t="inlineStr">
        <is>
          <t>ORD-20240140</t>
        </is>
      </c>
      <c r="B141" s="21" t="n">
        <v>45378</v>
      </c>
      <c r="C141" s="20" t="inlineStr">
        <is>
          <t>North</t>
        </is>
      </c>
      <c r="D141" s="20" t="inlineStr">
        <is>
          <t>Home &amp; Kitchen</t>
        </is>
      </c>
      <c r="E141" s="20" t="inlineStr">
        <is>
          <t>Vacuum Robot</t>
        </is>
      </c>
      <c r="F141" s="20" t="inlineStr">
        <is>
          <t>Government</t>
        </is>
      </c>
      <c r="G141" s="20" t="inlineStr">
        <is>
          <t>MH Education Dept</t>
        </is>
      </c>
      <c r="H141" s="20" t="n">
        <v>25</v>
      </c>
      <c r="I141" s="22" t="n">
        <v>1267.63</v>
      </c>
      <c r="J141" s="23" t="n">
        <v>0.2</v>
      </c>
      <c r="K141" s="24" t="n">
        <v>25352.6</v>
      </c>
      <c r="L141" s="24" t="n">
        <v>24308</v>
      </c>
      <c r="M141" s="24" t="n">
        <v>1044.6</v>
      </c>
    </row>
    <row r="142">
      <c r="A142" s="20" t="inlineStr">
        <is>
          <t>ORD-20240141</t>
        </is>
      </c>
      <c r="B142" s="21" t="n">
        <v>45379</v>
      </c>
      <c r="C142" s="20" t="inlineStr">
        <is>
          <t>East</t>
        </is>
      </c>
      <c r="D142" s="20" t="inlineStr">
        <is>
          <t>Office Supplies</t>
        </is>
      </c>
      <c r="E142" s="20" t="inlineStr">
        <is>
          <t>Whiteboard Kit</t>
        </is>
      </c>
      <c r="F142" s="20" t="inlineStr">
        <is>
          <t>Consumer</t>
        </is>
      </c>
      <c r="G142" s="20" t="inlineStr">
        <is>
          <t>Online Guest</t>
        </is>
      </c>
      <c r="H142" s="20" t="n">
        <v>5</v>
      </c>
      <c r="I142" s="22" t="n">
        <v>2419.53</v>
      </c>
      <c r="J142" s="23" t="n">
        <v>0.15</v>
      </c>
      <c r="K142" s="24" t="n">
        <v>10283</v>
      </c>
      <c r="L142" s="24" t="n">
        <v>6840.5</v>
      </c>
      <c r="M142" s="24" t="n">
        <v>3442.5</v>
      </c>
    </row>
    <row r="143">
      <c r="A143" s="20" t="inlineStr">
        <is>
          <t>ORD-20240142</t>
        </is>
      </c>
      <c r="B143" s="21" t="n">
        <v>45379</v>
      </c>
      <c r="C143" s="20" t="inlineStr">
        <is>
          <t>South</t>
        </is>
      </c>
      <c r="D143" s="20" t="inlineStr">
        <is>
          <t>Home &amp; Kitchen</t>
        </is>
      </c>
      <c r="E143" s="20" t="inlineStr">
        <is>
          <t>Mixer Grinder</t>
        </is>
      </c>
      <c r="F143" s="20" t="inlineStr">
        <is>
          <t>Enterprise</t>
        </is>
      </c>
      <c r="G143" s="20" t="inlineStr">
        <is>
          <t>Infosys Ltd</t>
        </is>
      </c>
      <c r="H143" s="20" t="n">
        <v>1</v>
      </c>
      <c r="I143" s="22" t="n">
        <v>16462.97</v>
      </c>
      <c r="J143" s="23" t="n">
        <v>0.12</v>
      </c>
      <c r="K143" s="24" t="n">
        <v>14487.41</v>
      </c>
      <c r="L143" s="24" t="n">
        <v>11088.55</v>
      </c>
      <c r="M143" s="24" t="n">
        <v>3398.86</v>
      </c>
    </row>
    <row r="144">
      <c r="A144" s="20" t="inlineStr">
        <is>
          <t>ORD-20240143</t>
        </is>
      </c>
      <c r="B144" s="21" t="n">
        <v>45379</v>
      </c>
      <c r="C144" s="20" t="inlineStr">
        <is>
          <t>East</t>
        </is>
      </c>
      <c r="D144" s="20" t="inlineStr">
        <is>
          <t>Furniture</t>
        </is>
      </c>
      <c r="E144" s="20" t="inlineStr">
        <is>
          <t>Standing Desk</t>
        </is>
      </c>
      <c r="F144" s="20" t="inlineStr">
        <is>
          <t>Enterprise</t>
        </is>
      </c>
      <c r="G144" s="20" t="inlineStr">
        <is>
          <t>HCL Services</t>
        </is>
      </c>
      <c r="H144" s="20" t="n">
        <v>19</v>
      </c>
      <c r="I144" s="22" t="n">
        <v>34175.89</v>
      </c>
      <c r="J144" s="23" t="n">
        <v>0.2</v>
      </c>
      <c r="K144" s="24" t="n">
        <v>519473.53</v>
      </c>
      <c r="L144" s="24" t="n">
        <v>416756.73</v>
      </c>
      <c r="M144" s="24" t="n">
        <v>102716.8</v>
      </c>
    </row>
    <row r="145">
      <c r="A145" s="20" t="inlineStr">
        <is>
          <t>ORD-20240144</t>
        </is>
      </c>
      <c r="B145" s="21" t="n">
        <v>45379</v>
      </c>
      <c r="C145" s="20" t="inlineStr">
        <is>
          <t>South</t>
        </is>
      </c>
      <c r="D145" s="20" t="inlineStr">
        <is>
          <t>Office Supplies</t>
        </is>
      </c>
      <c r="E145" s="20" t="inlineStr">
        <is>
          <t>Notebook Set</t>
        </is>
      </c>
      <c r="F145" s="20" t="inlineStr">
        <is>
          <t>SMB</t>
        </is>
      </c>
      <c r="G145" s="20" t="inlineStr">
        <is>
          <t>Pixel Studio</t>
        </is>
      </c>
      <c r="H145" s="20" t="n">
        <v>5</v>
      </c>
      <c r="I145" s="22" t="n">
        <v>1486.28</v>
      </c>
      <c r="J145" s="23" t="n">
        <v>0.05</v>
      </c>
      <c r="K145" s="24" t="n">
        <v>7059.83</v>
      </c>
      <c r="L145" s="24" t="n">
        <v>4601.85</v>
      </c>
      <c r="M145" s="24" t="n">
        <v>2457.98</v>
      </c>
    </row>
    <row r="146">
      <c r="A146" s="20" t="inlineStr">
        <is>
          <t>ORD-20240145</t>
        </is>
      </c>
      <c r="B146" s="21" t="n">
        <v>45380</v>
      </c>
      <c r="C146" s="20" t="inlineStr">
        <is>
          <t>South</t>
        </is>
      </c>
      <c r="D146" s="20" t="inlineStr">
        <is>
          <t>Electronics</t>
        </is>
      </c>
      <c r="E146" s="20" t="inlineStr">
        <is>
          <t>USB-C Hub</t>
        </is>
      </c>
      <c r="F146" s="20" t="inlineStr">
        <is>
          <t>Consumer</t>
        </is>
      </c>
      <c r="G146" s="20" t="inlineStr">
        <is>
          <t>Online Guest</t>
        </is>
      </c>
      <c r="H146" s="20" t="n">
        <v>17</v>
      </c>
      <c r="I146" s="22" t="n">
        <v>56820.45</v>
      </c>
      <c r="J146" s="23" t="n">
        <v>0.2</v>
      </c>
      <c r="K146" s="24" t="n">
        <v>772758.12</v>
      </c>
      <c r="L146" s="24" t="n">
        <v>565715.46</v>
      </c>
      <c r="M146" s="24" t="n">
        <v>207042.66</v>
      </c>
    </row>
    <row r="147">
      <c r="A147" s="20" t="inlineStr">
        <is>
          <t>ORD-20240146</t>
        </is>
      </c>
      <c r="B147" s="21" t="n">
        <v>45381</v>
      </c>
      <c r="C147" s="20" t="inlineStr">
        <is>
          <t>North</t>
        </is>
      </c>
      <c r="D147" s="20" t="inlineStr">
        <is>
          <t>Office Supplies</t>
        </is>
      </c>
      <c r="E147" s="20" t="inlineStr">
        <is>
          <t>A4 Paper Ream</t>
        </is>
      </c>
      <c r="F147" s="20" t="inlineStr">
        <is>
          <t>Enterprise</t>
        </is>
      </c>
      <c r="G147" s="20" t="inlineStr">
        <is>
          <t>Wipro Tech</t>
        </is>
      </c>
      <c r="H147" s="20" t="n">
        <v>15</v>
      </c>
      <c r="I147" s="22" t="n">
        <v>1291.72</v>
      </c>
      <c r="J147" s="23" t="n">
        <v>0.05</v>
      </c>
      <c r="K147" s="24" t="n">
        <v>18407.01</v>
      </c>
      <c r="L147" s="24" t="n">
        <v>11112.28</v>
      </c>
      <c r="M147" s="24" t="n">
        <v>7294.73</v>
      </c>
    </row>
    <row r="148">
      <c r="A148" s="20" t="inlineStr">
        <is>
          <t>ORD-20240147</t>
        </is>
      </c>
      <c r="B148" s="21" t="n">
        <v>45381</v>
      </c>
      <c r="C148" s="20" t="inlineStr">
        <is>
          <t>Central</t>
        </is>
      </c>
      <c r="D148" s="20" t="inlineStr">
        <is>
          <t>Furniture</t>
        </is>
      </c>
      <c r="E148" s="20" t="inlineStr">
        <is>
          <t>Ergo Chair</t>
        </is>
      </c>
      <c r="F148" s="20" t="inlineStr">
        <is>
          <t>SMB</t>
        </is>
      </c>
      <c r="G148" s="20" t="inlineStr">
        <is>
          <t>SwiftPrint</t>
        </is>
      </c>
      <c r="H148" s="20" t="n">
        <v>10</v>
      </c>
      <c r="I148" s="22" t="n">
        <v>23702.89</v>
      </c>
      <c r="J148" s="23" t="n">
        <v>0.2</v>
      </c>
      <c r="K148" s="24" t="n">
        <v>189623.12</v>
      </c>
      <c r="L148" s="24" t="n">
        <v>156481.06</v>
      </c>
      <c r="M148" s="24" t="n">
        <v>33142.06</v>
      </c>
    </row>
    <row r="149">
      <c r="A149" s="20" t="inlineStr">
        <is>
          <t>ORD-20240148</t>
        </is>
      </c>
      <c r="B149" s="21" t="n">
        <v>45384</v>
      </c>
      <c r="C149" s="20" t="inlineStr">
        <is>
          <t>East</t>
        </is>
      </c>
      <c r="D149" s="20" t="inlineStr">
        <is>
          <t>Home &amp; Kitchen</t>
        </is>
      </c>
      <c r="E149" s="20" t="inlineStr">
        <is>
          <t>Air Fryer</t>
        </is>
      </c>
      <c r="F149" s="20" t="inlineStr">
        <is>
          <t>Government</t>
        </is>
      </c>
      <c r="G149" s="20" t="inlineStr">
        <is>
          <t>State Health UP</t>
        </is>
      </c>
      <c r="H149" s="20" t="n">
        <v>2</v>
      </c>
      <c r="I149" s="22" t="n">
        <v>2535.09</v>
      </c>
      <c r="J149" s="23" t="n">
        <v>0.05</v>
      </c>
      <c r="K149" s="24" t="n">
        <v>4816.67</v>
      </c>
      <c r="L149" s="24" t="n">
        <v>2878.08</v>
      </c>
      <c r="M149" s="24" t="n">
        <v>1938.59</v>
      </c>
    </row>
    <row r="150">
      <c r="A150" s="20" t="inlineStr">
        <is>
          <t>ORD-20240149</t>
        </is>
      </c>
      <c r="B150" s="21" t="n">
        <v>45384</v>
      </c>
      <c r="C150" s="20" t="inlineStr">
        <is>
          <t>South</t>
        </is>
      </c>
      <c r="D150" s="20" t="inlineStr">
        <is>
          <t>Office Supplies</t>
        </is>
      </c>
      <c r="E150" s="20" t="inlineStr">
        <is>
          <t>Gel Pen Pack</t>
        </is>
      </c>
      <c r="F150" s="20" t="inlineStr">
        <is>
          <t>Government</t>
        </is>
      </c>
      <c r="G150" s="20" t="inlineStr">
        <is>
          <t>Municipal Corp Hyd</t>
        </is>
      </c>
      <c r="H150" s="20" t="n">
        <v>15</v>
      </c>
      <c r="I150" s="22" t="n">
        <v>1770.72</v>
      </c>
      <c r="J150" s="23" t="n">
        <v>0.05</v>
      </c>
      <c r="K150" s="24" t="n">
        <v>25232.76</v>
      </c>
      <c r="L150" s="24" t="n">
        <v>17646.87</v>
      </c>
      <c r="M150" s="24" t="n">
        <v>7585.89</v>
      </c>
    </row>
    <row r="151">
      <c r="A151" s="20" t="inlineStr">
        <is>
          <t>ORD-20240150</t>
        </is>
      </c>
      <c r="B151" s="21" t="n">
        <v>45384</v>
      </c>
      <c r="C151" s="20" t="inlineStr">
        <is>
          <t>Central</t>
        </is>
      </c>
      <c r="D151" s="20" t="inlineStr">
        <is>
          <t>Apparel</t>
        </is>
      </c>
      <c r="E151" s="20" t="inlineStr">
        <is>
          <t>Polo Shirt</t>
        </is>
      </c>
      <c r="F151" s="20" t="inlineStr">
        <is>
          <t>Consumer</t>
        </is>
      </c>
      <c r="G151" s="20" t="inlineStr">
        <is>
          <t>Walk-in Mumbai</t>
        </is>
      </c>
      <c r="H151" s="20" t="n">
        <v>15</v>
      </c>
      <c r="I151" s="22" t="n">
        <v>1748.05</v>
      </c>
      <c r="J151" s="23" t="n">
        <v>0.05</v>
      </c>
      <c r="K151" s="24" t="n">
        <v>24909.71</v>
      </c>
      <c r="L151" s="24" t="n">
        <v>19562.54</v>
      </c>
      <c r="M151" s="24" t="n">
        <v>5347.17</v>
      </c>
    </row>
    <row r="152">
      <c r="A152" s="20" t="inlineStr">
        <is>
          <t>ORD-20240151</t>
        </is>
      </c>
      <c r="B152" s="21" t="n">
        <v>45384</v>
      </c>
      <c r="C152" s="20" t="inlineStr">
        <is>
          <t>North</t>
        </is>
      </c>
      <c r="D152" s="20" t="inlineStr">
        <is>
          <t>Office Supplies</t>
        </is>
      </c>
      <c r="E152" s="20" t="inlineStr">
        <is>
          <t>Gel Pen Pack</t>
        </is>
      </c>
      <c r="F152" s="20" t="inlineStr">
        <is>
          <t>Enterprise</t>
        </is>
      </c>
      <c r="G152" s="20" t="inlineStr">
        <is>
          <t>L&amp;T Infotech</t>
        </is>
      </c>
      <c r="H152" s="20" t="n">
        <v>3</v>
      </c>
      <c r="I152" s="22" t="n">
        <v>3178.74</v>
      </c>
      <c r="J152" s="23" t="n">
        <v>0.15</v>
      </c>
      <c r="K152" s="24" t="n">
        <v>8105.79</v>
      </c>
      <c r="L152" s="24" t="n">
        <v>5572.04</v>
      </c>
      <c r="M152" s="24" t="n">
        <v>2533.75</v>
      </c>
    </row>
    <row r="153">
      <c r="A153" s="20" t="inlineStr">
        <is>
          <t>ORD-20240152</t>
        </is>
      </c>
      <c r="B153" s="21" t="n">
        <v>45384</v>
      </c>
      <c r="C153" s="20" t="inlineStr">
        <is>
          <t>North</t>
        </is>
      </c>
      <c r="D153" s="20" t="inlineStr">
        <is>
          <t>Office Supplies</t>
        </is>
      </c>
      <c r="E153" s="20" t="inlineStr">
        <is>
          <t>Whiteboard Kit</t>
        </is>
      </c>
      <c r="F153" s="20" t="inlineStr">
        <is>
          <t>SMB</t>
        </is>
      </c>
      <c r="G153" s="20" t="inlineStr">
        <is>
          <t>GreenFarm Agro</t>
        </is>
      </c>
      <c r="H153" s="20" t="n">
        <v>19</v>
      </c>
      <c r="I153" s="22" t="n">
        <v>3143.33</v>
      </c>
      <c r="J153" s="23" t="n">
        <v>0.05</v>
      </c>
      <c r="K153" s="24" t="n">
        <v>56737.11</v>
      </c>
      <c r="L153" s="24" t="n">
        <v>44970.79</v>
      </c>
      <c r="M153" s="24" t="n">
        <v>11766.32</v>
      </c>
    </row>
    <row r="154">
      <c r="A154" s="20" t="inlineStr">
        <is>
          <t>ORD-20240153</t>
        </is>
      </c>
      <c r="B154" s="21" t="n">
        <v>45384</v>
      </c>
      <c r="C154" s="20" t="inlineStr">
        <is>
          <t>Central</t>
        </is>
      </c>
      <c r="D154" s="20" t="inlineStr">
        <is>
          <t>Furniture</t>
        </is>
      </c>
      <c r="E154" s="20" t="inlineStr">
        <is>
          <t>Ergo Chair</t>
        </is>
      </c>
      <c r="F154" s="20" t="inlineStr">
        <is>
          <t>Enterprise</t>
        </is>
      </c>
      <c r="G154" s="20" t="inlineStr">
        <is>
          <t>Tech Mahindra</t>
        </is>
      </c>
      <c r="H154" s="20" t="n">
        <v>22</v>
      </c>
      <c r="I154" s="22" t="n">
        <v>37731.72</v>
      </c>
      <c r="J154" s="23" t="n">
        <v>0.2</v>
      </c>
      <c r="K154" s="24" t="n">
        <v>664078.27</v>
      </c>
      <c r="L154" s="24" t="n">
        <v>504629.64</v>
      </c>
      <c r="M154" s="24" t="n">
        <v>159448.63</v>
      </c>
    </row>
    <row r="155">
      <c r="A155" s="20" t="inlineStr">
        <is>
          <t>ORD-20240154</t>
        </is>
      </c>
      <c r="B155" s="21" t="n">
        <v>45385</v>
      </c>
      <c r="C155" s="20" t="inlineStr">
        <is>
          <t>Central</t>
        </is>
      </c>
      <c r="D155" s="20" t="inlineStr">
        <is>
          <t>Home &amp; Kitchen</t>
        </is>
      </c>
      <c r="E155" s="20" t="inlineStr">
        <is>
          <t>Vacuum Robot</t>
        </is>
      </c>
      <c r="F155" s="20" t="inlineStr">
        <is>
          <t>Government</t>
        </is>
      </c>
      <c r="G155" s="20" t="inlineStr">
        <is>
          <t>Municipal Corp Hyd</t>
        </is>
      </c>
      <c r="H155" s="20" t="n">
        <v>13</v>
      </c>
      <c r="I155" s="22" t="n">
        <v>10773.27</v>
      </c>
      <c r="J155" s="23" t="n">
        <v>0</v>
      </c>
      <c r="K155" s="24" t="n">
        <v>140052.51</v>
      </c>
      <c r="L155" s="24" t="n">
        <v>93441.78</v>
      </c>
      <c r="M155" s="24" t="n">
        <v>46610.73</v>
      </c>
    </row>
    <row r="156">
      <c r="A156" s="20" t="inlineStr">
        <is>
          <t>ORD-20240155</t>
        </is>
      </c>
      <c r="B156" s="21" t="n">
        <v>45386</v>
      </c>
      <c r="C156" s="20" t="inlineStr">
        <is>
          <t>East</t>
        </is>
      </c>
      <c r="D156" s="20" t="inlineStr">
        <is>
          <t>Apparel</t>
        </is>
      </c>
      <c r="E156" s="20" t="inlineStr">
        <is>
          <t>Formal Blazer</t>
        </is>
      </c>
      <c r="F156" s="20" t="inlineStr">
        <is>
          <t>SMB</t>
        </is>
      </c>
      <c r="G156" s="20" t="inlineStr">
        <is>
          <t>Pixel Studio</t>
        </is>
      </c>
      <c r="H156" s="20" t="n">
        <v>21</v>
      </c>
      <c r="I156" s="22" t="n">
        <v>670.63</v>
      </c>
      <c r="J156" s="23" t="n">
        <v>0.15</v>
      </c>
      <c r="K156" s="24" t="n">
        <v>11970.75</v>
      </c>
      <c r="L156" s="24" t="n">
        <v>10489.76</v>
      </c>
      <c r="M156" s="24" t="n">
        <v>1480.99</v>
      </c>
    </row>
    <row r="157">
      <c r="A157" s="20" t="inlineStr">
        <is>
          <t>ORD-20240156</t>
        </is>
      </c>
      <c r="B157" s="21" t="n">
        <v>45386</v>
      </c>
      <c r="C157" s="20" t="inlineStr">
        <is>
          <t>South</t>
        </is>
      </c>
      <c r="D157" s="20" t="inlineStr">
        <is>
          <t>Apparel</t>
        </is>
      </c>
      <c r="E157" s="20" t="inlineStr">
        <is>
          <t>Polo Shirt</t>
        </is>
      </c>
      <c r="F157" s="20" t="inlineStr">
        <is>
          <t>Enterprise</t>
        </is>
      </c>
      <c r="G157" s="20" t="inlineStr">
        <is>
          <t>Wipro Tech</t>
        </is>
      </c>
      <c r="H157" s="20" t="n">
        <v>1</v>
      </c>
      <c r="I157" s="22" t="n">
        <v>2186.66</v>
      </c>
      <c r="J157" s="23" t="n">
        <v>0.05</v>
      </c>
      <c r="K157" s="24" t="n">
        <v>2077.33</v>
      </c>
      <c r="L157" s="24" t="n">
        <v>1426.96</v>
      </c>
      <c r="M157" s="24" t="n">
        <v>650.37</v>
      </c>
    </row>
    <row r="158">
      <c r="A158" s="20" t="inlineStr">
        <is>
          <t>ORD-20240157</t>
        </is>
      </c>
      <c r="B158" s="21" t="n">
        <v>45387</v>
      </c>
      <c r="C158" s="20" t="inlineStr">
        <is>
          <t>Central</t>
        </is>
      </c>
      <c r="D158" s="20" t="inlineStr">
        <is>
          <t>Electronics</t>
        </is>
      </c>
      <c r="E158" s="20" t="inlineStr">
        <is>
          <t>Laptop Pro 14</t>
        </is>
      </c>
      <c r="F158" s="20" t="inlineStr">
        <is>
          <t>SMB</t>
        </is>
      </c>
      <c r="G158" s="20" t="inlineStr">
        <is>
          <t>SwiftPrint</t>
        </is>
      </c>
      <c r="H158" s="20" t="n">
        <v>6</v>
      </c>
      <c r="I158" s="22" t="n">
        <v>26965.16</v>
      </c>
      <c r="J158" s="23" t="n">
        <v>0</v>
      </c>
      <c r="K158" s="24" t="n">
        <v>161790.96</v>
      </c>
      <c r="L158" s="24" t="n">
        <v>109535.36</v>
      </c>
      <c r="M158" s="24" t="n">
        <v>52255.6</v>
      </c>
    </row>
    <row r="159">
      <c r="A159" s="20" t="inlineStr">
        <is>
          <t>ORD-20240158</t>
        </is>
      </c>
      <c r="B159" s="21" t="n">
        <v>45387</v>
      </c>
      <c r="C159" s="20" t="inlineStr">
        <is>
          <t>Central</t>
        </is>
      </c>
      <c r="D159" s="20" t="inlineStr">
        <is>
          <t>Electronics</t>
        </is>
      </c>
      <c r="E159" s="20" t="inlineStr">
        <is>
          <t>Monitor 27in</t>
        </is>
      </c>
      <c r="F159" s="20" t="inlineStr">
        <is>
          <t>Consumer</t>
        </is>
      </c>
      <c r="G159" s="20" t="inlineStr">
        <is>
          <t>Online Guest</t>
        </is>
      </c>
      <c r="H159" s="20" t="n">
        <v>15</v>
      </c>
      <c r="I159" s="22" t="n">
        <v>80811.39</v>
      </c>
      <c r="J159" s="23" t="n">
        <v>0.1</v>
      </c>
      <c r="K159" s="24" t="n">
        <v>1090953.77</v>
      </c>
      <c r="L159" s="24" t="n">
        <v>828942.76</v>
      </c>
      <c r="M159" s="24" t="n">
        <v>262011.01</v>
      </c>
    </row>
    <row r="160">
      <c r="A160" s="20" t="inlineStr">
        <is>
          <t>ORD-20240159</t>
        </is>
      </c>
      <c r="B160" s="21" t="n">
        <v>45387</v>
      </c>
      <c r="C160" s="20" t="inlineStr">
        <is>
          <t>South</t>
        </is>
      </c>
      <c r="D160" s="20" t="inlineStr">
        <is>
          <t>Electronics</t>
        </is>
      </c>
      <c r="E160" s="20" t="inlineStr">
        <is>
          <t>Wireless Mouse</t>
        </is>
      </c>
      <c r="F160" s="20" t="inlineStr">
        <is>
          <t>Consumer</t>
        </is>
      </c>
      <c r="G160" s="20" t="inlineStr">
        <is>
          <t>Online Guest</t>
        </is>
      </c>
      <c r="H160" s="20" t="n">
        <v>15</v>
      </c>
      <c r="I160" s="22" t="n">
        <v>81218.50999999999</v>
      </c>
      <c r="J160" s="23" t="n">
        <v>0.05</v>
      </c>
      <c r="K160" s="24" t="n">
        <v>1157363.77</v>
      </c>
      <c r="L160" s="24" t="n">
        <v>916204.9399999999</v>
      </c>
      <c r="M160" s="24" t="n">
        <v>241158.83</v>
      </c>
    </row>
    <row r="161">
      <c r="A161" s="20" t="inlineStr">
        <is>
          <t>ORD-20240160</t>
        </is>
      </c>
      <c r="B161" s="21" t="n">
        <v>45387</v>
      </c>
      <c r="C161" s="20" t="inlineStr">
        <is>
          <t>North</t>
        </is>
      </c>
      <c r="D161" s="20" t="inlineStr">
        <is>
          <t>Apparel</t>
        </is>
      </c>
      <c r="E161" s="20" t="inlineStr">
        <is>
          <t>Hoodie Soft</t>
        </is>
      </c>
      <c r="F161" s="20" t="inlineStr">
        <is>
          <t>Consumer</t>
        </is>
      </c>
      <c r="G161" s="20" t="inlineStr">
        <is>
          <t>Walk-in Mumbai</t>
        </is>
      </c>
      <c r="H161" s="20" t="n">
        <v>5</v>
      </c>
      <c r="I161" s="22" t="n">
        <v>3506.16</v>
      </c>
      <c r="J161" s="23" t="n">
        <v>0</v>
      </c>
      <c r="K161" s="24" t="n">
        <v>17530.8</v>
      </c>
      <c r="L161" s="24" t="n">
        <v>13211.16</v>
      </c>
      <c r="M161" s="24" t="n">
        <v>4319.64</v>
      </c>
    </row>
    <row r="162">
      <c r="A162" s="20" t="inlineStr">
        <is>
          <t>ORD-20240161</t>
        </is>
      </c>
      <c r="B162" s="21" t="n">
        <v>45389</v>
      </c>
      <c r="C162" s="20" t="inlineStr">
        <is>
          <t>West</t>
        </is>
      </c>
      <c r="D162" s="20" t="inlineStr">
        <is>
          <t>Home &amp; Kitchen</t>
        </is>
      </c>
      <c r="E162" s="20" t="inlineStr">
        <is>
          <t>Coffee Maker</t>
        </is>
      </c>
      <c r="F162" s="20" t="inlineStr">
        <is>
          <t>Government</t>
        </is>
      </c>
      <c r="G162" s="20" t="inlineStr">
        <is>
          <t>MH Education Dept</t>
        </is>
      </c>
      <c r="H162" s="20" t="n">
        <v>14</v>
      </c>
      <c r="I162" s="22" t="n">
        <v>10150.49</v>
      </c>
      <c r="J162" s="23" t="n">
        <v>0.15</v>
      </c>
      <c r="K162" s="24" t="n">
        <v>120790.83</v>
      </c>
      <c r="L162" s="24" t="n">
        <v>91191.10000000001</v>
      </c>
      <c r="M162" s="24" t="n">
        <v>29599.73</v>
      </c>
    </row>
    <row r="163">
      <c r="A163" s="20" t="inlineStr">
        <is>
          <t>ORD-20240162</t>
        </is>
      </c>
      <c r="B163" s="21" t="n">
        <v>45392</v>
      </c>
      <c r="C163" s="20" t="inlineStr">
        <is>
          <t>East</t>
        </is>
      </c>
      <c r="D163" s="20" t="inlineStr">
        <is>
          <t>Furniture</t>
        </is>
      </c>
      <c r="E163" s="20" t="inlineStr">
        <is>
          <t>Standing Desk</t>
        </is>
      </c>
      <c r="F163" s="20" t="inlineStr">
        <is>
          <t>Government</t>
        </is>
      </c>
      <c r="G163" s="20" t="inlineStr">
        <is>
          <t>Municipal Corp Hyd</t>
        </is>
      </c>
      <c r="H163" s="20" t="n">
        <v>10</v>
      </c>
      <c r="I163" s="22" t="n">
        <v>35460.16</v>
      </c>
      <c r="J163" s="23" t="n">
        <v>0</v>
      </c>
      <c r="K163" s="24" t="n">
        <v>354601.6</v>
      </c>
      <c r="L163" s="24" t="n">
        <v>257788.53</v>
      </c>
      <c r="M163" s="24" t="n">
        <v>96813.07000000001</v>
      </c>
    </row>
    <row r="164">
      <c r="A164" s="20" t="inlineStr">
        <is>
          <t>ORD-20240163</t>
        </is>
      </c>
      <c r="B164" s="21" t="n">
        <v>45392</v>
      </c>
      <c r="C164" s="20" t="inlineStr">
        <is>
          <t>East</t>
        </is>
      </c>
      <c r="D164" s="20" t="inlineStr">
        <is>
          <t>Electronics</t>
        </is>
      </c>
      <c r="E164" s="20" t="inlineStr">
        <is>
          <t>Webcam HD</t>
        </is>
      </c>
      <c r="F164" s="20" t="inlineStr">
        <is>
          <t>Government</t>
        </is>
      </c>
      <c r="G164" s="20" t="inlineStr">
        <is>
          <t>Municipal Corp Hyd</t>
        </is>
      </c>
      <c r="H164" s="20" t="n">
        <v>21</v>
      </c>
      <c r="I164" s="22" t="n">
        <v>73073.55</v>
      </c>
      <c r="J164" s="23" t="n">
        <v>0.1</v>
      </c>
      <c r="K164" s="24" t="n">
        <v>1381090.09</v>
      </c>
      <c r="L164" s="24" t="n">
        <v>939409.8199999999</v>
      </c>
      <c r="M164" s="24" t="n">
        <v>441680.27</v>
      </c>
    </row>
    <row r="165">
      <c r="A165" s="20" t="inlineStr">
        <is>
          <t>ORD-20240164</t>
        </is>
      </c>
      <c r="B165" s="21" t="n">
        <v>45393</v>
      </c>
      <c r="C165" s="20" t="inlineStr">
        <is>
          <t>North</t>
        </is>
      </c>
      <c r="D165" s="20" t="inlineStr">
        <is>
          <t>Furniture</t>
        </is>
      </c>
      <c r="E165" s="20" t="inlineStr">
        <is>
          <t>Filing Cabinet</t>
        </is>
      </c>
      <c r="F165" s="20" t="inlineStr">
        <is>
          <t>Enterprise</t>
        </is>
      </c>
      <c r="G165" s="20" t="inlineStr">
        <is>
          <t>Tech Mahindra</t>
        </is>
      </c>
      <c r="H165" s="20" t="n">
        <v>21</v>
      </c>
      <c r="I165" s="22" t="n">
        <v>37239.89</v>
      </c>
      <c r="J165" s="23" t="n">
        <v>0.05</v>
      </c>
      <c r="K165" s="24" t="n">
        <v>742935.8100000001</v>
      </c>
      <c r="L165" s="24" t="n">
        <v>556867</v>
      </c>
      <c r="M165" s="24" t="n">
        <v>186068.81</v>
      </c>
    </row>
    <row r="166">
      <c r="A166" s="20" t="inlineStr">
        <is>
          <t>ORD-20240165</t>
        </is>
      </c>
      <c r="B166" s="21" t="n">
        <v>45394</v>
      </c>
      <c r="C166" s="20" t="inlineStr">
        <is>
          <t>South</t>
        </is>
      </c>
      <c r="D166" s="20" t="inlineStr">
        <is>
          <t>Furniture</t>
        </is>
      </c>
      <c r="E166" s="20" t="inlineStr">
        <is>
          <t>Standing Desk</t>
        </is>
      </c>
      <c r="F166" s="20" t="inlineStr">
        <is>
          <t>Government</t>
        </is>
      </c>
      <c r="G166" s="20" t="inlineStr">
        <is>
          <t>Railways Zone W</t>
        </is>
      </c>
      <c r="H166" s="20" t="n">
        <v>24</v>
      </c>
      <c r="I166" s="22" t="n">
        <v>27557.44</v>
      </c>
      <c r="J166" s="23" t="n">
        <v>0.2</v>
      </c>
      <c r="K166" s="24" t="n">
        <v>529102.85</v>
      </c>
      <c r="L166" s="24" t="n">
        <v>454540.27</v>
      </c>
      <c r="M166" s="24" t="n">
        <v>74562.58</v>
      </c>
    </row>
    <row r="167">
      <c r="A167" s="20" t="inlineStr">
        <is>
          <t>ORD-20240166</t>
        </is>
      </c>
      <c r="B167" s="21" t="n">
        <v>45394</v>
      </c>
      <c r="C167" s="20" t="inlineStr">
        <is>
          <t>East</t>
        </is>
      </c>
      <c r="D167" s="20" t="inlineStr">
        <is>
          <t>Apparel</t>
        </is>
      </c>
      <c r="E167" s="20" t="inlineStr">
        <is>
          <t>Polo Shirt</t>
        </is>
      </c>
      <c r="F167" s="20" t="inlineStr">
        <is>
          <t>Enterprise</t>
        </is>
      </c>
      <c r="G167" s="20" t="inlineStr">
        <is>
          <t>HCL Services</t>
        </is>
      </c>
      <c r="H167" s="20" t="n">
        <v>16</v>
      </c>
      <c r="I167" s="22" t="n">
        <v>3762.63</v>
      </c>
      <c r="J167" s="23" t="n">
        <v>0.1</v>
      </c>
      <c r="K167" s="24" t="n">
        <v>54181.87</v>
      </c>
      <c r="L167" s="24" t="n">
        <v>43044.41</v>
      </c>
      <c r="M167" s="24" t="n">
        <v>11137.46</v>
      </c>
    </row>
    <row r="168">
      <c r="A168" s="20" t="inlineStr">
        <is>
          <t>ORD-20240167</t>
        </is>
      </c>
      <c r="B168" s="21" t="n">
        <v>45394</v>
      </c>
      <c r="C168" s="20" t="inlineStr">
        <is>
          <t>East</t>
        </is>
      </c>
      <c r="D168" s="20" t="inlineStr">
        <is>
          <t>Electronics</t>
        </is>
      </c>
      <c r="E168" s="20" t="inlineStr">
        <is>
          <t>Webcam HD</t>
        </is>
      </c>
      <c r="F168" s="20" t="inlineStr">
        <is>
          <t>SMB</t>
        </is>
      </c>
      <c r="G168" s="20" t="inlineStr">
        <is>
          <t>CityCare Clinics</t>
        </is>
      </c>
      <c r="H168" s="20" t="n">
        <v>17</v>
      </c>
      <c r="I168" s="22" t="n">
        <v>14887.06</v>
      </c>
      <c r="J168" s="23" t="n">
        <v>0</v>
      </c>
      <c r="K168" s="24" t="n">
        <v>253080.02</v>
      </c>
      <c r="L168" s="24" t="n">
        <v>184320.46</v>
      </c>
      <c r="M168" s="24" t="n">
        <v>68759.56</v>
      </c>
    </row>
    <row r="169">
      <c r="A169" s="20" t="inlineStr">
        <is>
          <t>ORD-20240168</t>
        </is>
      </c>
      <c r="B169" s="21" t="n">
        <v>45395</v>
      </c>
      <c r="C169" s="20" t="inlineStr">
        <is>
          <t>South</t>
        </is>
      </c>
      <c r="D169" s="20" t="inlineStr">
        <is>
          <t>Home &amp; Kitchen</t>
        </is>
      </c>
      <c r="E169" s="20" t="inlineStr">
        <is>
          <t>Vacuum Robot</t>
        </is>
      </c>
      <c r="F169" s="20" t="inlineStr">
        <is>
          <t>Enterprise</t>
        </is>
      </c>
      <c r="G169" s="20" t="inlineStr">
        <is>
          <t>Tech Mahindra</t>
        </is>
      </c>
      <c r="H169" s="20" t="n">
        <v>4</v>
      </c>
      <c r="I169" s="22" t="n">
        <v>8436.68</v>
      </c>
      <c r="J169" s="23" t="n">
        <v>0.12</v>
      </c>
      <c r="K169" s="24" t="n">
        <v>29697.11</v>
      </c>
      <c r="L169" s="24" t="n">
        <v>21602.59</v>
      </c>
      <c r="M169" s="24" t="n">
        <v>8094.52</v>
      </c>
    </row>
    <row r="170">
      <c r="A170" s="20" t="inlineStr">
        <is>
          <t>ORD-20240169</t>
        </is>
      </c>
      <c r="B170" s="21" t="n">
        <v>45399</v>
      </c>
      <c r="C170" s="20" t="inlineStr">
        <is>
          <t>West</t>
        </is>
      </c>
      <c r="D170" s="20" t="inlineStr">
        <is>
          <t>Electronics</t>
        </is>
      </c>
      <c r="E170" s="20" t="inlineStr">
        <is>
          <t>USB-C Hub</t>
        </is>
      </c>
      <c r="F170" s="20" t="inlineStr">
        <is>
          <t>Enterprise</t>
        </is>
      </c>
      <c r="G170" s="20" t="inlineStr">
        <is>
          <t>L&amp;T Infotech</t>
        </is>
      </c>
      <c r="H170" s="20" t="n">
        <v>17</v>
      </c>
      <c r="I170" s="22" t="n">
        <v>23532.08</v>
      </c>
      <c r="J170" s="23" t="n">
        <v>0</v>
      </c>
      <c r="K170" s="24" t="n">
        <v>400045.36</v>
      </c>
      <c r="L170" s="24" t="n">
        <v>258561.29</v>
      </c>
      <c r="M170" s="24" t="n">
        <v>141484.07</v>
      </c>
    </row>
    <row r="171">
      <c r="A171" s="20" t="inlineStr">
        <is>
          <t>ORD-20240170</t>
        </is>
      </c>
      <c r="B171" s="21" t="n">
        <v>45400</v>
      </c>
      <c r="C171" s="20" t="inlineStr">
        <is>
          <t>North</t>
        </is>
      </c>
      <c r="D171" s="20" t="inlineStr">
        <is>
          <t>Electronics</t>
        </is>
      </c>
      <c r="E171" s="20" t="inlineStr">
        <is>
          <t>USB-C Hub</t>
        </is>
      </c>
      <c r="F171" s="20" t="inlineStr">
        <is>
          <t>Government</t>
        </is>
      </c>
      <c r="G171" s="20" t="inlineStr">
        <is>
          <t>Municipal Corp Hyd</t>
        </is>
      </c>
      <c r="H171" s="20" t="n">
        <v>6</v>
      </c>
      <c r="I171" s="22" t="n">
        <v>71136.64999999999</v>
      </c>
      <c r="J171" s="23" t="n">
        <v>0</v>
      </c>
      <c r="K171" s="24" t="n">
        <v>426819.9</v>
      </c>
      <c r="L171" s="24" t="n">
        <v>315033.22</v>
      </c>
      <c r="M171" s="24" t="n">
        <v>111786.68</v>
      </c>
    </row>
    <row r="172">
      <c r="A172" s="20" t="inlineStr">
        <is>
          <t>ORD-20240171</t>
        </is>
      </c>
      <c r="B172" s="21" t="n">
        <v>45400</v>
      </c>
      <c r="C172" s="20" t="inlineStr">
        <is>
          <t>South</t>
        </is>
      </c>
      <c r="D172" s="20" t="inlineStr">
        <is>
          <t>Office Supplies</t>
        </is>
      </c>
      <c r="E172" s="20" t="inlineStr">
        <is>
          <t>Gel Pen Pack</t>
        </is>
      </c>
      <c r="F172" s="20" t="inlineStr">
        <is>
          <t>SMB</t>
        </is>
      </c>
      <c r="G172" s="20" t="inlineStr">
        <is>
          <t>BrightRetail Co</t>
        </is>
      </c>
      <c r="H172" s="20" t="n">
        <v>24</v>
      </c>
      <c r="I172" s="22" t="n">
        <v>3438.54</v>
      </c>
      <c r="J172" s="23" t="n">
        <v>0.05</v>
      </c>
      <c r="K172" s="24" t="n">
        <v>78398.71000000001</v>
      </c>
      <c r="L172" s="24" t="n">
        <v>61932.64</v>
      </c>
      <c r="M172" s="24" t="n">
        <v>16466.07</v>
      </c>
    </row>
    <row r="173">
      <c r="A173" s="20" t="inlineStr">
        <is>
          <t>ORD-20240172</t>
        </is>
      </c>
      <c r="B173" s="21" t="n">
        <v>45400</v>
      </c>
      <c r="C173" s="20" t="inlineStr">
        <is>
          <t>East</t>
        </is>
      </c>
      <c r="D173" s="20" t="inlineStr">
        <is>
          <t>Office Supplies</t>
        </is>
      </c>
      <c r="E173" s="20" t="inlineStr">
        <is>
          <t>Stapler Heavy</t>
        </is>
      </c>
      <c r="F173" s="20" t="inlineStr">
        <is>
          <t>Consumer</t>
        </is>
      </c>
      <c r="G173" s="20" t="inlineStr">
        <is>
          <t>Walk-in Mumbai</t>
        </is>
      </c>
      <c r="H173" s="20" t="n">
        <v>21</v>
      </c>
      <c r="I173" s="22" t="n">
        <v>1002.02</v>
      </c>
      <c r="J173" s="23" t="n">
        <v>0.12</v>
      </c>
      <c r="K173" s="24" t="n">
        <v>18517.33</v>
      </c>
      <c r="L173" s="24" t="n">
        <v>11995.51</v>
      </c>
      <c r="M173" s="24" t="n">
        <v>6521.82</v>
      </c>
    </row>
    <row r="174">
      <c r="A174" s="20" t="inlineStr">
        <is>
          <t>ORD-20240173</t>
        </is>
      </c>
      <c r="B174" s="21" t="n">
        <v>45401</v>
      </c>
      <c r="C174" s="20" t="inlineStr">
        <is>
          <t>West</t>
        </is>
      </c>
      <c r="D174" s="20" t="inlineStr">
        <is>
          <t>Home &amp; Kitchen</t>
        </is>
      </c>
      <c r="E174" s="20" t="inlineStr">
        <is>
          <t>Coffee Maker</t>
        </is>
      </c>
      <c r="F174" s="20" t="inlineStr">
        <is>
          <t>Government</t>
        </is>
      </c>
      <c r="G174" s="20" t="inlineStr">
        <is>
          <t>State Health UP</t>
        </is>
      </c>
      <c r="H174" s="20" t="n">
        <v>8</v>
      </c>
      <c r="I174" s="22" t="n">
        <v>4983.57</v>
      </c>
      <c r="J174" s="23" t="n">
        <v>0</v>
      </c>
      <c r="K174" s="24" t="n">
        <v>39868.56</v>
      </c>
      <c r="L174" s="24" t="n">
        <v>30113.19</v>
      </c>
      <c r="M174" s="24" t="n">
        <v>9755.370000000001</v>
      </c>
    </row>
    <row r="175">
      <c r="A175" s="20" t="inlineStr">
        <is>
          <t>ORD-20240174</t>
        </is>
      </c>
      <c r="B175" s="21" t="n">
        <v>45401</v>
      </c>
      <c r="C175" s="20" t="inlineStr">
        <is>
          <t>North</t>
        </is>
      </c>
      <c r="D175" s="20" t="inlineStr">
        <is>
          <t>Office Supplies</t>
        </is>
      </c>
      <c r="E175" s="20" t="inlineStr">
        <is>
          <t>Stapler Heavy</t>
        </is>
      </c>
      <c r="F175" s="20" t="inlineStr">
        <is>
          <t>Government</t>
        </is>
      </c>
      <c r="G175" s="20" t="inlineStr">
        <is>
          <t>Railways Zone W</t>
        </is>
      </c>
      <c r="H175" s="20" t="n">
        <v>22</v>
      </c>
      <c r="I175" s="22" t="n">
        <v>999.38</v>
      </c>
      <c r="J175" s="23" t="n">
        <v>0.12</v>
      </c>
      <c r="K175" s="24" t="n">
        <v>19348</v>
      </c>
      <c r="L175" s="24" t="n">
        <v>15620.43</v>
      </c>
      <c r="M175" s="24" t="n">
        <v>3727.57</v>
      </c>
    </row>
    <row r="176">
      <c r="A176" s="20" t="inlineStr">
        <is>
          <t>ORD-20240175</t>
        </is>
      </c>
      <c r="B176" s="21" t="n">
        <v>45402</v>
      </c>
      <c r="C176" s="20" t="inlineStr">
        <is>
          <t>East</t>
        </is>
      </c>
      <c r="D176" s="20" t="inlineStr">
        <is>
          <t>Furniture</t>
        </is>
      </c>
      <c r="E176" s="20" t="inlineStr">
        <is>
          <t>Ergo Chair</t>
        </is>
      </c>
      <c r="F176" s="20" t="inlineStr">
        <is>
          <t>Government</t>
        </is>
      </c>
      <c r="G176" s="20" t="inlineStr">
        <is>
          <t>Delhi NDMC</t>
        </is>
      </c>
      <c r="H176" s="20" t="n">
        <v>9</v>
      </c>
      <c r="I176" s="22" t="n">
        <v>11411.58</v>
      </c>
      <c r="J176" s="23" t="n">
        <v>0</v>
      </c>
      <c r="K176" s="24" t="n">
        <v>102704.22</v>
      </c>
      <c r="L176" s="24" t="n">
        <v>64766.38</v>
      </c>
      <c r="M176" s="24" t="n">
        <v>37937.84</v>
      </c>
    </row>
    <row r="177">
      <c r="A177" s="20" t="inlineStr">
        <is>
          <t>ORD-20240176</t>
        </is>
      </c>
      <c r="B177" s="21" t="n">
        <v>45402</v>
      </c>
      <c r="C177" s="20" t="inlineStr">
        <is>
          <t>North</t>
        </is>
      </c>
      <c r="D177" s="20" t="inlineStr">
        <is>
          <t>Furniture</t>
        </is>
      </c>
      <c r="E177" s="20" t="inlineStr">
        <is>
          <t>Standing Desk</t>
        </is>
      </c>
      <c r="F177" s="20" t="inlineStr">
        <is>
          <t>Government</t>
        </is>
      </c>
      <c r="G177" s="20" t="inlineStr">
        <is>
          <t>MH Education Dept</t>
        </is>
      </c>
      <c r="H177" s="20" t="n">
        <v>15</v>
      </c>
      <c r="I177" s="22" t="n">
        <v>37543.55</v>
      </c>
      <c r="J177" s="23" t="n">
        <v>0.05</v>
      </c>
      <c r="K177" s="24" t="n">
        <v>534995.59</v>
      </c>
      <c r="L177" s="24" t="n">
        <v>402576.42</v>
      </c>
      <c r="M177" s="24" t="n">
        <v>132419.17</v>
      </c>
    </row>
    <row r="178">
      <c r="A178" s="20" t="inlineStr">
        <is>
          <t>ORD-20240177</t>
        </is>
      </c>
      <c r="B178" s="21" t="n">
        <v>45403</v>
      </c>
      <c r="C178" s="20" t="inlineStr">
        <is>
          <t>Central</t>
        </is>
      </c>
      <c r="D178" s="20" t="inlineStr">
        <is>
          <t>Apparel</t>
        </is>
      </c>
      <c r="E178" s="20" t="inlineStr">
        <is>
          <t>Safety Vest</t>
        </is>
      </c>
      <c r="F178" s="20" t="inlineStr">
        <is>
          <t>Enterprise</t>
        </is>
      </c>
      <c r="G178" s="20" t="inlineStr">
        <is>
          <t>HCL Services</t>
        </is>
      </c>
      <c r="H178" s="20" t="n">
        <v>6</v>
      </c>
      <c r="I178" s="22" t="n">
        <v>1746.77</v>
      </c>
      <c r="J178" s="23" t="n">
        <v>0.12</v>
      </c>
      <c r="K178" s="24" t="n">
        <v>9222.950000000001</v>
      </c>
      <c r="L178" s="24" t="n">
        <v>5932.13</v>
      </c>
      <c r="M178" s="24" t="n">
        <v>3290.82</v>
      </c>
    </row>
    <row r="179">
      <c r="A179" s="20" t="inlineStr">
        <is>
          <t>ORD-20240178</t>
        </is>
      </c>
      <c r="B179" s="21" t="n">
        <v>45405</v>
      </c>
      <c r="C179" s="20" t="inlineStr">
        <is>
          <t>Central</t>
        </is>
      </c>
      <c r="D179" s="20" t="inlineStr">
        <is>
          <t>Office Supplies</t>
        </is>
      </c>
      <c r="E179" s="20" t="inlineStr">
        <is>
          <t>Stapler Heavy</t>
        </is>
      </c>
      <c r="F179" s="20" t="inlineStr">
        <is>
          <t>Consumer</t>
        </is>
      </c>
      <c r="G179" s="20" t="inlineStr">
        <is>
          <t>App User North</t>
        </is>
      </c>
      <c r="H179" s="20" t="n">
        <v>7</v>
      </c>
      <c r="I179" s="22" t="n">
        <v>2994.51</v>
      </c>
      <c r="J179" s="23" t="n">
        <v>0</v>
      </c>
      <c r="K179" s="24" t="n">
        <v>20961.57</v>
      </c>
      <c r="L179" s="24" t="n">
        <v>12187.55</v>
      </c>
      <c r="M179" s="24" t="n">
        <v>8774.02</v>
      </c>
    </row>
    <row r="180">
      <c r="A180" s="20" t="inlineStr">
        <is>
          <t>ORD-20240179</t>
        </is>
      </c>
      <c r="B180" s="21" t="n">
        <v>45405</v>
      </c>
      <c r="C180" s="20" t="inlineStr">
        <is>
          <t>South</t>
        </is>
      </c>
      <c r="D180" s="20" t="inlineStr">
        <is>
          <t>Office Supplies</t>
        </is>
      </c>
      <c r="E180" s="20" t="inlineStr">
        <is>
          <t>Stapler Heavy</t>
        </is>
      </c>
      <c r="F180" s="20" t="inlineStr">
        <is>
          <t>Consumer</t>
        </is>
      </c>
      <c r="G180" s="20" t="inlineStr">
        <is>
          <t>Walk-in Mumbai</t>
        </is>
      </c>
      <c r="H180" s="20" t="n">
        <v>2</v>
      </c>
      <c r="I180" s="22" t="n">
        <v>2438.13</v>
      </c>
      <c r="J180" s="23" t="n">
        <v>0</v>
      </c>
      <c r="K180" s="24" t="n">
        <v>4876.26</v>
      </c>
      <c r="L180" s="24" t="n">
        <v>2996.65</v>
      </c>
      <c r="M180" s="24" t="n">
        <v>1879.61</v>
      </c>
    </row>
    <row r="181">
      <c r="A181" s="20" t="inlineStr">
        <is>
          <t>ORD-20240180</t>
        </is>
      </c>
      <c r="B181" s="21" t="n">
        <v>45405</v>
      </c>
      <c r="C181" s="20" t="inlineStr">
        <is>
          <t>North</t>
        </is>
      </c>
      <c r="D181" s="20" t="inlineStr">
        <is>
          <t>Furniture</t>
        </is>
      </c>
      <c r="E181" s="20" t="inlineStr">
        <is>
          <t>Ergo Chair</t>
        </is>
      </c>
      <c r="F181" s="20" t="inlineStr">
        <is>
          <t>Consumer</t>
        </is>
      </c>
      <c r="G181" s="20" t="inlineStr">
        <is>
          <t>Walk-in Mumbai</t>
        </is>
      </c>
      <c r="H181" s="20" t="n">
        <v>25</v>
      </c>
      <c r="I181" s="22" t="n">
        <v>15417.54</v>
      </c>
      <c r="J181" s="23" t="n">
        <v>0.12</v>
      </c>
      <c r="K181" s="24" t="n">
        <v>339185.88</v>
      </c>
      <c r="L181" s="24" t="n">
        <v>299485.55</v>
      </c>
      <c r="M181" s="24" t="n">
        <v>39700.33</v>
      </c>
    </row>
    <row r="182">
      <c r="A182" s="20" t="inlineStr">
        <is>
          <t>ORD-20240181</t>
        </is>
      </c>
      <c r="B182" s="21" t="n">
        <v>45405</v>
      </c>
      <c r="C182" s="20" t="inlineStr">
        <is>
          <t>North</t>
        </is>
      </c>
      <c r="D182" s="20" t="inlineStr">
        <is>
          <t>Furniture</t>
        </is>
      </c>
      <c r="E182" s="20" t="inlineStr">
        <is>
          <t>Standing Desk</t>
        </is>
      </c>
      <c r="F182" s="20" t="inlineStr">
        <is>
          <t>SMB</t>
        </is>
      </c>
      <c r="G182" s="20" t="inlineStr">
        <is>
          <t>Pixel Studio</t>
        </is>
      </c>
      <c r="H182" s="20" t="n">
        <v>4</v>
      </c>
      <c r="I182" s="22" t="n">
        <v>3392.23</v>
      </c>
      <c r="J182" s="23" t="n">
        <v>0</v>
      </c>
      <c r="K182" s="24" t="n">
        <v>13568.92</v>
      </c>
      <c r="L182" s="24" t="n">
        <v>8645.469999999999</v>
      </c>
      <c r="M182" s="24" t="n">
        <v>4923.45</v>
      </c>
    </row>
    <row r="183">
      <c r="A183" s="20" t="inlineStr">
        <is>
          <t>ORD-20240182</t>
        </is>
      </c>
      <c r="B183" s="21" t="n">
        <v>45406</v>
      </c>
      <c r="C183" s="20" t="inlineStr">
        <is>
          <t>East</t>
        </is>
      </c>
      <c r="D183" s="20" t="inlineStr">
        <is>
          <t>Home &amp; Kitchen</t>
        </is>
      </c>
      <c r="E183" s="20" t="inlineStr">
        <is>
          <t>Water Purifier</t>
        </is>
      </c>
      <c r="F183" s="20" t="inlineStr">
        <is>
          <t>Consumer</t>
        </is>
      </c>
      <c r="G183" s="20" t="inlineStr">
        <is>
          <t>App User North</t>
        </is>
      </c>
      <c r="H183" s="20" t="n">
        <v>10</v>
      </c>
      <c r="I183" s="22" t="n">
        <v>3365.24</v>
      </c>
      <c r="J183" s="23" t="n">
        <v>0</v>
      </c>
      <c r="K183" s="24" t="n">
        <v>33652.4</v>
      </c>
      <c r="L183" s="24" t="n">
        <v>18616.22</v>
      </c>
      <c r="M183" s="24" t="n">
        <v>15036.18</v>
      </c>
    </row>
    <row r="184">
      <c r="A184" s="20" t="inlineStr">
        <is>
          <t>ORD-20240183</t>
        </is>
      </c>
      <c r="B184" s="21" t="n">
        <v>45407</v>
      </c>
      <c r="C184" s="20" t="inlineStr">
        <is>
          <t>East</t>
        </is>
      </c>
      <c r="D184" s="20" t="inlineStr">
        <is>
          <t>Office Supplies</t>
        </is>
      </c>
      <c r="E184" s="20" t="inlineStr">
        <is>
          <t>Whiteboard Kit</t>
        </is>
      </c>
      <c r="F184" s="20" t="inlineStr">
        <is>
          <t>SMB</t>
        </is>
      </c>
      <c r="G184" s="20" t="inlineStr">
        <is>
          <t>CityCare Clinics</t>
        </is>
      </c>
      <c r="H184" s="20" t="n">
        <v>24</v>
      </c>
      <c r="I184" s="22" t="n">
        <v>3178.74</v>
      </c>
      <c r="J184" s="23" t="n">
        <v>0.15</v>
      </c>
      <c r="K184" s="24" t="n">
        <v>64846.3</v>
      </c>
      <c r="L184" s="24" t="n">
        <v>47902.14</v>
      </c>
      <c r="M184" s="24" t="n">
        <v>16944.16</v>
      </c>
    </row>
    <row r="185">
      <c r="A185" s="20" t="inlineStr">
        <is>
          <t>ORD-20240184</t>
        </is>
      </c>
      <c r="B185" s="21" t="n">
        <v>45407</v>
      </c>
      <c r="C185" s="20" t="inlineStr">
        <is>
          <t>South</t>
        </is>
      </c>
      <c r="D185" s="20" t="inlineStr">
        <is>
          <t>Electronics</t>
        </is>
      </c>
      <c r="E185" s="20" t="inlineStr">
        <is>
          <t>USB-C Hub</t>
        </is>
      </c>
      <c r="F185" s="20" t="inlineStr">
        <is>
          <t>Consumer</t>
        </is>
      </c>
      <c r="G185" s="20" t="inlineStr">
        <is>
          <t>Walk-in Delhi</t>
        </is>
      </c>
      <c r="H185" s="20" t="n">
        <v>14</v>
      </c>
      <c r="I185" s="22" t="n">
        <v>42521.76</v>
      </c>
      <c r="J185" s="23" t="n">
        <v>0</v>
      </c>
      <c r="K185" s="24" t="n">
        <v>595304.64</v>
      </c>
      <c r="L185" s="24" t="n">
        <v>378527.58</v>
      </c>
      <c r="M185" s="24" t="n">
        <v>216777.06</v>
      </c>
    </row>
    <row r="186">
      <c r="A186" s="20" t="inlineStr">
        <is>
          <t>ORD-20240185</t>
        </is>
      </c>
      <c r="B186" s="21" t="n">
        <v>45409</v>
      </c>
      <c r="C186" s="20" t="inlineStr">
        <is>
          <t>West</t>
        </is>
      </c>
      <c r="D186" s="20" t="inlineStr">
        <is>
          <t>Home &amp; Kitchen</t>
        </is>
      </c>
      <c r="E186" s="20" t="inlineStr">
        <is>
          <t>Vacuum Robot</t>
        </is>
      </c>
      <c r="F186" s="20" t="inlineStr">
        <is>
          <t>Consumer</t>
        </is>
      </c>
      <c r="G186" s="20" t="inlineStr">
        <is>
          <t>App User North</t>
        </is>
      </c>
      <c r="H186" s="20" t="n">
        <v>17</v>
      </c>
      <c r="I186" s="22" t="n">
        <v>17346.13</v>
      </c>
      <c r="J186" s="23" t="n">
        <v>0</v>
      </c>
      <c r="K186" s="24" t="n">
        <v>294884.21</v>
      </c>
      <c r="L186" s="24" t="n">
        <v>215976.76</v>
      </c>
      <c r="M186" s="24" t="n">
        <v>78907.45</v>
      </c>
    </row>
    <row r="187">
      <c r="A187" s="20" t="inlineStr">
        <is>
          <t>ORD-20240186</t>
        </is>
      </c>
      <c r="B187" s="21" t="n">
        <v>45409</v>
      </c>
      <c r="C187" s="20" t="inlineStr">
        <is>
          <t>South</t>
        </is>
      </c>
      <c r="D187" s="20" t="inlineStr">
        <is>
          <t>Furniture</t>
        </is>
      </c>
      <c r="E187" s="20" t="inlineStr">
        <is>
          <t>Standing Desk</t>
        </is>
      </c>
      <c r="F187" s="20" t="inlineStr">
        <is>
          <t>Consumer</t>
        </is>
      </c>
      <c r="G187" s="20" t="inlineStr">
        <is>
          <t>Retail Counter</t>
        </is>
      </c>
      <c r="H187" s="20" t="n">
        <v>3</v>
      </c>
      <c r="I187" s="22" t="n">
        <v>41191.53</v>
      </c>
      <c r="J187" s="23" t="n">
        <v>0</v>
      </c>
      <c r="K187" s="24" t="n">
        <v>123574.59</v>
      </c>
      <c r="L187" s="24" t="n">
        <v>92663.17</v>
      </c>
      <c r="M187" s="24" t="n">
        <v>30911.42</v>
      </c>
    </row>
    <row r="188">
      <c r="A188" s="20" t="inlineStr">
        <is>
          <t>ORD-20240187</t>
        </is>
      </c>
      <c r="B188" s="21" t="n">
        <v>45409</v>
      </c>
      <c r="C188" s="20" t="inlineStr">
        <is>
          <t>West</t>
        </is>
      </c>
      <c r="D188" s="20" t="inlineStr">
        <is>
          <t>Apparel</t>
        </is>
      </c>
      <c r="E188" s="20" t="inlineStr">
        <is>
          <t>Formal Blazer</t>
        </is>
      </c>
      <c r="F188" s="20" t="inlineStr">
        <is>
          <t>SMB</t>
        </is>
      </c>
      <c r="G188" s="20" t="inlineStr">
        <is>
          <t>BrightRetail Co</t>
        </is>
      </c>
      <c r="H188" s="20" t="n">
        <v>12</v>
      </c>
      <c r="I188" s="22" t="n">
        <v>345.49</v>
      </c>
      <c r="J188" s="23" t="n">
        <v>0.1</v>
      </c>
      <c r="K188" s="24" t="n">
        <v>3731.29</v>
      </c>
      <c r="L188" s="24" t="n">
        <v>2308.86</v>
      </c>
      <c r="M188" s="24" t="n">
        <v>1422.43</v>
      </c>
    </row>
    <row r="189">
      <c r="A189" s="20" t="inlineStr">
        <is>
          <t>ORD-20240188</t>
        </is>
      </c>
      <c r="B189" s="21" t="n">
        <v>45410</v>
      </c>
      <c r="C189" s="20" t="inlineStr">
        <is>
          <t>East</t>
        </is>
      </c>
      <c r="D189" s="20" t="inlineStr">
        <is>
          <t>Apparel</t>
        </is>
      </c>
      <c r="E189" s="20" t="inlineStr">
        <is>
          <t>Cap Embroidered</t>
        </is>
      </c>
      <c r="F189" s="20" t="inlineStr">
        <is>
          <t>Government</t>
        </is>
      </c>
      <c r="G189" s="20" t="inlineStr">
        <is>
          <t>Municipal Corp Hyd</t>
        </is>
      </c>
      <c r="H189" s="20" t="n">
        <v>2</v>
      </c>
      <c r="I189" s="22" t="n">
        <v>2436.68</v>
      </c>
      <c r="J189" s="23" t="n">
        <v>0.1</v>
      </c>
      <c r="K189" s="24" t="n">
        <v>4386.02</v>
      </c>
      <c r="L189" s="24" t="n">
        <v>2963.26</v>
      </c>
      <c r="M189" s="24" t="n">
        <v>1422.76</v>
      </c>
    </row>
    <row r="190">
      <c r="A190" s="20" t="inlineStr">
        <is>
          <t>ORD-20240189</t>
        </is>
      </c>
      <c r="B190" s="21" t="n">
        <v>45410</v>
      </c>
      <c r="C190" s="20" t="inlineStr">
        <is>
          <t>Central</t>
        </is>
      </c>
      <c r="D190" s="20" t="inlineStr">
        <is>
          <t>Office Supplies</t>
        </is>
      </c>
      <c r="E190" s="20" t="inlineStr">
        <is>
          <t>Notebook Set</t>
        </is>
      </c>
      <c r="F190" s="20" t="inlineStr">
        <is>
          <t>Enterprise</t>
        </is>
      </c>
      <c r="G190" s="20" t="inlineStr">
        <is>
          <t>Tech Mahindra</t>
        </is>
      </c>
      <c r="H190" s="20" t="n">
        <v>2</v>
      </c>
      <c r="I190" s="22" t="n">
        <v>2333.8</v>
      </c>
      <c r="J190" s="23" t="n">
        <v>0</v>
      </c>
      <c r="K190" s="24" t="n">
        <v>4667.6</v>
      </c>
      <c r="L190" s="24" t="n">
        <v>2618.96</v>
      </c>
      <c r="M190" s="24" t="n">
        <v>2048.64</v>
      </c>
    </row>
    <row r="191">
      <c r="A191" s="20" t="inlineStr">
        <is>
          <t>ORD-20240190</t>
        </is>
      </c>
      <c r="B191" s="21" t="n">
        <v>45411</v>
      </c>
      <c r="C191" s="20" t="inlineStr">
        <is>
          <t>South</t>
        </is>
      </c>
      <c r="D191" s="20" t="inlineStr">
        <is>
          <t>Office Supplies</t>
        </is>
      </c>
      <c r="E191" s="20" t="inlineStr">
        <is>
          <t>Notebook Set</t>
        </is>
      </c>
      <c r="F191" s="20" t="inlineStr">
        <is>
          <t>Enterprise</t>
        </is>
      </c>
      <c r="G191" s="20" t="inlineStr">
        <is>
          <t>L&amp;T Infotech</t>
        </is>
      </c>
      <c r="H191" s="20" t="n">
        <v>15</v>
      </c>
      <c r="I191" s="22" t="n">
        <v>3187.39</v>
      </c>
      <c r="J191" s="23" t="n">
        <v>0.05</v>
      </c>
      <c r="K191" s="24" t="n">
        <v>45420.31</v>
      </c>
      <c r="L191" s="24" t="n">
        <v>33435.33</v>
      </c>
      <c r="M191" s="24" t="n">
        <v>11984.98</v>
      </c>
    </row>
    <row r="192">
      <c r="A192" s="20" t="inlineStr">
        <is>
          <t>ORD-20240191</t>
        </is>
      </c>
      <c r="B192" s="21" t="n">
        <v>45411</v>
      </c>
      <c r="C192" s="20" t="inlineStr">
        <is>
          <t>East</t>
        </is>
      </c>
      <c r="D192" s="20" t="inlineStr">
        <is>
          <t>Furniture</t>
        </is>
      </c>
      <c r="E192" s="20" t="inlineStr">
        <is>
          <t>Filing Cabinet</t>
        </is>
      </c>
      <c r="F192" s="20" t="inlineStr">
        <is>
          <t>SMB</t>
        </is>
      </c>
      <c r="G192" s="20" t="inlineStr">
        <is>
          <t>Nova Logistics</t>
        </is>
      </c>
      <c r="H192" s="20" t="n">
        <v>23</v>
      </c>
      <c r="I192" s="22" t="n">
        <v>31946.52</v>
      </c>
      <c r="J192" s="23" t="n">
        <v>0</v>
      </c>
      <c r="K192" s="24" t="n">
        <v>734769.96</v>
      </c>
      <c r="L192" s="24" t="n">
        <v>431375.06</v>
      </c>
      <c r="M192" s="24" t="n">
        <v>303394.9</v>
      </c>
    </row>
    <row r="193">
      <c r="A193" s="20" t="inlineStr">
        <is>
          <t>ORD-20240192</t>
        </is>
      </c>
      <c r="B193" s="21" t="n">
        <v>45411</v>
      </c>
      <c r="C193" s="20" t="inlineStr">
        <is>
          <t>West</t>
        </is>
      </c>
      <c r="D193" s="20" t="inlineStr">
        <is>
          <t>Home &amp; Kitchen</t>
        </is>
      </c>
      <c r="E193" s="20" t="inlineStr">
        <is>
          <t>Air Fryer</t>
        </is>
      </c>
      <c r="F193" s="20" t="inlineStr">
        <is>
          <t>Consumer</t>
        </is>
      </c>
      <c r="G193" s="20" t="inlineStr">
        <is>
          <t>Retail Counter</t>
        </is>
      </c>
      <c r="H193" s="20" t="n">
        <v>3</v>
      </c>
      <c r="I193" s="22" t="n">
        <v>8231.190000000001</v>
      </c>
      <c r="J193" s="23" t="n">
        <v>0.12</v>
      </c>
      <c r="K193" s="24" t="n">
        <v>21730.34</v>
      </c>
      <c r="L193" s="24" t="n">
        <v>18631.36</v>
      </c>
      <c r="M193" s="24" t="n">
        <v>3098.98</v>
      </c>
    </row>
    <row r="194">
      <c r="A194" s="20" t="inlineStr">
        <is>
          <t>ORD-20240193</t>
        </is>
      </c>
      <c r="B194" s="21" t="n">
        <v>45412</v>
      </c>
      <c r="C194" s="20" t="inlineStr">
        <is>
          <t>East</t>
        </is>
      </c>
      <c r="D194" s="20" t="inlineStr">
        <is>
          <t>Home &amp; Kitchen</t>
        </is>
      </c>
      <c r="E194" s="20" t="inlineStr">
        <is>
          <t>Mixer Grinder</t>
        </is>
      </c>
      <c r="F194" s="20" t="inlineStr">
        <is>
          <t>SMB</t>
        </is>
      </c>
      <c r="G194" s="20" t="inlineStr">
        <is>
          <t>Pixel Studio</t>
        </is>
      </c>
      <c r="H194" s="20" t="n">
        <v>5</v>
      </c>
      <c r="I194" s="22" t="n">
        <v>21243.71</v>
      </c>
      <c r="J194" s="23" t="n">
        <v>0.05</v>
      </c>
      <c r="K194" s="24" t="n">
        <v>100907.62</v>
      </c>
      <c r="L194" s="24" t="n">
        <v>76326.02</v>
      </c>
      <c r="M194" s="24" t="n">
        <v>24581.6</v>
      </c>
    </row>
    <row r="195">
      <c r="A195" s="20" t="inlineStr">
        <is>
          <t>ORD-20240194</t>
        </is>
      </c>
      <c r="B195" s="21" t="n">
        <v>45412</v>
      </c>
      <c r="C195" s="20" t="inlineStr">
        <is>
          <t>Central</t>
        </is>
      </c>
      <c r="D195" s="20" t="inlineStr">
        <is>
          <t>Office Supplies</t>
        </is>
      </c>
      <c r="E195" s="20" t="inlineStr">
        <is>
          <t>Notebook Set</t>
        </is>
      </c>
      <c r="F195" s="20" t="inlineStr">
        <is>
          <t>Government</t>
        </is>
      </c>
      <c r="G195" s="20" t="inlineStr">
        <is>
          <t>Railways Zone W</t>
        </is>
      </c>
      <c r="H195" s="20" t="n">
        <v>7</v>
      </c>
      <c r="I195" s="22" t="n">
        <v>68.87</v>
      </c>
      <c r="J195" s="23" t="n">
        <v>0</v>
      </c>
      <c r="K195" s="24" t="n">
        <v>482.09</v>
      </c>
      <c r="L195" s="24" t="n">
        <v>329.24</v>
      </c>
      <c r="M195" s="24" t="n">
        <v>152.85</v>
      </c>
    </row>
    <row r="196">
      <c r="A196" s="20" t="inlineStr">
        <is>
          <t>ORD-20240195</t>
        </is>
      </c>
      <c r="B196" s="21" t="n">
        <v>45412</v>
      </c>
      <c r="C196" s="20" t="inlineStr">
        <is>
          <t>Central</t>
        </is>
      </c>
      <c r="D196" s="20" t="inlineStr">
        <is>
          <t>Furniture</t>
        </is>
      </c>
      <c r="E196" s="20" t="inlineStr">
        <is>
          <t>Standing Desk</t>
        </is>
      </c>
      <c r="F196" s="20" t="inlineStr">
        <is>
          <t>SMB</t>
        </is>
      </c>
      <c r="G196" s="20" t="inlineStr">
        <is>
          <t>GreenFarm Agro</t>
        </is>
      </c>
      <c r="H196" s="20" t="n">
        <v>23</v>
      </c>
      <c r="I196" s="22" t="n">
        <v>21952.79</v>
      </c>
      <c r="J196" s="23" t="n">
        <v>0.2</v>
      </c>
      <c r="K196" s="24" t="n">
        <v>403931.34</v>
      </c>
      <c r="L196" s="24" t="n">
        <v>377954.75</v>
      </c>
      <c r="M196" s="24" t="n">
        <v>25976.59</v>
      </c>
    </row>
    <row r="197">
      <c r="A197" s="20" t="inlineStr">
        <is>
          <t>ORD-20240196</t>
        </is>
      </c>
      <c r="B197" s="21" t="n">
        <v>45412</v>
      </c>
      <c r="C197" s="20" t="inlineStr">
        <is>
          <t>South</t>
        </is>
      </c>
      <c r="D197" s="20" t="inlineStr">
        <is>
          <t>Apparel</t>
        </is>
      </c>
      <c r="E197" s="20" t="inlineStr">
        <is>
          <t>Cap Embroidered</t>
        </is>
      </c>
      <c r="F197" s="20" t="inlineStr">
        <is>
          <t>Enterprise</t>
        </is>
      </c>
      <c r="G197" s="20" t="inlineStr">
        <is>
          <t>Infosys Ltd</t>
        </is>
      </c>
      <c r="H197" s="20" t="n">
        <v>12</v>
      </c>
      <c r="I197" s="22" t="n">
        <v>4877.55</v>
      </c>
      <c r="J197" s="23" t="n">
        <v>0</v>
      </c>
      <c r="K197" s="24" t="n">
        <v>58530.6</v>
      </c>
      <c r="L197" s="24" t="n">
        <v>44914.31</v>
      </c>
      <c r="M197" s="24" t="n">
        <v>13616.29</v>
      </c>
    </row>
    <row r="198">
      <c r="A198" s="20" t="inlineStr">
        <is>
          <t>ORD-20240197</t>
        </is>
      </c>
      <c r="B198" s="21" t="n">
        <v>45412</v>
      </c>
      <c r="C198" s="20" t="inlineStr">
        <is>
          <t>South</t>
        </is>
      </c>
      <c r="D198" s="20" t="inlineStr">
        <is>
          <t>Office Supplies</t>
        </is>
      </c>
      <c r="E198" s="20" t="inlineStr">
        <is>
          <t>Whiteboard Kit</t>
        </is>
      </c>
      <c r="F198" s="20" t="inlineStr">
        <is>
          <t>Government</t>
        </is>
      </c>
      <c r="G198" s="20" t="inlineStr">
        <is>
          <t>MH Education Dept</t>
        </is>
      </c>
      <c r="H198" s="20" t="n">
        <v>7</v>
      </c>
      <c r="I198" s="22" t="n">
        <v>2905.99</v>
      </c>
      <c r="J198" s="23" t="n">
        <v>0</v>
      </c>
      <c r="K198" s="24" t="n">
        <v>20341.93</v>
      </c>
      <c r="L198" s="24" t="n">
        <v>14682.99</v>
      </c>
      <c r="M198" s="24" t="n">
        <v>5658.94</v>
      </c>
    </row>
    <row r="199">
      <c r="A199" s="20" t="inlineStr">
        <is>
          <t>ORD-20240198</t>
        </is>
      </c>
      <c r="B199" s="21" t="n">
        <v>45413</v>
      </c>
      <c r="C199" s="20" t="inlineStr">
        <is>
          <t>West</t>
        </is>
      </c>
      <c r="D199" s="20" t="inlineStr">
        <is>
          <t>Furniture</t>
        </is>
      </c>
      <c r="E199" s="20" t="inlineStr">
        <is>
          <t>Conference Table</t>
        </is>
      </c>
      <c r="F199" s="20" t="inlineStr">
        <is>
          <t>Enterprise</t>
        </is>
      </c>
      <c r="G199" s="20" t="inlineStr">
        <is>
          <t>L&amp;T Infotech</t>
        </is>
      </c>
      <c r="H199" s="20" t="n">
        <v>6</v>
      </c>
      <c r="I199" s="22" t="n">
        <v>42622.96</v>
      </c>
      <c r="J199" s="23" t="n">
        <v>0.1</v>
      </c>
      <c r="K199" s="24" t="n">
        <v>230163.98</v>
      </c>
      <c r="L199" s="24" t="n">
        <v>194869.72</v>
      </c>
      <c r="M199" s="24" t="n">
        <v>35294.26</v>
      </c>
    </row>
    <row r="200">
      <c r="A200" s="20" t="inlineStr">
        <is>
          <t>ORD-20240199</t>
        </is>
      </c>
      <c r="B200" s="21" t="n">
        <v>45414</v>
      </c>
      <c r="C200" s="20" t="inlineStr">
        <is>
          <t>South</t>
        </is>
      </c>
      <c r="D200" s="20" t="inlineStr">
        <is>
          <t>Electronics</t>
        </is>
      </c>
      <c r="E200" s="20" t="inlineStr">
        <is>
          <t>Laptop Pro 14</t>
        </is>
      </c>
      <c r="F200" s="20" t="inlineStr">
        <is>
          <t>Consumer</t>
        </is>
      </c>
      <c r="G200" s="20" t="inlineStr">
        <is>
          <t>Walk-in Mumbai</t>
        </is>
      </c>
      <c r="H200" s="20" t="n">
        <v>25</v>
      </c>
      <c r="I200" s="22" t="n">
        <v>12355.17</v>
      </c>
      <c r="J200" s="23" t="n">
        <v>0.05</v>
      </c>
      <c r="K200" s="24" t="n">
        <v>293435.29</v>
      </c>
      <c r="L200" s="24" t="n">
        <v>190446.56</v>
      </c>
      <c r="M200" s="24" t="n">
        <v>102988.73</v>
      </c>
    </row>
    <row r="201">
      <c r="A201" s="20" t="inlineStr">
        <is>
          <t>ORD-20240200</t>
        </is>
      </c>
      <c r="B201" s="21" t="n">
        <v>45415</v>
      </c>
      <c r="C201" s="20" t="inlineStr">
        <is>
          <t>Central</t>
        </is>
      </c>
      <c r="D201" s="20" t="inlineStr">
        <is>
          <t>Electronics</t>
        </is>
      </c>
      <c r="E201" s="20" t="inlineStr">
        <is>
          <t>Wireless Mouse</t>
        </is>
      </c>
      <c r="F201" s="20" t="inlineStr">
        <is>
          <t>SMB</t>
        </is>
      </c>
      <c r="G201" s="20" t="inlineStr">
        <is>
          <t>CityCare Clinics</t>
        </is>
      </c>
      <c r="H201" s="20" t="n">
        <v>22</v>
      </c>
      <c r="I201" s="22" t="n">
        <v>38274.63</v>
      </c>
      <c r="J201" s="23" t="n">
        <v>0</v>
      </c>
      <c r="K201" s="24" t="n">
        <v>842041.86</v>
      </c>
      <c r="L201" s="24" t="n">
        <v>597839.0600000001</v>
      </c>
      <c r="M201" s="24" t="n">
        <v>244202.8</v>
      </c>
    </row>
    <row r="202">
      <c r="A202" s="20" t="inlineStr">
        <is>
          <t>ORD-20240201</t>
        </is>
      </c>
      <c r="B202" s="21" t="n">
        <v>45415</v>
      </c>
      <c r="C202" s="20" t="inlineStr">
        <is>
          <t>South</t>
        </is>
      </c>
      <c r="D202" s="20" t="inlineStr">
        <is>
          <t>Home &amp; Kitchen</t>
        </is>
      </c>
      <c r="E202" s="20" t="inlineStr">
        <is>
          <t>Mixer Grinder</t>
        </is>
      </c>
      <c r="F202" s="20" t="inlineStr">
        <is>
          <t>Consumer</t>
        </is>
      </c>
      <c r="G202" s="20" t="inlineStr">
        <is>
          <t>Walk-in Mumbai</t>
        </is>
      </c>
      <c r="H202" s="20" t="n">
        <v>25</v>
      </c>
      <c r="I202" s="22" t="n">
        <v>2229.88</v>
      </c>
      <c r="J202" s="23" t="n">
        <v>0</v>
      </c>
      <c r="K202" s="24" t="n">
        <v>55747</v>
      </c>
      <c r="L202" s="24" t="n">
        <v>34962.62</v>
      </c>
      <c r="M202" s="24" t="n">
        <v>20784.38</v>
      </c>
    </row>
    <row r="203">
      <c r="A203" s="20" t="inlineStr">
        <is>
          <t>ORD-20240202</t>
        </is>
      </c>
      <c r="B203" s="21" t="n">
        <v>45415</v>
      </c>
      <c r="C203" s="20" t="inlineStr">
        <is>
          <t>West</t>
        </is>
      </c>
      <c r="D203" s="20" t="inlineStr">
        <is>
          <t>Electronics</t>
        </is>
      </c>
      <c r="E203" s="20" t="inlineStr">
        <is>
          <t>USB-C Hub</t>
        </is>
      </c>
      <c r="F203" s="20" t="inlineStr">
        <is>
          <t>Enterprise</t>
        </is>
      </c>
      <c r="G203" s="20" t="inlineStr">
        <is>
          <t>Wipro Tech</t>
        </is>
      </c>
      <c r="H203" s="20" t="n">
        <v>5</v>
      </c>
      <c r="I203" s="22" t="n">
        <v>35559.68</v>
      </c>
      <c r="J203" s="23" t="n">
        <v>0.1</v>
      </c>
      <c r="K203" s="24" t="n">
        <v>160018.56</v>
      </c>
      <c r="L203" s="24" t="n">
        <v>108336.99</v>
      </c>
      <c r="M203" s="24" t="n">
        <v>51681.57</v>
      </c>
    </row>
    <row r="204">
      <c r="A204" s="20" t="inlineStr">
        <is>
          <t>ORD-20240203</t>
        </is>
      </c>
      <c r="B204" s="21" t="n">
        <v>45415</v>
      </c>
      <c r="C204" s="20" t="inlineStr">
        <is>
          <t>East</t>
        </is>
      </c>
      <c r="D204" s="20" t="inlineStr">
        <is>
          <t>Electronics</t>
        </is>
      </c>
      <c r="E204" s="20" t="inlineStr">
        <is>
          <t>USB-C Hub</t>
        </is>
      </c>
      <c r="F204" s="20" t="inlineStr">
        <is>
          <t>SMB</t>
        </is>
      </c>
      <c r="G204" s="20" t="inlineStr">
        <is>
          <t>CityCare Clinics</t>
        </is>
      </c>
      <c r="H204" s="20" t="n">
        <v>7</v>
      </c>
      <c r="I204" s="22" t="n">
        <v>79470.36</v>
      </c>
      <c r="J204" s="23" t="n">
        <v>0.12</v>
      </c>
      <c r="K204" s="24" t="n">
        <v>489537.42</v>
      </c>
      <c r="L204" s="24" t="n">
        <v>426093.56</v>
      </c>
      <c r="M204" s="24" t="n">
        <v>63443.86</v>
      </c>
    </row>
    <row r="205">
      <c r="A205" s="20" t="inlineStr">
        <is>
          <t>ORD-20240204</t>
        </is>
      </c>
      <c r="B205" s="21" t="n">
        <v>45420</v>
      </c>
      <c r="C205" s="20" t="inlineStr">
        <is>
          <t>East</t>
        </is>
      </c>
      <c r="D205" s="20" t="inlineStr">
        <is>
          <t>Home &amp; Kitchen</t>
        </is>
      </c>
      <c r="E205" s="20" t="inlineStr">
        <is>
          <t>Mixer Grinder</t>
        </is>
      </c>
      <c r="F205" s="20" t="inlineStr">
        <is>
          <t>SMB</t>
        </is>
      </c>
      <c r="G205" s="20" t="inlineStr">
        <is>
          <t>GreenFarm Agro</t>
        </is>
      </c>
      <c r="H205" s="20" t="n">
        <v>6</v>
      </c>
      <c r="I205" s="22" t="n">
        <v>8338.620000000001</v>
      </c>
      <c r="J205" s="23" t="n">
        <v>0</v>
      </c>
      <c r="K205" s="24" t="n">
        <v>50031.72</v>
      </c>
      <c r="L205" s="24" t="n">
        <v>33518.51</v>
      </c>
      <c r="M205" s="24" t="n">
        <v>16513.21</v>
      </c>
    </row>
    <row r="206">
      <c r="A206" s="20" t="inlineStr">
        <is>
          <t>ORD-20240205</t>
        </is>
      </c>
      <c r="B206" s="21" t="n">
        <v>45420</v>
      </c>
      <c r="C206" s="20" t="inlineStr">
        <is>
          <t>West</t>
        </is>
      </c>
      <c r="D206" s="20" t="inlineStr">
        <is>
          <t>Office Supplies</t>
        </is>
      </c>
      <c r="E206" s="20" t="inlineStr">
        <is>
          <t>A4 Paper Ream</t>
        </is>
      </c>
      <c r="F206" s="20" t="inlineStr">
        <is>
          <t>Consumer</t>
        </is>
      </c>
      <c r="G206" s="20" t="inlineStr">
        <is>
          <t>Retail Counter</t>
        </is>
      </c>
      <c r="H206" s="20" t="n">
        <v>24</v>
      </c>
      <c r="I206" s="22" t="n">
        <v>62.69</v>
      </c>
      <c r="J206" s="23" t="n">
        <v>0.15</v>
      </c>
      <c r="K206" s="24" t="n">
        <v>1278.88</v>
      </c>
      <c r="L206" s="24" t="n">
        <v>1153.94</v>
      </c>
      <c r="M206" s="24" t="n">
        <v>124.94</v>
      </c>
    </row>
    <row r="207">
      <c r="A207" s="20" t="inlineStr">
        <is>
          <t>ORD-20240206</t>
        </is>
      </c>
      <c r="B207" s="21" t="n">
        <v>45421</v>
      </c>
      <c r="C207" s="20" t="inlineStr">
        <is>
          <t>East</t>
        </is>
      </c>
      <c r="D207" s="20" t="inlineStr">
        <is>
          <t>Home &amp; Kitchen</t>
        </is>
      </c>
      <c r="E207" s="20" t="inlineStr">
        <is>
          <t>Water Purifier</t>
        </is>
      </c>
      <c r="F207" s="20" t="inlineStr">
        <is>
          <t>Government</t>
        </is>
      </c>
      <c r="G207" s="20" t="inlineStr">
        <is>
          <t>MH Education Dept</t>
        </is>
      </c>
      <c r="H207" s="20" t="n">
        <v>10</v>
      </c>
      <c r="I207" s="22" t="n">
        <v>3274.67</v>
      </c>
      <c r="J207" s="23" t="n">
        <v>0.2</v>
      </c>
      <c r="K207" s="24" t="n">
        <v>26197.36</v>
      </c>
      <c r="L207" s="24" t="n">
        <v>20530</v>
      </c>
      <c r="M207" s="24" t="n">
        <v>5667.36</v>
      </c>
    </row>
    <row r="208">
      <c r="A208" s="20" t="inlineStr">
        <is>
          <t>ORD-20240207</t>
        </is>
      </c>
      <c r="B208" s="21" t="n">
        <v>45422</v>
      </c>
      <c r="C208" s="20" t="inlineStr">
        <is>
          <t>East</t>
        </is>
      </c>
      <c r="D208" s="20" t="inlineStr">
        <is>
          <t>Home &amp; Kitchen</t>
        </is>
      </c>
      <c r="E208" s="20" t="inlineStr">
        <is>
          <t>Air Fryer</t>
        </is>
      </c>
      <c r="F208" s="20" t="inlineStr">
        <is>
          <t>Government</t>
        </is>
      </c>
      <c r="G208" s="20" t="inlineStr">
        <is>
          <t>State Health UP</t>
        </is>
      </c>
      <c r="H208" s="20" t="n">
        <v>3</v>
      </c>
      <c r="I208" s="22" t="n">
        <v>25494.52</v>
      </c>
      <c r="J208" s="23" t="n">
        <v>0.15</v>
      </c>
      <c r="K208" s="24" t="n">
        <v>65011.03</v>
      </c>
      <c r="L208" s="24" t="n">
        <v>47350.24</v>
      </c>
      <c r="M208" s="24" t="n">
        <v>17660.79</v>
      </c>
    </row>
    <row r="209">
      <c r="A209" s="20" t="inlineStr">
        <is>
          <t>ORD-20240208</t>
        </is>
      </c>
      <c r="B209" s="21" t="n">
        <v>45423</v>
      </c>
      <c r="C209" s="20" t="inlineStr">
        <is>
          <t>East</t>
        </is>
      </c>
      <c r="D209" s="20" t="inlineStr">
        <is>
          <t>Apparel</t>
        </is>
      </c>
      <c r="E209" s="20" t="inlineStr">
        <is>
          <t>Polo Shirt</t>
        </is>
      </c>
      <c r="F209" s="20" t="inlineStr">
        <is>
          <t>Government</t>
        </is>
      </c>
      <c r="G209" s="20" t="inlineStr">
        <is>
          <t>MH Education Dept</t>
        </is>
      </c>
      <c r="H209" s="20" t="n">
        <v>18</v>
      </c>
      <c r="I209" s="22" t="n">
        <v>1209.72</v>
      </c>
      <c r="J209" s="23" t="n">
        <v>0</v>
      </c>
      <c r="K209" s="24" t="n">
        <v>21774.96</v>
      </c>
      <c r="L209" s="24" t="n">
        <v>12303.57</v>
      </c>
      <c r="M209" s="24" t="n">
        <v>9471.389999999999</v>
      </c>
    </row>
    <row r="210">
      <c r="A210" s="20" t="inlineStr">
        <is>
          <t>ORD-20240209</t>
        </is>
      </c>
      <c r="B210" s="21" t="n">
        <v>45424</v>
      </c>
      <c r="C210" s="20" t="inlineStr">
        <is>
          <t>East</t>
        </is>
      </c>
      <c r="D210" s="20" t="inlineStr">
        <is>
          <t>Office Supplies</t>
        </is>
      </c>
      <c r="E210" s="20" t="inlineStr">
        <is>
          <t>Whiteboard Kit</t>
        </is>
      </c>
      <c r="F210" s="20" t="inlineStr">
        <is>
          <t>Enterprise</t>
        </is>
      </c>
      <c r="G210" s="20" t="inlineStr">
        <is>
          <t>Infosys Ltd</t>
        </is>
      </c>
      <c r="H210" s="20" t="n">
        <v>17</v>
      </c>
      <c r="I210" s="22" t="n">
        <v>2323.17</v>
      </c>
      <c r="J210" s="23" t="n">
        <v>0</v>
      </c>
      <c r="K210" s="24" t="n">
        <v>39493.89</v>
      </c>
      <c r="L210" s="24" t="n">
        <v>29308.2</v>
      </c>
      <c r="M210" s="24" t="n">
        <v>10185.69</v>
      </c>
    </row>
    <row r="211">
      <c r="A211" s="20" t="inlineStr">
        <is>
          <t>ORD-20240210</t>
        </is>
      </c>
      <c r="B211" s="21" t="n">
        <v>45424</v>
      </c>
      <c r="C211" s="20" t="inlineStr">
        <is>
          <t>East</t>
        </is>
      </c>
      <c r="D211" s="20" t="inlineStr">
        <is>
          <t>Apparel</t>
        </is>
      </c>
      <c r="E211" s="20" t="inlineStr">
        <is>
          <t>Cap Embroidered</t>
        </is>
      </c>
      <c r="F211" s="20" t="inlineStr">
        <is>
          <t>Government</t>
        </is>
      </c>
      <c r="G211" s="20" t="inlineStr">
        <is>
          <t>MH Education Dept</t>
        </is>
      </c>
      <c r="H211" s="20" t="n">
        <v>20</v>
      </c>
      <c r="I211" s="22" t="n">
        <v>1272.88</v>
      </c>
      <c r="J211" s="23" t="n">
        <v>0</v>
      </c>
      <c r="K211" s="24" t="n">
        <v>25457.6</v>
      </c>
      <c r="L211" s="24" t="n">
        <v>17907.46</v>
      </c>
      <c r="M211" s="24" t="n">
        <v>7550.14</v>
      </c>
    </row>
    <row r="212">
      <c r="A212" s="20" t="inlineStr">
        <is>
          <t>ORD-20240211</t>
        </is>
      </c>
      <c r="B212" s="21" t="n">
        <v>45425</v>
      </c>
      <c r="C212" s="20" t="inlineStr">
        <is>
          <t>South</t>
        </is>
      </c>
      <c r="D212" s="20" t="inlineStr">
        <is>
          <t>Office Supplies</t>
        </is>
      </c>
      <c r="E212" s="20" t="inlineStr">
        <is>
          <t>Notebook Set</t>
        </is>
      </c>
      <c r="F212" s="20" t="inlineStr">
        <is>
          <t>Consumer</t>
        </is>
      </c>
      <c r="G212" s="20" t="inlineStr">
        <is>
          <t>Online Guest</t>
        </is>
      </c>
      <c r="H212" s="20" t="n">
        <v>24</v>
      </c>
      <c r="I212" s="22" t="n">
        <v>3458.68</v>
      </c>
      <c r="J212" s="23" t="n">
        <v>0.1</v>
      </c>
      <c r="K212" s="24" t="n">
        <v>74707.49000000001</v>
      </c>
      <c r="L212" s="24" t="n">
        <v>64276.33</v>
      </c>
      <c r="M212" s="24" t="n">
        <v>10431.16</v>
      </c>
    </row>
    <row r="213">
      <c r="A213" s="20" t="inlineStr">
        <is>
          <t>ORD-20240212</t>
        </is>
      </c>
      <c r="B213" s="21" t="n">
        <v>45425</v>
      </c>
      <c r="C213" s="20" t="inlineStr">
        <is>
          <t>Central</t>
        </is>
      </c>
      <c r="D213" s="20" t="inlineStr">
        <is>
          <t>Home &amp; Kitchen</t>
        </is>
      </c>
      <c r="E213" s="20" t="inlineStr">
        <is>
          <t>Air Fryer</t>
        </is>
      </c>
      <c r="F213" s="20" t="inlineStr">
        <is>
          <t>SMB</t>
        </is>
      </c>
      <c r="G213" s="20" t="inlineStr">
        <is>
          <t>SwiftPrint</t>
        </is>
      </c>
      <c r="H213" s="20" t="n">
        <v>13</v>
      </c>
      <c r="I213" s="22" t="n">
        <v>3019.5</v>
      </c>
      <c r="J213" s="23" t="n">
        <v>0</v>
      </c>
      <c r="K213" s="24" t="n">
        <v>39253.5</v>
      </c>
      <c r="L213" s="24" t="n">
        <v>25516.58</v>
      </c>
      <c r="M213" s="24" t="n">
        <v>13736.92</v>
      </c>
    </row>
    <row r="214">
      <c r="A214" s="20" t="inlineStr">
        <is>
          <t>ORD-20240213</t>
        </is>
      </c>
      <c r="B214" s="21" t="n">
        <v>45425</v>
      </c>
      <c r="C214" s="20" t="inlineStr">
        <is>
          <t>West</t>
        </is>
      </c>
      <c r="D214" s="20" t="inlineStr">
        <is>
          <t>Apparel</t>
        </is>
      </c>
      <c r="E214" s="20" t="inlineStr">
        <is>
          <t>Hoodie Soft</t>
        </is>
      </c>
      <c r="F214" s="20" t="inlineStr">
        <is>
          <t>SMB</t>
        </is>
      </c>
      <c r="G214" s="20" t="inlineStr">
        <is>
          <t>CityCare Clinics</t>
        </is>
      </c>
      <c r="H214" s="20" t="n">
        <v>13</v>
      </c>
      <c r="I214" s="22" t="n">
        <v>3961.07</v>
      </c>
      <c r="J214" s="23" t="n">
        <v>0</v>
      </c>
      <c r="K214" s="24" t="n">
        <v>51493.91</v>
      </c>
      <c r="L214" s="24" t="n">
        <v>38537.65</v>
      </c>
      <c r="M214" s="24" t="n">
        <v>12956.26</v>
      </c>
    </row>
    <row r="215">
      <c r="A215" s="20" t="inlineStr">
        <is>
          <t>ORD-20240214</t>
        </is>
      </c>
      <c r="B215" s="21" t="n">
        <v>45425</v>
      </c>
      <c r="C215" s="20" t="inlineStr">
        <is>
          <t>East</t>
        </is>
      </c>
      <c r="D215" s="20" t="inlineStr">
        <is>
          <t>Office Supplies</t>
        </is>
      </c>
      <c r="E215" s="20" t="inlineStr">
        <is>
          <t>Stapler Heavy</t>
        </is>
      </c>
      <c r="F215" s="20" t="inlineStr">
        <is>
          <t>Enterprise</t>
        </is>
      </c>
      <c r="G215" s="20" t="inlineStr">
        <is>
          <t>Infosys Ltd</t>
        </is>
      </c>
      <c r="H215" s="20" t="n">
        <v>22</v>
      </c>
      <c r="I215" s="22" t="n">
        <v>97.13</v>
      </c>
      <c r="J215" s="23" t="n">
        <v>0.2</v>
      </c>
      <c r="K215" s="24" t="n">
        <v>1709.49</v>
      </c>
      <c r="L215" s="24" t="n">
        <v>1553.94</v>
      </c>
      <c r="M215" s="24" t="n">
        <v>155.55</v>
      </c>
    </row>
    <row r="216">
      <c r="A216" s="20" t="inlineStr">
        <is>
          <t>ORD-20240215</t>
        </is>
      </c>
      <c r="B216" s="21" t="n">
        <v>45427</v>
      </c>
      <c r="C216" s="20" t="inlineStr">
        <is>
          <t>East</t>
        </is>
      </c>
      <c r="D216" s="20" t="inlineStr">
        <is>
          <t>Furniture</t>
        </is>
      </c>
      <c r="E216" s="20" t="inlineStr">
        <is>
          <t>Standing Desk</t>
        </is>
      </c>
      <c r="F216" s="20" t="inlineStr">
        <is>
          <t>Government</t>
        </is>
      </c>
      <c r="G216" s="20" t="inlineStr">
        <is>
          <t>Municipal Corp Hyd</t>
        </is>
      </c>
      <c r="H216" s="20" t="n">
        <v>1</v>
      </c>
      <c r="I216" s="22" t="n">
        <v>39246.77</v>
      </c>
      <c r="J216" s="23" t="n">
        <v>0</v>
      </c>
      <c r="K216" s="24" t="n">
        <v>39246.77</v>
      </c>
      <c r="L216" s="24" t="n">
        <v>25865.28</v>
      </c>
      <c r="M216" s="24" t="n">
        <v>13381.49</v>
      </c>
    </row>
    <row r="217">
      <c r="A217" s="20" t="inlineStr">
        <is>
          <t>ORD-20240216</t>
        </is>
      </c>
      <c r="B217" s="21" t="n">
        <v>45428</v>
      </c>
      <c r="C217" s="20" t="inlineStr">
        <is>
          <t>East</t>
        </is>
      </c>
      <c r="D217" s="20" t="inlineStr">
        <is>
          <t>Apparel</t>
        </is>
      </c>
      <c r="E217" s="20" t="inlineStr">
        <is>
          <t>Hoodie Soft</t>
        </is>
      </c>
      <c r="F217" s="20" t="inlineStr">
        <is>
          <t>Enterprise</t>
        </is>
      </c>
      <c r="G217" s="20" t="inlineStr">
        <is>
          <t>L&amp;T Infotech</t>
        </is>
      </c>
      <c r="H217" s="20" t="n">
        <v>10</v>
      </c>
      <c r="I217" s="22" t="n">
        <v>2026.46</v>
      </c>
      <c r="J217" s="23" t="n">
        <v>0.05</v>
      </c>
      <c r="K217" s="24" t="n">
        <v>19251.37</v>
      </c>
      <c r="L217" s="24" t="n">
        <v>12166.86</v>
      </c>
      <c r="M217" s="24" t="n">
        <v>7084.51</v>
      </c>
    </row>
    <row r="218">
      <c r="A218" s="20" t="inlineStr">
        <is>
          <t>ORD-20240217</t>
        </is>
      </c>
      <c r="B218" s="21" t="n">
        <v>45428</v>
      </c>
      <c r="C218" s="20" t="inlineStr">
        <is>
          <t>South</t>
        </is>
      </c>
      <c r="D218" s="20" t="inlineStr">
        <is>
          <t>Electronics</t>
        </is>
      </c>
      <c r="E218" s="20" t="inlineStr">
        <is>
          <t>Wireless Mouse</t>
        </is>
      </c>
      <c r="F218" s="20" t="inlineStr">
        <is>
          <t>SMB</t>
        </is>
      </c>
      <c r="G218" s="20" t="inlineStr">
        <is>
          <t>CityCare Clinics</t>
        </is>
      </c>
      <c r="H218" s="20" t="n">
        <v>22</v>
      </c>
      <c r="I218" s="22" t="n">
        <v>35348.62</v>
      </c>
      <c r="J218" s="23" t="n">
        <v>0.1</v>
      </c>
      <c r="K218" s="24" t="n">
        <v>699902.6800000001</v>
      </c>
      <c r="L218" s="24" t="n">
        <v>508473.6</v>
      </c>
      <c r="M218" s="24" t="n">
        <v>191429.08</v>
      </c>
    </row>
    <row r="219">
      <c r="A219" s="20" t="inlineStr">
        <is>
          <t>ORD-20240218</t>
        </is>
      </c>
      <c r="B219" s="21" t="n">
        <v>45429</v>
      </c>
      <c r="C219" s="20" t="inlineStr">
        <is>
          <t>Central</t>
        </is>
      </c>
      <c r="D219" s="20" t="inlineStr">
        <is>
          <t>Office Supplies</t>
        </is>
      </c>
      <c r="E219" s="20" t="inlineStr">
        <is>
          <t>Notebook Set</t>
        </is>
      </c>
      <c r="F219" s="20" t="inlineStr">
        <is>
          <t>Enterprise</t>
        </is>
      </c>
      <c r="G219" s="20" t="inlineStr">
        <is>
          <t>L&amp;T Infotech</t>
        </is>
      </c>
      <c r="H219" s="20" t="n">
        <v>18</v>
      </c>
      <c r="I219" s="22" t="n">
        <v>1082.86</v>
      </c>
      <c r="J219" s="23" t="n">
        <v>0</v>
      </c>
      <c r="K219" s="24" t="n">
        <v>19491.48</v>
      </c>
      <c r="L219" s="24" t="n">
        <v>14929.58</v>
      </c>
      <c r="M219" s="24" t="n">
        <v>4561.9</v>
      </c>
    </row>
    <row r="220">
      <c r="A220" s="20" t="inlineStr">
        <is>
          <t>ORD-20240219</t>
        </is>
      </c>
      <c r="B220" s="21" t="n">
        <v>45429</v>
      </c>
      <c r="C220" s="20" t="inlineStr">
        <is>
          <t>Central</t>
        </is>
      </c>
      <c r="D220" s="20" t="inlineStr">
        <is>
          <t>Office Supplies</t>
        </is>
      </c>
      <c r="E220" s="20" t="inlineStr">
        <is>
          <t>Notebook Set</t>
        </is>
      </c>
      <c r="F220" s="20" t="inlineStr">
        <is>
          <t>Enterprise</t>
        </is>
      </c>
      <c r="G220" s="20" t="inlineStr">
        <is>
          <t>Wipro Tech</t>
        </is>
      </c>
      <c r="H220" s="20" t="n">
        <v>10</v>
      </c>
      <c r="I220" s="22" t="n">
        <v>1617.5</v>
      </c>
      <c r="J220" s="23" t="n">
        <v>0.2</v>
      </c>
      <c r="K220" s="24" t="n">
        <v>12940</v>
      </c>
      <c r="L220" s="24" t="n">
        <v>10846.85</v>
      </c>
      <c r="M220" s="24" t="n">
        <v>2093.15</v>
      </c>
    </row>
    <row r="221">
      <c r="A221" s="20" t="inlineStr">
        <is>
          <t>ORD-20240220</t>
        </is>
      </c>
      <c r="B221" s="21" t="n">
        <v>45429</v>
      </c>
      <c r="C221" s="20" t="inlineStr">
        <is>
          <t>East</t>
        </is>
      </c>
      <c r="D221" s="20" t="inlineStr">
        <is>
          <t>Furniture</t>
        </is>
      </c>
      <c r="E221" s="20" t="inlineStr">
        <is>
          <t>Standing Desk</t>
        </is>
      </c>
      <c r="F221" s="20" t="inlineStr">
        <is>
          <t>SMB</t>
        </is>
      </c>
      <c r="G221" s="20" t="inlineStr">
        <is>
          <t>GreenFarm Agro</t>
        </is>
      </c>
      <c r="H221" s="20" t="n">
        <v>2</v>
      </c>
      <c r="I221" s="22" t="n">
        <v>26401.4</v>
      </c>
      <c r="J221" s="23" t="n">
        <v>0.12</v>
      </c>
      <c r="K221" s="24" t="n">
        <v>46466.46</v>
      </c>
      <c r="L221" s="24" t="n">
        <v>35809.59</v>
      </c>
      <c r="M221" s="24" t="n">
        <v>10656.87</v>
      </c>
    </row>
    <row r="222">
      <c r="A222" s="20" t="inlineStr">
        <is>
          <t>ORD-20240221</t>
        </is>
      </c>
      <c r="B222" s="21" t="n">
        <v>45429</v>
      </c>
      <c r="C222" s="20" t="inlineStr">
        <is>
          <t>South</t>
        </is>
      </c>
      <c r="D222" s="20" t="inlineStr">
        <is>
          <t>Electronics</t>
        </is>
      </c>
      <c r="E222" s="20" t="inlineStr">
        <is>
          <t>USB-C Hub</t>
        </is>
      </c>
      <c r="F222" s="20" t="inlineStr">
        <is>
          <t>SMB</t>
        </is>
      </c>
      <c r="G222" s="20" t="inlineStr">
        <is>
          <t>SwiftPrint</t>
        </is>
      </c>
      <c r="H222" s="20" t="n">
        <v>24</v>
      </c>
      <c r="I222" s="22" t="n">
        <v>54758.61</v>
      </c>
      <c r="J222" s="23" t="n">
        <v>0.05</v>
      </c>
      <c r="K222" s="24" t="n">
        <v>1248496.31</v>
      </c>
      <c r="L222" s="24" t="n">
        <v>976751.64</v>
      </c>
      <c r="M222" s="24" t="n">
        <v>271744.67</v>
      </c>
    </row>
    <row r="223">
      <c r="A223" s="20" t="inlineStr">
        <is>
          <t>ORD-20240222</t>
        </is>
      </c>
      <c r="B223" s="21" t="n">
        <v>45430</v>
      </c>
      <c r="C223" s="20" t="inlineStr">
        <is>
          <t>East</t>
        </is>
      </c>
      <c r="D223" s="20" t="inlineStr">
        <is>
          <t>Furniture</t>
        </is>
      </c>
      <c r="E223" s="20" t="inlineStr">
        <is>
          <t>Ergo Chair</t>
        </is>
      </c>
      <c r="F223" s="20" t="inlineStr">
        <is>
          <t>Consumer</t>
        </is>
      </c>
      <c r="G223" s="20" t="inlineStr">
        <is>
          <t>Walk-in Mumbai</t>
        </is>
      </c>
      <c r="H223" s="20" t="n">
        <v>25</v>
      </c>
      <c r="I223" s="22" t="n">
        <v>31599.01</v>
      </c>
      <c r="J223" s="23" t="n">
        <v>0.15</v>
      </c>
      <c r="K223" s="24" t="n">
        <v>671478.96</v>
      </c>
      <c r="L223" s="24" t="n">
        <v>549269.1899999999</v>
      </c>
      <c r="M223" s="24" t="n">
        <v>122209.77</v>
      </c>
    </row>
    <row r="224">
      <c r="A224" s="20" t="inlineStr">
        <is>
          <t>ORD-20240223</t>
        </is>
      </c>
      <c r="B224" s="21" t="n">
        <v>45431</v>
      </c>
      <c r="C224" s="20" t="inlineStr">
        <is>
          <t>Central</t>
        </is>
      </c>
      <c r="D224" s="20" t="inlineStr">
        <is>
          <t>Apparel</t>
        </is>
      </c>
      <c r="E224" s="20" t="inlineStr">
        <is>
          <t>Cap Embroidered</t>
        </is>
      </c>
      <c r="F224" s="20" t="inlineStr">
        <is>
          <t>Government</t>
        </is>
      </c>
      <c r="G224" s="20" t="inlineStr">
        <is>
          <t>State Health UP</t>
        </is>
      </c>
      <c r="H224" s="20" t="n">
        <v>21</v>
      </c>
      <c r="I224" s="22" t="n">
        <v>4555.58</v>
      </c>
      <c r="J224" s="23" t="n">
        <v>0.05</v>
      </c>
      <c r="K224" s="24" t="n">
        <v>90883.82000000001</v>
      </c>
      <c r="L224" s="24" t="n">
        <v>56123.39</v>
      </c>
      <c r="M224" s="24" t="n">
        <v>34760.43</v>
      </c>
    </row>
    <row r="225">
      <c r="A225" s="20" t="inlineStr">
        <is>
          <t>ORD-20240224</t>
        </is>
      </c>
      <c r="B225" s="21" t="n">
        <v>45434</v>
      </c>
      <c r="C225" s="20" t="inlineStr">
        <is>
          <t>East</t>
        </is>
      </c>
      <c r="D225" s="20" t="inlineStr">
        <is>
          <t>Office Supplies</t>
        </is>
      </c>
      <c r="E225" s="20" t="inlineStr">
        <is>
          <t>A4 Paper Ream</t>
        </is>
      </c>
      <c r="F225" s="20" t="inlineStr">
        <is>
          <t>SMB</t>
        </is>
      </c>
      <c r="G225" s="20" t="inlineStr">
        <is>
          <t>Nova Logistics</t>
        </is>
      </c>
      <c r="H225" s="20" t="n">
        <v>2</v>
      </c>
      <c r="I225" s="22" t="n">
        <v>1039.73</v>
      </c>
      <c r="J225" s="23" t="n">
        <v>0.15</v>
      </c>
      <c r="K225" s="24" t="n">
        <v>1767.54</v>
      </c>
      <c r="L225" s="24" t="n">
        <v>1476.62</v>
      </c>
      <c r="M225" s="24" t="n">
        <v>290.92</v>
      </c>
    </row>
    <row r="226">
      <c r="A226" s="20" t="inlineStr">
        <is>
          <t>ORD-20240225</t>
        </is>
      </c>
      <c r="B226" s="21" t="n">
        <v>45434</v>
      </c>
      <c r="C226" s="20" t="inlineStr">
        <is>
          <t>West</t>
        </is>
      </c>
      <c r="D226" s="20" t="inlineStr">
        <is>
          <t>Furniture</t>
        </is>
      </c>
      <c r="E226" s="20" t="inlineStr">
        <is>
          <t>Filing Cabinet</t>
        </is>
      </c>
      <c r="F226" s="20" t="inlineStr">
        <is>
          <t>Consumer</t>
        </is>
      </c>
      <c r="G226" s="20" t="inlineStr">
        <is>
          <t>Online Guest</t>
        </is>
      </c>
      <c r="H226" s="20" t="n">
        <v>16</v>
      </c>
      <c r="I226" s="22" t="n">
        <v>36187.94</v>
      </c>
      <c r="J226" s="23" t="n">
        <v>0</v>
      </c>
      <c r="K226" s="24" t="n">
        <v>579007.04</v>
      </c>
      <c r="L226" s="24" t="n">
        <v>385284.32</v>
      </c>
      <c r="M226" s="24" t="n">
        <v>193722.72</v>
      </c>
    </row>
    <row r="227">
      <c r="A227" s="20" t="inlineStr">
        <is>
          <t>ORD-20240226</t>
        </is>
      </c>
      <c r="B227" s="21" t="n">
        <v>45434</v>
      </c>
      <c r="C227" s="20" t="inlineStr">
        <is>
          <t>West</t>
        </is>
      </c>
      <c r="D227" s="20" t="inlineStr">
        <is>
          <t>Office Supplies</t>
        </is>
      </c>
      <c r="E227" s="20" t="inlineStr">
        <is>
          <t>Notebook Set</t>
        </is>
      </c>
      <c r="F227" s="20" t="inlineStr">
        <is>
          <t>SMB</t>
        </is>
      </c>
      <c r="G227" s="20" t="inlineStr">
        <is>
          <t>BrightRetail Co</t>
        </is>
      </c>
      <c r="H227" s="20" t="n">
        <v>2</v>
      </c>
      <c r="I227" s="22" t="n">
        <v>3194.2</v>
      </c>
      <c r="J227" s="23" t="n">
        <v>0.1</v>
      </c>
      <c r="K227" s="24" t="n">
        <v>5749.56</v>
      </c>
      <c r="L227" s="24" t="n">
        <v>4760.72</v>
      </c>
      <c r="M227" s="24" t="n">
        <v>988.84</v>
      </c>
    </row>
    <row r="228">
      <c r="A228" s="20" t="inlineStr">
        <is>
          <t>ORD-20240227</t>
        </is>
      </c>
      <c r="B228" s="21" t="n">
        <v>45435</v>
      </c>
      <c r="C228" s="20" t="inlineStr">
        <is>
          <t>West</t>
        </is>
      </c>
      <c r="D228" s="20" t="inlineStr">
        <is>
          <t>Home &amp; Kitchen</t>
        </is>
      </c>
      <c r="E228" s="20" t="inlineStr">
        <is>
          <t>Air Fryer</t>
        </is>
      </c>
      <c r="F228" s="20" t="inlineStr">
        <is>
          <t>Consumer</t>
        </is>
      </c>
      <c r="G228" s="20" t="inlineStr">
        <is>
          <t>Retail Counter</t>
        </is>
      </c>
      <c r="H228" s="20" t="n">
        <v>1</v>
      </c>
      <c r="I228" s="22" t="n">
        <v>18891.98</v>
      </c>
      <c r="J228" s="23" t="n">
        <v>0</v>
      </c>
      <c r="K228" s="24" t="n">
        <v>18891.98</v>
      </c>
      <c r="L228" s="24" t="n">
        <v>13680.77</v>
      </c>
      <c r="M228" s="24" t="n">
        <v>5211.21</v>
      </c>
    </row>
    <row r="229">
      <c r="A229" s="20" t="inlineStr">
        <is>
          <t>ORD-20240228</t>
        </is>
      </c>
      <c r="B229" s="21" t="n">
        <v>45435</v>
      </c>
      <c r="C229" s="20" t="inlineStr">
        <is>
          <t>Central</t>
        </is>
      </c>
      <c r="D229" s="20" t="inlineStr">
        <is>
          <t>Electronics</t>
        </is>
      </c>
      <c r="E229" s="20" t="inlineStr">
        <is>
          <t>USB-C Hub</t>
        </is>
      </c>
      <c r="F229" s="20" t="inlineStr">
        <is>
          <t>Consumer</t>
        </is>
      </c>
      <c r="G229" s="20" t="inlineStr">
        <is>
          <t>Walk-in Delhi</t>
        </is>
      </c>
      <c r="H229" s="20" t="n">
        <v>14</v>
      </c>
      <c r="I229" s="22" t="n">
        <v>76308.31</v>
      </c>
      <c r="J229" s="23" t="n">
        <v>0</v>
      </c>
      <c r="K229" s="24" t="n">
        <v>1068316.34</v>
      </c>
      <c r="L229" s="24" t="n">
        <v>685096.16</v>
      </c>
      <c r="M229" s="24" t="n">
        <v>383220.18</v>
      </c>
    </row>
    <row r="230">
      <c r="A230" s="20" t="inlineStr">
        <is>
          <t>ORD-20240229</t>
        </is>
      </c>
      <c r="B230" s="21" t="n">
        <v>45435</v>
      </c>
      <c r="C230" s="20" t="inlineStr">
        <is>
          <t>South</t>
        </is>
      </c>
      <c r="D230" s="20" t="inlineStr">
        <is>
          <t>Apparel</t>
        </is>
      </c>
      <c r="E230" s="20" t="inlineStr">
        <is>
          <t>Hoodie Soft</t>
        </is>
      </c>
      <c r="F230" s="20" t="inlineStr">
        <is>
          <t>Enterprise</t>
        </is>
      </c>
      <c r="G230" s="20" t="inlineStr">
        <is>
          <t>Tech Mahindra</t>
        </is>
      </c>
      <c r="H230" s="20" t="n">
        <v>1</v>
      </c>
      <c r="I230" s="22" t="n">
        <v>3255.84</v>
      </c>
      <c r="J230" s="23" t="n">
        <v>0</v>
      </c>
      <c r="K230" s="24" t="n">
        <v>3255.84</v>
      </c>
      <c r="L230" s="24" t="n">
        <v>1943.13</v>
      </c>
      <c r="M230" s="24" t="n">
        <v>1312.71</v>
      </c>
    </row>
    <row r="231">
      <c r="A231" s="20" t="inlineStr">
        <is>
          <t>ORD-20240230</t>
        </is>
      </c>
      <c r="B231" s="21" t="n">
        <v>45436</v>
      </c>
      <c r="C231" s="20" t="inlineStr">
        <is>
          <t>Central</t>
        </is>
      </c>
      <c r="D231" s="20" t="inlineStr">
        <is>
          <t>Office Supplies</t>
        </is>
      </c>
      <c r="E231" s="20" t="inlineStr">
        <is>
          <t>Notebook Set</t>
        </is>
      </c>
      <c r="F231" s="20" t="inlineStr">
        <is>
          <t>Enterprise</t>
        </is>
      </c>
      <c r="G231" s="20" t="inlineStr">
        <is>
          <t>Wipro Tech</t>
        </is>
      </c>
      <c r="H231" s="20" t="n">
        <v>8</v>
      </c>
      <c r="I231" s="22" t="n">
        <v>1659.33</v>
      </c>
      <c r="J231" s="23" t="n">
        <v>0.05</v>
      </c>
      <c r="K231" s="24" t="n">
        <v>12610.91</v>
      </c>
      <c r="L231" s="24" t="n">
        <v>8673.74</v>
      </c>
      <c r="M231" s="24" t="n">
        <v>3937.17</v>
      </c>
    </row>
    <row r="232">
      <c r="A232" s="20" t="inlineStr">
        <is>
          <t>ORD-20240231</t>
        </is>
      </c>
      <c r="B232" s="21" t="n">
        <v>45437</v>
      </c>
      <c r="C232" s="20" t="inlineStr">
        <is>
          <t>South</t>
        </is>
      </c>
      <c r="D232" s="20" t="inlineStr">
        <is>
          <t>Office Supplies</t>
        </is>
      </c>
      <c r="E232" s="20" t="inlineStr">
        <is>
          <t>Notebook Set</t>
        </is>
      </c>
      <c r="F232" s="20" t="inlineStr">
        <is>
          <t>Government</t>
        </is>
      </c>
      <c r="G232" s="20" t="inlineStr">
        <is>
          <t>Delhi NDMC</t>
        </is>
      </c>
      <c r="H232" s="20" t="n">
        <v>18</v>
      </c>
      <c r="I232" s="22" t="n">
        <v>825.59</v>
      </c>
      <c r="J232" s="23" t="n">
        <v>0</v>
      </c>
      <c r="K232" s="24" t="n">
        <v>14860.62</v>
      </c>
      <c r="L232" s="24" t="n">
        <v>11278.24</v>
      </c>
      <c r="M232" s="24" t="n">
        <v>3582.38</v>
      </c>
    </row>
    <row r="233">
      <c r="A233" s="20" t="inlineStr">
        <is>
          <t>ORD-20240232</t>
        </is>
      </c>
      <c r="B233" s="21" t="n">
        <v>45437</v>
      </c>
      <c r="C233" s="20" t="inlineStr">
        <is>
          <t>North</t>
        </is>
      </c>
      <c r="D233" s="20" t="inlineStr">
        <is>
          <t>Apparel</t>
        </is>
      </c>
      <c r="E233" s="20" t="inlineStr">
        <is>
          <t>Safety Vest</t>
        </is>
      </c>
      <c r="F233" s="20" t="inlineStr">
        <is>
          <t>SMB</t>
        </is>
      </c>
      <c r="G233" s="20" t="inlineStr">
        <is>
          <t>CityCare Clinics</t>
        </is>
      </c>
      <c r="H233" s="20" t="n">
        <v>8</v>
      </c>
      <c r="I233" s="22" t="n">
        <v>2272.13</v>
      </c>
      <c r="J233" s="23" t="n">
        <v>0</v>
      </c>
      <c r="K233" s="24" t="n">
        <v>18177.04</v>
      </c>
      <c r="L233" s="24" t="n">
        <v>14063.37</v>
      </c>
      <c r="M233" s="24" t="n">
        <v>4113.67</v>
      </c>
    </row>
    <row r="234">
      <c r="A234" s="20" t="inlineStr">
        <is>
          <t>ORD-20240233</t>
        </is>
      </c>
      <c r="B234" s="21" t="n">
        <v>45437</v>
      </c>
      <c r="C234" s="20" t="inlineStr">
        <is>
          <t>South</t>
        </is>
      </c>
      <c r="D234" s="20" t="inlineStr">
        <is>
          <t>Home &amp; Kitchen</t>
        </is>
      </c>
      <c r="E234" s="20" t="inlineStr">
        <is>
          <t>Coffee Maker</t>
        </is>
      </c>
      <c r="F234" s="20" t="inlineStr">
        <is>
          <t>Consumer</t>
        </is>
      </c>
      <c r="G234" s="20" t="inlineStr">
        <is>
          <t>Walk-in Mumbai</t>
        </is>
      </c>
      <c r="H234" s="20" t="n">
        <v>11</v>
      </c>
      <c r="I234" s="22" t="n">
        <v>2607.07</v>
      </c>
      <c r="J234" s="23" t="n">
        <v>0</v>
      </c>
      <c r="K234" s="24" t="n">
        <v>28677.77</v>
      </c>
      <c r="L234" s="24" t="n">
        <v>19641.98</v>
      </c>
      <c r="M234" s="24" t="n">
        <v>9035.790000000001</v>
      </c>
    </row>
    <row r="235">
      <c r="A235" s="20" t="inlineStr">
        <is>
          <t>ORD-20240234</t>
        </is>
      </c>
      <c r="B235" s="21" t="n">
        <v>45437</v>
      </c>
      <c r="C235" s="20" t="inlineStr">
        <is>
          <t>East</t>
        </is>
      </c>
      <c r="D235" s="20" t="inlineStr">
        <is>
          <t>Apparel</t>
        </is>
      </c>
      <c r="E235" s="20" t="inlineStr">
        <is>
          <t>Safety Vest</t>
        </is>
      </c>
      <c r="F235" s="20" t="inlineStr">
        <is>
          <t>Government</t>
        </is>
      </c>
      <c r="G235" s="20" t="inlineStr">
        <is>
          <t>MH Education Dept</t>
        </is>
      </c>
      <c r="H235" s="20" t="n">
        <v>14</v>
      </c>
      <c r="I235" s="22" t="n">
        <v>1682.77</v>
      </c>
      <c r="J235" s="23" t="n">
        <v>0</v>
      </c>
      <c r="K235" s="24" t="n">
        <v>23558.78</v>
      </c>
      <c r="L235" s="24" t="n">
        <v>16695.85</v>
      </c>
      <c r="M235" s="24" t="n">
        <v>6862.93</v>
      </c>
    </row>
    <row r="236">
      <c r="A236" s="20" t="inlineStr">
        <is>
          <t>ORD-20240235</t>
        </is>
      </c>
      <c r="B236" s="21" t="n">
        <v>45438</v>
      </c>
      <c r="C236" s="20" t="inlineStr">
        <is>
          <t>North</t>
        </is>
      </c>
      <c r="D236" s="20" t="inlineStr">
        <is>
          <t>Office Supplies</t>
        </is>
      </c>
      <c r="E236" s="20" t="inlineStr">
        <is>
          <t>A4 Paper Ream</t>
        </is>
      </c>
      <c r="F236" s="20" t="inlineStr">
        <is>
          <t>Government</t>
        </is>
      </c>
      <c r="G236" s="20" t="inlineStr">
        <is>
          <t>Railways Zone W</t>
        </is>
      </c>
      <c r="H236" s="20" t="n">
        <v>17</v>
      </c>
      <c r="I236" s="22" t="n">
        <v>2813.78</v>
      </c>
      <c r="J236" s="23" t="n">
        <v>0</v>
      </c>
      <c r="K236" s="24" t="n">
        <v>47834.26</v>
      </c>
      <c r="L236" s="24" t="n">
        <v>36791.32</v>
      </c>
      <c r="M236" s="24" t="n">
        <v>11042.94</v>
      </c>
    </row>
    <row r="237">
      <c r="A237" s="20" t="inlineStr">
        <is>
          <t>ORD-20240236</t>
        </is>
      </c>
      <c r="B237" s="21" t="n">
        <v>45439</v>
      </c>
      <c r="C237" s="20" t="inlineStr">
        <is>
          <t>Central</t>
        </is>
      </c>
      <c r="D237" s="20" t="inlineStr">
        <is>
          <t>Furniture</t>
        </is>
      </c>
      <c r="E237" s="20" t="inlineStr">
        <is>
          <t>Filing Cabinet</t>
        </is>
      </c>
      <c r="F237" s="20" t="inlineStr">
        <is>
          <t>Consumer</t>
        </is>
      </c>
      <c r="G237" s="20" t="inlineStr">
        <is>
          <t>Walk-in Delhi</t>
        </is>
      </c>
      <c r="H237" s="20" t="n">
        <v>15</v>
      </c>
      <c r="I237" s="22" t="n">
        <v>6737.75</v>
      </c>
      <c r="J237" s="23" t="n">
        <v>0.15</v>
      </c>
      <c r="K237" s="24" t="n">
        <v>85906.31</v>
      </c>
      <c r="L237" s="24" t="n">
        <v>55943.2</v>
      </c>
      <c r="M237" s="24" t="n">
        <v>29963.11</v>
      </c>
    </row>
    <row r="238">
      <c r="A238" s="20" t="inlineStr">
        <is>
          <t>ORD-20240237</t>
        </is>
      </c>
      <c r="B238" s="21" t="n">
        <v>45439</v>
      </c>
      <c r="C238" s="20" t="inlineStr">
        <is>
          <t>North</t>
        </is>
      </c>
      <c r="D238" s="20" t="inlineStr">
        <is>
          <t>Apparel</t>
        </is>
      </c>
      <c r="E238" s="20" t="inlineStr">
        <is>
          <t>Polo Shirt</t>
        </is>
      </c>
      <c r="F238" s="20" t="inlineStr">
        <is>
          <t>Government</t>
        </is>
      </c>
      <c r="G238" s="20" t="inlineStr">
        <is>
          <t>Municipal Corp Hyd</t>
        </is>
      </c>
      <c r="H238" s="20" t="n">
        <v>18</v>
      </c>
      <c r="I238" s="22" t="n">
        <v>376.25</v>
      </c>
      <c r="J238" s="23" t="n">
        <v>0.2</v>
      </c>
      <c r="K238" s="24" t="n">
        <v>5418</v>
      </c>
      <c r="L238" s="24" t="n">
        <v>4620.61</v>
      </c>
      <c r="M238" s="24" t="n">
        <v>797.39</v>
      </c>
    </row>
    <row r="239">
      <c r="A239" s="20" t="inlineStr">
        <is>
          <t>ORD-20240238</t>
        </is>
      </c>
      <c r="B239" s="21" t="n">
        <v>45440</v>
      </c>
      <c r="C239" s="20" t="inlineStr">
        <is>
          <t>South</t>
        </is>
      </c>
      <c r="D239" s="20" t="inlineStr">
        <is>
          <t>Electronics</t>
        </is>
      </c>
      <c r="E239" s="20" t="inlineStr">
        <is>
          <t>Webcam HD</t>
        </is>
      </c>
      <c r="F239" s="20" t="inlineStr">
        <is>
          <t>SMB</t>
        </is>
      </c>
      <c r="G239" s="20" t="inlineStr">
        <is>
          <t>Nova Logistics</t>
        </is>
      </c>
      <c r="H239" s="20" t="n">
        <v>11</v>
      </c>
      <c r="I239" s="22" t="n">
        <v>66001.83</v>
      </c>
      <c r="J239" s="23" t="n">
        <v>0</v>
      </c>
      <c r="K239" s="24" t="n">
        <v>726020.13</v>
      </c>
      <c r="L239" s="24" t="n">
        <v>445611.71</v>
      </c>
      <c r="M239" s="24" t="n">
        <v>280408.42</v>
      </c>
    </row>
    <row r="240">
      <c r="A240" s="20" t="inlineStr">
        <is>
          <t>ORD-20240239</t>
        </is>
      </c>
      <c r="B240" s="21" t="n">
        <v>45440</v>
      </c>
      <c r="C240" s="20" t="inlineStr">
        <is>
          <t>Central</t>
        </is>
      </c>
      <c r="D240" s="20" t="inlineStr">
        <is>
          <t>Apparel</t>
        </is>
      </c>
      <c r="E240" s="20" t="inlineStr">
        <is>
          <t>Safety Vest</t>
        </is>
      </c>
      <c r="F240" s="20" t="inlineStr">
        <is>
          <t>Enterprise</t>
        </is>
      </c>
      <c r="G240" s="20" t="inlineStr">
        <is>
          <t>TCS Digital</t>
        </is>
      </c>
      <c r="H240" s="20" t="n">
        <v>13</v>
      </c>
      <c r="I240" s="22" t="n">
        <v>4832.48</v>
      </c>
      <c r="J240" s="23" t="n">
        <v>0</v>
      </c>
      <c r="K240" s="24" t="n">
        <v>62822.24</v>
      </c>
      <c r="L240" s="24" t="n">
        <v>46174.66</v>
      </c>
      <c r="M240" s="24" t="n">
        <v>16647.58</v>
      </c>
    </row>
    <row r="241">
      <c r="A241" s="20" t="inlineStr">
        <is>
          <t>ORD-20240240</t>
        </is>
      </c>
      <c r="B241" s="21" t="n">
        <v>45440</v>
      </c>
      <c r="C241" s="20" t="inlineStr">
        <is>
          <t>East</t>
        </is>
      </c>
      <c r="D241" s="20" t="inlineStr">
        <is>
          <t>Apparel</t>
        </is>
      </c>
      <c r="E241" s="20" t="inlineStr">
        <is>
          <t>Cap Embroidered</t>
        </is>
      </c>
      <c r="F241" s="20" t="inlineStr">
        <is>
          <t>Government</t>
        </is>
      </c>
      <c r="G241" s="20" t="inlineStr">
        <is>
          <t>Municipal Corp Hyd</t>
        </is>
      </c>
      <c r="H241" s="20" t="n">
        <v>8</v>
      </c>
      <c r="I241" s="22" t="n">
        <v>2084.06</v>
      </c>
      <c r="J241" s="23" t="n">
        <v>0.12</v>
      </c>
      <c r="K241" s="24" t="n">
        <v>14671.78</v>
      </c>
      <c r="L241" s="24" t="n">
        <v>10989.76</v>
      </c>
      <c r="M241" s="24" t="n">
        <v>3682.02</v>
      </c>
    </row>
    <row r="242">
      <c r="A242" s="20" t="inlineStr">
        <is>
          <t>ORD-20240241</t>
        </is>
      </c>
      <c r="B242" s="21" t="n">
        <v>45440</v>
      </c>
      <c r="C242" s="20" t="inlineStr">
        <is>
          <t>Central</t>
        </is>
      </c>
      <c r="D242" s="20" t="inlineStr">
        <is>
          <t>Electronics</t>
        </is>
      </c>
      <c r="E242" s="20" t="inlineStr">
        <is>
          <t>USB-C Hub</t>
        </is>
      </c>
      <c r="F242" s="20" t="inlineStr">
        <is>
          <t>Government</t>
        </is>
      </c>
      <c r="G242" s="20" t="inlineStr">
        <is>
          <t>State Health UP</t>
        </is>
      </c>
      <c r="H242" s="20" t="n">
        <v>22</v>
      </c>
      <c r="I242" s="22" t="n">
        <v>21542.39</v>
      </c>
      <c r="J242" s="23" t="n">
        <v>0.05</v>
      </c>
      <c r="K242" s="24" t="n">
        <v>450235.95</v>
      </c>
      <c r="L242" s="24" t="n">
        <v>356525.13</v>
      </c>
      <c r="M242" s="24" t="n">
        <v>93710.82000000001</v>
      </c>
    </row>
    <row r="243">
      <c r="A243" s="20" t="inlineStr">
        <is>
          <t>ORD-20240242</t>
        </is>
      </c>
      <c r="B243" s="21" t="n">
        <v>45440</v>
      </c>
      <c r="C243" s="20" t="inlineStr">
        <is>
          <t>East</t>
        </is>
      </c>
      <c r="D243" s="20" t="inlineStr">
        <is>
          <t>Home &amp; Kitchen</t>
        </is>
      </c>
      <c r="E243" s="20" t="inlineStr">
        <is>
          <t>Air Fryer</t>
        </is>
      </c>
      <c r="F243" s="20" t="inlineStr">
        <is>
          <t>Government</t>
        </is>
      </c>
      <c r="G243" s="20" t="inlineStr">
        <is>
          <t>MH Education Dept</t>
        </is>
      </c>
      <c r="H243" s="20" t="n">
        <v>19</v>
      </c>
      <c r="I243" s="22" t="n">
        <v>4713.28</v>
      </c>
      <c r="J243" s="23" t="n">
        <v>0.15</v>
      </c>
      <c r="K243" s="24" t="n">
        <v>76119.47</v>
      </c>
      <c r="L243" s="24" t="n">
        <v>55249.19</v>
      </c>
      <c r="M243" s="24" t="n">
        <v>20870.28</v>
      </c>
    </row>
    <row r="244">
      <c r="A244" s="20" t="inlineStr">
        <is>
          <t>ORD-20240243</t>
        </is>
      </c>
      <c r="B244" s="21" t="n">
        <v>45443</v>
      </c>
      <c r="C244" s="20" t="inlineStr">
        <is>
          <t>South</t>
        </is>
      </c>
      <c r="D244" s="20" t="inlineStr">
        <is>
          <t>Furniture</t>
        </is>
      </c>
      <c r="E244" s="20" t="inlineStr">
        <is>
          <t>Standing Desk</t>
        </is>
      </c>
      <c r="F244" s="20" t="inlineStr">
        <is>
          <t>Enterprise</t>
        </is>
      </c>
      <c r="G244" s="20" t="inlineStr">
        <is>
          <t>Wipro Tech</t>
        </is>
      </c>
      <c r="H244" s="20" t="n">
        <v>24</v>
      </c>
      <c r="I244" s="22" t="n">
        <v>38886.01</v>
      </c>
      <c r="J244" s="23" t="n">
        <v>0</v>
      </c>
      <c r="K244" s="24" t="n">
        <v>933264.24</v>
      </c>
      <c r="L244" s="24" t="n">
        <v>658896.77</v>
      </c>
      <c r="M244" s="24" t="n">
        <v>274367.47</v>
      </c>
    </row>
    <row r="245">
      <c r="A245" s="20" t="inlineStr">
        <is>
          <t>ORD-20240244</t>
        </is>
      </c>
      <c r="B245" s="21" t="n">
        <v>45443</v>
      </c>
      <c r="C245" s="20" t="inlineStr">
        <is>
          <t>East</t>
        </is>
      </c>
      <c r="D245" s="20" t="inlineStr">
        <is>
          <t>Home &amp; Kitchen</t>
        </is>
      </c>
      <c r="E245" s="20" t="inlineStr">
        <is>
          <t>Water Purifier</t>
        </is>
      </c>
      <c r="F245" s="20" t="inlineStr">
        <is>
          <t>SMB</t>
        </is>
      </c>
      <c r="G245" s="20" t="inlineStr">
        <is>
          <t>Nova Logistics</t>
        </is>
      </c>
      <c r="H245" s="20" t="n">
        <v>19</v>
      </c>
      <c r="I245" s="22" t="n">
        <v>13438.19</v>
      </c>
      <c r="J245" s="23" t="n">
        <v>0</v>
      </c>
      <c r="K245" s="24" t="n">
        <v>255325.61</v>
      </c>
      <c r="L245" s="24" t="n">
        <v>159181.86</v>
      </c>
      <c r="M245" s="24" t="n">
        <v>96143.75</v>
      </c>
    </row>
    <row r="246">
      <c r="A246" s="20" t="inlineStr">
        <is>
          <t>ORD-20240245</t>
        </is>
      </c>
      <c r="B246" s="21" t="n">
        <v>45444</v>
      </c>
      <c r="C246" s="20" t="inlineStr">
        <is>
          <t>South</t>
        </is>
      </c>
      <c r="D246" s="20" t="inlineStr">
        <is>
          <t>Home &amp; Kitchen</t>
        </is>
      </c>
      <c r="E246" s="20" t="inlineStr">
        <is>
          <t>Water Purifier</t>
        </is>
      </c>
      <c r="F246" s="20" t="inlineStr">
        <is>
          <t>Enterprise</t>
        </is>
      </c>
      <c r="G246" s="20" t="inlineStr">
        <is>
          <t>Tech Mahindra</t>
        </is>
      </c>
      <c r="H246" s="20" t="n">
        <v>19</v>
      </c>
      <c r="I246" s="22" t="n">
        <v>6104.95</v>
      </c>
      <c r="J246" s="23" t="n">
        <v>0.2</v>
      </c>
      <c r="K246" s="24" t="n">
        <v>92795.24000000001</v>
      </c>
      <c r="L246" s="24" t="n">
        <v>71645.12</v>
      </c>
      <c r="M246" s="24" t="n">
        <v>21150.12</v>
      </c>
    </row>
    <row r="247">
      <c r="A247" s="20" t="inlineStr">
        <is>
          <t>ORD-20240246</t>
        </is>
      </c>
      <c r="B247" s="21" t="n">
        <v>45444</v>
      </c>
      <c r="C247" s="20" t="inlineStr">
        <is>
          <t>West</t>
        </is>
      </c>
      <c r="D247" s="20" t="inlineStr">
        <is>
          <t>Office Supplies</t>
        </is>
      </c>
      <c r="E247" s="20" t="inlineStr">
        <is>
          <t>Stapler Heavy</t>
        </is>
      </c>
      <c r="F247" s="20" t="inlineStr">
        <is>
          <t>Government</t>
        </is>
      </c>
      <c r="G247" s="20" t="inlineStr">
        <is>
          <t>Municipal Corp Hyd</t>
        </is>
      </c>
      <c r="H247" s="20" t="n">
        <v>25</v>
      </c>
      <c r="I247" s="22" t="n">
        <v>2310.81</v>
      </c>
      <c r="J247" s="23" t="n">
        <v>0.15</v>
      </c>
      <c r="K247" s="24" t="n">
        <v>49104.71</v>
      </c>
      <c r="L247" s="24" t="n">
        <v>40464.65</v>
      </c>
      <c r="M247" s="24" t="n">
        <v>8640.059999999999</v>
      </c>
    </row>
    <row r="248">
      <c r="A248" s="20" t="inlineStr">
        <is>
          <t>ORD-20240247</t>
        </is>
      </c>
      <c r="B248" s="21" t="n">
        <v>45445</v>
      </c>
      <c r="C248" s="20" t="inlineStr">
        <is>
          <t>Central</t>
        </is>
      </c>
      <c r="D248" s="20" t="inlineStr">
        <is>
          <t>Electronics</t>
        </is>
      </c>
      <c r="E248" s="20" t="inlineStr">
        <is>
          <t>Wireless Mouse</t>
        </is>
      </c>
      <c r="F248" s="20" t="inlineStr">
        <is>
          <t>Enterprise</t>
        </is>
      </c>
      <c r="G248" s="20" t="inlineStr">
        <is>
          <t>Infosys Ltd</t>
        </is>
      </c>
      <c r="H248" s="20" t="n">
        <v>1</v>
      </c>
      <c r="I248" s="22" t="n">
        <v>21391.23</v>
      </c>
      <c r="J248" s="23" t="n">
        <v>0.15</v>
      </c>
      <c r="K248" s="24" t="n">
        <v>18182.55</v>
      </c>
      <c r="L248" s="24" t="n">
        <v>13555.93</v>
      </c>
      <c r="M248" s="24" t="n">
        <v>4626.62</v>
      </c>
    </row>
    <row r="249">
      <c r="A249" s="20" t="inlineStr">
        <is>
          <t>ORD-20240248</t>
        </is>
      </c>
      <c r="B249" s="21" t="n">
        <v>45445</v>
      </c>
      <c r="C249" s="20" t="inlineStr">
        <is>
          <t>East</t>
        </is>
      </c>
      <c r="D249" s="20" t="inlineStr">
        <is>
          <t>Home &amp; Kitchen</t>
        </is>
      </c>
      <c r="E249" s="20" t="inlineStr">
        <is>
          <t>Vacuum Robot</t>
        </is>
      </c>
      <c r="F249" s="20" t="inlineStr">
        <is>
          <t>Enterprise</t>
        </is>
      </c>
      <c r="G249" s="20" t="inlineStr">
        <is>
          <t>Infosys Ltd</t>
        </is>
      </c>
      <c r="H249" s="20" t="n">
        <v>16</v>
      </c>
      <c r="I249" s="22" t="n">
        <v>26035.22</v>
      </c>
      <c r="J249" s="23" t="n">
        <v>0</v>
      </c>
      <c r="K249" s="24" t="n">
        <v>416563.52</v>
      </c>
      <c r="L249" s="24" t="n">
        <v>273787.63</v>
      </c>
      <c r="M249" s="24" t="n">
        <v>142775.89</v>
      </c>
    </row>
    <row r="250">
      <c r="A250" s="20" t="inlineStr">
        <is>
          <t>ORD-20240249</t>
        </is>
      </c>
      <c r="B250" s="21" t="n">
        <v>45446</v>
      </c>
      <c r="C250" s="20" t="inlineStr">
        <is>
          <t>North</t>
        </is>
      </c>
      <c r="D250" s="20" t="inlineStr">
        <is>
          <t>Electronics</t>
        </is>
      </c>
      <c r="E250" s="20" t="inlineStr">
        <is>
          <t>Wireless Mouse</t>
        </is>
      </c>
      <c r="F250" s="20" t="inlineStr">
        <is>
          <t>Consumer</t>
        </is>
      </c>
      <c r="G250" s="20" t="inlineStr">
        <is>
          <t>Online Guest</t>
        </is>
      </c>
      <c r="H250" s="20" t="n">
        <v>5</v>
      </c>
      <c r="I250" s="22" t="n">
        <v>61019.5</v>
      </c>
      <c r="J250" s="23" t="n">
        <v>0</v>
      </c>
      <c r="K250" s="24" t="n">
        <v>305097.5</v>
      </c>
      <c r="L250" s="24" t="n">
        <v>184140.5</v>
      </c>
      <c r="M250" s="24" t="n">
        <v>120957</v>
      </c>
    </row>
    <row r="251">
      <c r="A251" s="20" t="inlineStr">
        <is>
          <t>ORD-20240250</t>
        </is>
      </c>
      <c r="B251" s="21" t="n">
        <v>45448</v>
      </c>
      <c r="C251" s="20" t="inlineStr">
        <is>
          <t>Central</t>
        </is>
      </c>
      <c r="D251" s="20" t="inlineStr">
        <is>
          <t>Home &amp; Kitchen</t>
        </is>
      </c>
      <c r="E251" s="20" t="inlineStr">
        <is>
          <t>Vacuum Robot</t>
        </is>
      </c>
      <c r="F251" s="20" t="inlineStr">
        <is>
          <t>Government</t>
        </is>
      </c>
      <c r="G251" s="20" t="inlineStr">
        <is>
          <t>State Health UP</t>
        </is>
      </c>
      <c r="H251" s="20" t="n">
        <v>23</v>
      </c>
      <c r="I251" s="22" t="n">
        <v>11860.89</v>
      </c>
      <c r="J251" s="23" t="n">
        <v>0.2</v>
      </c>
      <c r="K251" s="24" t="n">
        <v>218240.38</v>
      </c>
      <c r="L251" s="24" t="n">
        <v>183774.96</v>
      </c>
      <c r="M251" s="24" t="n">
        <v>34465.42</v>
      </c>
    </row>
    <row r="252">
      <c r="A252" s="20" t="inlineStr">
        <is>
          <t>ORD-20240251</t>
        </is>
      </c>
      <c r="B252" s="21" t="n">
        <v>45448</v>
      </c>
      <c r="C252" s="20" t="inlineStr">
        <is>
          <t>North</t>
        </is>
      </c>
      <c r="D252" s="20" t="inlineStr">
        <is>
          <t>Home &amp; Kitchen</t>
        </is>
      </c>
      <c r="E252" s="20" t="inlineStr">
        <is>
          <t>Coffee Maker</t>
        </is>
      </c>
      <c r="F252" s="20" t="inlineStr">
        <is>
          <t>Consumer</t>
        </is>
      </c>
      <c r="G252" s="20" t="inlineStr">
        <is>
          <t>App User North</t>
        </is>
      </c>
      <c r="H252" s="20" t="n">
        <v>5</v>
      </c>
      <c r="I252" s="22" t="n">
        <v>13797.18</v>
      </c>
      <c r="J252" s="23" t="n">
        <v>0</v>
      </c>
      <c r="K252" s="24" t="n">
        <v>68985.89999999999</v>
      </c>
      <c r="L252" s="24" t="n">
        <v>39790.07</v>
      </c>
      <c r="M252" s="24" t="n">
        <v>29195.83</v>
      </c>
    </row>
    <row r="253">
      <c r="A253" s="20" t="inlineStr">
        <is>
          <t>ORD-20240252</t>
        </is>
      </c>
      <c r="B253" s="21" t="n">
        <v>45448</v>
      </c>
      <c r="C253" s="20" t="inlineStr">
        <is>
          <t>North</t>
        </is>
      </c>
      <c r="D253" s="20" t="inlineStr">
        <is>
          <t>Furniture</t>
        </is>
      </c>
      <c r="E253" s="20" t="inlineStr">
        <is>
          <t>Conference Table</t>
        </is>
      </c>
      <c r="F253" s="20" t="inlineStr">
        <is>
          <t>Government</t>
        </is>
      </c>
      <c r="G253" s="20" t="inlineStr">
        <is>
          <t>State Health UP</t>
        </is>
      </c>
      <c r="H253" s="20" t="n">
        <v>3</v>
      </c>
      <c r="I253" s="22" t="n">
        <v>34751.48</v>
      </c>
      <c r="J253" s="23" t="n">
        <v>0.05</v>
      </c>
      <c r="K253" s="24" t="n">
        <v>99041.72</v>
      </c>
      <c r="L253" s="24" t="n">
        <v>71611.56</v>
      </c>
      <c r="M253" s="24" t="n">
        <v>27430.16</v>
      </c>
    </row>
    <row r="254">
      <c r="A254" s="20" t="inlineStr">
        <is>
          <t>ORD-20240253</t>
        </is>
      </c>
      <c r="B254" s="21" t="n">
        <v>45449</v>
      </c>
      <c r="C254" s="20" t="inlineStr">
        <is>
          <t>East</t>
        </is>
      </c>
      <c r="D254" s="20" t="inlineStr">
        <is>
          <t>Home &amp; Kitchen</t>
        </is>
      </c>
      <c r="E254" s="20" t="inlineStr">
        <is>
          <t>Vacuum Robot</t>
        </is>
      </c>
      <c r="F254" s="20" t="inlineStr">
        <is>
          <t>Consumer</t>
        </is>
      </c>
      <c r="G254" s="20" t="inlineStr">
        <is>
          <t>Walk-in Mumbai</t>
        </is>
      </c>
      <c r="H254" s="20" t="n">
        <v>4</v>
      </c>
      <c r="I254" s="22" t="n">
        <v>2339.21</v>
      </c>
      <c r="J254" s="23" t="n">
        <v>0.2</v>
      </c>
      <c r="K254" s="24" t="n">
        <v>7485.47</v>
      </c>
      <c r="L254" s="24" t="n">
        <v>6953.69</v>
      </c>
      <c r="M254" s="24" t="n">
        <v>531.78</v>
      </c>
    </row>
    <row r="255">
      <c r="A255" s="20" t="inlineStr">
        <is>
          <t>ORD-20240254</t>
        </is>
      </c>
      <c r="B255" s="21" t="n">
        <v>45449</v>
      </c>
      <c r="C255" s="20" t="inlineStr">
        <is>
          <t>Central</t>
        </is>
      </c>
      <c r="D255" s="20" t="inlineStr">
        <is>
          <t>Electronics</t>
        </is>
      </c>
      <c r="E255" s="20" t="inlineStr">
        <is>
          <t>Webcam HD</t>
        </is>
      </c>
      <c r="F255" s="20" t="inlineStr">
        <is>
          <t>Consumer</t>
        </is>
      </c>
      <c r="G255" s="20" t="inlineStr">
        <is>
          <t>Online Guest</t>
        </is>
      </c>
      <c r="H255" s="20" t="n">
        <v>24</v>
      </c>
      <c r="I255" s="22" t="n">
        <v>40727.52</v>
      </c>
      <c r="J255" s="23" t="n">
        <v>0.05</v>
      </c>
      <c r="K255" s="24" t="n">
        <v>928587.46</v>
      </c>
      <c r="L255" s="24" t="n">
        <v>657555.49</v>
      </c>
      <c r="M255" s="24" t="n">
        <v>271031.97</v>
      </c>
    </row>
    <row r="256">
      <c r="A256" s="20" t="inlineStr">
        <is>
          <t>ORD-20240255</t>
        </is>
      </c>
      <c r="B256" s="21" t="n">
        <v>45450</v>
      </c>
      <c r="C256" s="20" t="inlineStr">
        <is>
          <t>Central</t>
        </is>
      </c>
      <c r="D256" s="20" t="inlineStr">
        <is>
          <t>Office Supplies</t>
        </is>
      </c>
      <c r="E256" s="20" t="inlineStr">
        <is>
          <t>Whiteboard Kit</t>
        </is>
      </c>
      <c r="F256" s="20" t="inlineStr">
        <is>
          <t>Government</t>
        </is>
      </c>
      <c r="G256" s="20" t="inlineStr">
        <is>
          <t>Municipal Corp Hyd</t>
        </is>
      </c>
      <c r="H256" s="20" t="n">
        <v>13</v>
      </c>
      <c r="I256" s="22" t="n">
        <v>2890.59</v>
      </c>
      <c r="J256" s="23" t="n">
        <v>0.05</v>
      </c>
      <c r="K256" s="24" t="n">
        <v>35698.79</v>
      </c>
      <c r="L256" s="24" t="n">
        <v>24648.84</v>
      </c>
      <c r="M256" s="24" t="n">
        <v>11049.95</v>
      </c>
    </row>
    <row r="257">
      <c r="A257" s="20" t="inlineStr">
        <is>
          <t>ORD-20240256</t>
        </is>
      </c>
      <c r="B257" s="21" t="n">
        <v>45450</v>
      </c>
      <c r="C257" s="20" t="inlineStr">
        <is>
          <t>West</t>
        </is>
      </c>
      <c r="D257" s="20" t="inlineStr">
        <is>
          <t>Home &amp; Kitchen</t>
        </is>
      </c>
      <c r="E257" s="20" t="inlineStr">
        <is>
          <t>Air Fryer</t>
        </is>
      </c>
      <c r="F257" s="20" t="inlineStr">
        <is>
          <t>SMB</t>
        </is>
      </c>
      <c r="G257" s="20" t="inlineStr">
        <is>
          <t>BrightRetail Co</t>
        </is>
      </c>
      <c r="H257" s="20" t="n">
        <v>2</v>
      </c>
      <c r="I257" s="22" t="n">
        <v>16688.66</v>
      </c>
      <c r="J257" s="23" t="n">
        <v>0.15</v>
      </c>
      <c r="K257" s="24" t="n">
        <v>28370.72</v>
      </c>
      <c r="L257" s="24" t="n">
        <v>23642.27</v>
      </c>
      <c r="M257" s="24" t="n">
        <v>4728.45</v>
      </c>
    </row>
    <row r="258">
      <c r="A258" s="20" t="inlineStr">
        <is>
          <t>ORD-20240257</t>
        </is>
      </c>
      <c r="B258" s="21" t="n">
        <v>45453</v>
      </c>
      <c r="C258" s="20" t="inlineStr">
        <is>
          <t>South</t>
        </is>
      </c>
      <c r="D258" s="20" t="inlineStr">
        <is>
          <t>Apparel</t>
        </is>
      </c>
      <c r="E258" s="20" t="inlineStr">
        <is>
          <t>Cap Embroidered</t>
        </is>
      </c>
      <c r="F258" s="20" t="inlineStr">
        <is>
          <t>Enterprise</t>
        </is>
      </c>
      <c r="G258" s="20" t="inlineStr">
        <is>
          <t>HCL Services</t>
        </is>
      </c>
      <c r="H258" s="20" t="n">
        <v>23</v>
      </c>
      <c r="I258" s="22" t="n">
        <v>4743.73</v>
      </c>
      <c r="J258" s="23" t="n">
        <v>0.05</v>
      </c>
      <c r="K258" s="24" t="n">
        <v>103650.5</v>
      </c>
      <c r="L258" s="24" t="n">
        <v>82230.25999999999</v>
      </c>
      <c r="M258" s="24" t="n">
        <v>21420.24</v>
      </c>
    </row>
    <row r="259">
      <c r="A259" s="20" t="inlineStr">
        <is>
          <t>ORD-20240258</t>
        </is>
      </c>
      <c r="B259" s="21" t="n">
        <v>45454</v>
      </c>
      <c r="C259" s="20" t="inlineStr">
        <is>
          <t>East</t>
        </is>
      </c>
      <c r="D259" s="20" t="inlineStr">
        <is>
          <t>Office Supplies</t>
        </is>
      </c>
      <c r="E259" s="20" t="inlineStr">
        <is>
          <t>Gel Pen Pack</t>
        </is>
      </c>
      <c r="F259" s="20" t="inlineStr">
        <is>
          <t>Enterprise</t>
        </is>
      </c>
      <c r="G259" s="20" t="inlineStr">
        <is>
          <t>Infosys Ltd</t>
        </is>
      </c>
      <c r="H259" s="20" t="n">
        <v>15</v>
      </c>
      <c r="I259" s="22" t="n">
        <v>993.67</v>
      </c>
      <c r="J259" s="23" t="n">
        <v>0</v>
      </c>
      <c r="K259" s="24" t="n">
        <v>14905.05</v>
      </c>
      <c r="L259" s="24" t="n">
        <v>10173.35</v>
      </c>
      <c r="M259" s="24" t="n">
        <v>4731.7</v>
      </c>
    </row>
    <row r="260">
      <c r="A260" s="20" t="inlineStr">
        <is>
          <t>ORD-20240259</t>
        </is>
      </c>
      <c r="B260" s="21" t="n">
        <v>45454</v>
      </c>
      <c r="C260" s="20" t="inlineStr">
        <is>
          <t>North</t>
        </is>
      </c>
      <c r="D260" s="20" t="inlineStr">
        <is>
          <t>Electronics</t>
        </is>
      </c>
      <c r="E260" s="20" t="inlineStr">
        <is>
          <t>Webcam HD</t>
        </is>
      </c>
      <c r="F260" s="20" t="inlineStr">
        <is>
          <t>SMB</t>
        </is>
      </c>
      <c r="G260" s="20" t="inlineStr">
        <is>
          <t>SwiftPrint</t>
        </is>
      </c>
      <c r="H260" s="20" t="n">
        <v>18</v>
      </c>
      <c r="I260" s="22" t="n">
        <v>1468.8</v>
      </c>
      <c r="J260" s="23" t="n">
        <v>0</v>
      </c>
      <c r="K260" s="24" t="n">
        <v>26438.4</v>
      </c>
      <c r="L260" s="24" t="n">
        <v>16308.58</v>
      </c>
      <c r="M260" s="24" t="n">
        <v>10129.82</v>
      </c>
    </row>
    <row r="261">
      <c r="A261" s="20" t="inlineStr">
        <is>
          <t>ORD-20240260</t>
        </is>
      </c>
      <c r="B261" s="21" t="n">
        <v>45455</v>
      </c>
      <c r="C261" s="20" t="inlineStr">
        <is>
          <t>South</t>
        </is>
      </c>
      <c r="D261" s="20" t="inlineStr">
        <is>
          <t>Home &amp; Kitchen</t>
        </is>
      </c>
      <c r="E261" s="20" t="inlineStr">
        <is>
          <t>Water Purifier</t>
        </is>
      </c>
      <c r="F261" s="20" t="inlineStr">
        <is>
          <t>Government</t>
        </is>
      </c>
      <c r="G261" s="20" t="inlineStr">
        <is>
          <t>Municipal Corp Hyd</t>
        </is>
      </c>
      <c r="H261" s="20" t="n">
        <v>9</v>
      </c>
      <c r="I261" s="22" t="n">
        <v>22854.43</v>
      </c>
      <c r="J261" s="23" t="n">
        <v>0</v>
      </c>
      <c r="K261" s="24" t="n">
        <v>205689.87</v>
      </c>
      <c r="L261" s="24" t="n">
        <v>149027.6</v>
      </c>
      <c r="M261" s="24" t="n">
        <v>56662.27</v>
      </c>
    </row>
    <row r="262">
      <c r="A262" s="20" t="inlineStr">
        <is>
          <t>ORD-20240261</t>
        </is>
      </c>
      <c r="B262" s="21" t="n">
        <v>45455</v>
      </c>
      <c r="C262" s="20" t="inlineStr">
        <is>
          <t>North</t>
        </is>
      </c>
      <c r="D262" s="20" t="inlineStr">
        <is>
          <t>Home &amp; Kitchen</t>
        </is>
      </c>
      <c r="E262" s="20" t="inlineStr">
        <is>
          <t>Mixer Grinder</t>
        </is>
      </c>
      <c r="F262" s="20" t="inlineStr">
        <is>
          <t>Consumer</t>
        </is>
      </c>
      <c r="G262" s="20" t="inlineStr">
        <is>
          <t>Online Guest</t>
        </is>
      </c>
      <c r="H262" s="20" t="n">
        <v>23</v>
      </c>
      <c r="I262" s="22" t="n">
        <v>7379.41</v>
      </c>
      <c r="J262" s="23" t="n">
        <v>0</v>
      </c>
      <c r="K262" s="24" t="n">
        <v>169726.43</v>
      </c>
      <c r="L262" s="24" t="n">
        <v>111517.2</v>
      </c>
      <c r="M262" s="24" t="n">
        <v>58209.23</v>
      </c>
    </row>
    <row r="263">
      <c r="A263" s="20" t="inlineStr">
        <is>
          <t>ORD-20240262</t>
        </is>
      </c>
      <c r="B263" s="21" t="n">
        <v>45456</v>
      </c>
      <c r="C263" s="20" t="inlineStr">
        <is>
          <t>Central</t>
        </is>
      </c>
      <c r="D263" s="20" t="inlineStr">
        <is>
          <t>Apparel</t>
        </is>
      </c>
      <c r="E263" s="20" t="inlineStr">
        <is>
          <t>Safety Vest</t>
        </is>
      </c>
      <c r="F263" s="20" t="inlineStr">
        <is>
          <t>Enterprise</t>
        </is>
      </c>
      <c r="G263" s="20" t="inlineStr">
        <is>
          <t>L&amp;T Infotech</t>
        </is>
      </c>
      <c r="H263" s="20" t="n">
        <v>17</v>
      </c>
      <c r="I263" s="22" t="n">
        <v>4299.48</v>
      </c>
      <c r="J263" s="23" t="n">
        <v>0.05</v>
      </c>
      <c r="K263" s="24" t="n">
        <v>69436.60000000001</v>
      </c>
      <c r="L263" s="24" t="n">
        <v>41610.16</v>
      </c>
      <c r="M263" s="24" t="n">
        <v>27826.44</v>
      </c>
    </row>
    <row r="264">
      <c r="A264" s="20" t="inlineStr">
        <is>
          <t>ORD-20240263</t>
        </is>
      </c>
      <c r="B264" s="21" t="n">
        <v>45456</v>
      </c>
      <c r="C264" s="20" t="inlineStr">
        <is>
          <t>North</t>
        </is>
      </c>
      <c r="D264" s="20" t="inlineStr">
        <is>
          <t>Electronics</t>
        </is>
      </c>
      <c r="E264" s="20" t="inlineStr">
        <is>
          <t>USB-C Hub</t>
        </is>
      </c>
      <c r="F264" s="20" t="inlineStr">
        <is>
          <t>Consumer</t>
        </is>
      </c>
      <c r="G264" s="20" t="inlineStr">
        <is>
          <t>Online Guest</t>
        </is>
      </c>
      <c r="H264" s="20" t="n">
        <v>4</v>
      </c>
      <c r="I264" s="22" t="n">
        <v>7047.67</v>
      </c>
      <c r="J264" s="23" t="n">
        <v>0</v>
      </c>
      <c r="K264" s="24" t="n">
        <v>28190.68</v>
      </c>
      <c r="L264" s="24" t="n">
        <v>21262.09</v>
      </c>
      <c r="M264" s="24" t="n">
        <v>6928.59</v>
      </c>
    </row>
    <row r="265">
      <c r="A265" s="20" t="inlineStr">
        <is>
          <t>ORD-20240264</t>
        </is>
      </c>
      <c r="B265" s="21" t="n">
        <v>45456</v>
      </c>
      <c r="C265" s="20" t="inlineStr">
        <is>
          <t>Central</t>
        </is>
      </c>
      <c r="D265" s="20" t="inlineStr">
        <is>
          <t>Furniture</t>
        </is>
      </c>
      <c r="E265" s="20" t="inlineStr">
        <is>
          <t>Standing Desk</t>
        </is>
      </c>
      <c r="F265" s="20" t="inlineStr">
        <is>
          <t>Enterprise</t>
        </is>
      </c>
      <c r="G265" s="20" t="inlineStr">
        <is>
          <t>HCL Services</t>
        </is>
      </c>
      <c r="H265" s="20" t="n">
        <v>2</v>
      </c>
      <c r="I265" s="22" t="n">
        <v>20711.58</v>
      </c>
      <c r="J265" s="23" t="n">
        <v>0.2</v>
      </c>
      <c r="K265" s="24" t="n">
        <v>33138.53</v>
      </c>
      <c r="L265" s="24" t="n">
        <v>25300.23</v>
      </c>
      <c r="M265" s="24" t="n">
        <v>7838.3</v>
      </c>
    </row>
    <row r="266">
      <c r="A266" s="20" t="inlineStr">
        <is>
          <t>ORD-20240265</t>
        </is>
      </c>
      <c r="B266" s="21" t="n">
        <v>45456</v>
      </c>
      <c r="C266" s="20" t="inlineStr">
        <is>
          <t>South</t>
        </is>
      </c>
      <c r="D266" s="20" t="inlineStr">
        <is>
          <t>Furniture</t>
        </is>
      </c>
      <c r="E266" s="20" t="inlineStr">
        <is>
          <t>Ergo Chair</t>
        </is>
      </c>
      <c r="F266" s="20" t="inlineStr">
        <is>
          <t>Consumer</t>
        </is>
      </c>
      <c r="G266" s="20" t="inlineStr">
        <is>
          <t>Walk-in Delhi</t>
        </is>
      </c>
      <c r="H266" s="20" t="n">
        <v>5</v>
      </c>
      <c r="I266" s="22" t="n">
        <v>19268.21</v>
      </c>
      <c r="J266" s="23" t="n">
        <v>0.1</v>
      </c>
      <c r="K266" s="24" t="n">
        <v>86706.94</v>
      </c>
      <c r="L266" s="24" t="n">
        <v>72952.28</v>
      </c>
      <c r="M266" s="24" t="n">
        <v>13754.66</v>
      </c>
    </row>
    <row r="267">
      <c r="A267" s="20" t="inlineStr">
        <is>
          <t>ORD-20240266</t>
        </is>
      </c>
      <c r="B267" s="21" t="n">
        <v>45456</v>
      </c>
      <c r="C267" s="20" t="inlineStr">
        <is>
          <t>South</t>
        </is>
      </c>
      <c r="D267" s="20" t="inlineStr">
        <is>
          <t>Office Supplies</t>
        </is>
      </c>
      <c r="E267" s="20" t="inlineStr">
        <is>
          <t>Stapler Heavy</t>
        </is>
      </c>
      <c r="F267" s="20" t="inlineStr">
        <is>
          <t>SMB</t>
        </is>
      </c>
      <c r="G267" s="20" t="inlineStr">
        <is>
          <t>Pixel Studio</t>
        </is>
      </c>
      <c r="H267" s="20" t="n">
        <v>14</v>
      </c>
      <c r="I267" s="22" t="n">
        <v>1711.61</v>
      </c>
      <c r="J267" s="23" t="n">
        <v>0.2</v>
      </c>
      <c r="K267" s="24" t="n">
        <v>19170.03</v>
      </c>
      <c r="L267" s="24" t="n">
        <v>16975.81</v>
      </c>
      <c r="M267" s="24" t="n">
        <v>2194.22</v>
      </c>
    </row>
    <row r="268">
      <c r="A268" s="20" t="inlineStr">
        <is>
          <t>ORD-20240267</t>
        </is>
      </c>
      <c r="B268" s="21" t="n">
        <v>45457</v>
      </c>
      <c r="C268" s="20" t="inlineStr">
        <is>
          <t>Central</t>
        </is>
      </c>
      <c r="D268" s="20" t="inlineStr">
        <is>
          <t>Furniture</t>
        </is>
      </c>
      <c r="E268" s="20" t="inlineStr">
        <is>
          <t>Bookshelf Oak</t>
        </is>
      </c>
      <c r="F268" s="20" t="inlineStr">
        <is>
          <t>Enterprise</t>
        </is>
      </c>
      <c r="G268" s="20" t="inlineStr">
        <is>
          <t>HCL Services</t>
        </is>
      </c>
      <c r="H268" s="20" t="n">
        <v>4</v>
      </c>
      <c r="I268" s="22" t="n">
        <v>21829.33</v>
      </c>
      <c r="J268" s="23" t="n">
        <v>0</v>
      </c>
      <c r="K268" s="24" t="n">
        <v>87317.32000000001</v>
      </c>
      <c r="L268" s="24" t="n">
        <v>66783.16</v>
      </c>
      <c r="M268" s="24" t="n">
        <v>20534.16</v>
      </c>
    </row>
    <row r="269">
      <c r="A269" s="20" t="inlineStr">
        <is>
          <t>ORD-20240268</t>
        </is>
      </c>
      <c r="B269" s="21" t="n">
        <v>45457</v>
      </c>
      <c r="C269" s="20" t="inlineStr">
        <is>
          <t>South</t>
        </is>
      </c>
      <c r="D269" s="20" t="inlineStr">
        <is>
          <t>Home &amp; Kitchen</t>
        </is>
      </c>
      <c r="E269" s="20" t="inlineStr">
        <is>
          <t>Mixer Grinder</t>
        </is>
      </c>
      <c r="F269" s="20" t="inlineStr">
        <is>
          <t>SMB</t>
        </is>
      </c>
      <c r="G269" s="20" t="inlineStr">
        <is>
          <t>Pixel Studio</t>
        </is>
      </c>
      <c r="H269" s="20" t="n">
        <v>16</v>
      </c>
      <c r="I269" s="22" t="n">
        <v>12812.34</v>
      </c>
      <c r="J269" s="23" t="n">
        <v>0.05</v>
      </c>
      <c r="K269" s="24" t="n">
        <v>194747.57</v>
      </c>
      <c r="L269" s="24" t="n">
        <v>123380.62</v>
      </c>
      <c r="M269" s="24" t="n">
        <v>71366.95</v>
      </c>
    </row>
    <row r="270">
      <c r="A270" s="20" t="inlineStr">
        <is>
          <t>ORD-20240269</t>
        </is>
      </c>
      <c r="B270" s="21" t="n">
        <v>45460</v>
      </c>
      <c r="C270" s="20" t="inlineStr">
        <is>
          <t>South</t>
        </is>
      </c>
      <c r="D270" s="20" t="inlineStr">
        <is>
          <t>Home &amp; Kitchen</t>
        </is>
      </c>
      <c r="E270" s="20" t="inlineStr">
        <is>
          <t>Coffee Maker</t>
        </is>
      </c>
      <c r="F270" s="20" t="inlineStr">
        <is>
          <t>Government</t>
        </is>
      </c>
      <c r="G270" s="20" t="inlineStr">
        <is>
          <t>Municipal Corp Hyd</t>
        </is>
      </c>
      <c r="H270" s="20" t="n">
        <v>2</v>
      </c>
      <c r="I270" s="22" t="n">
        <v>23447.38</v>
      </c>
      <c r="J270" s="23" t="n">
        <v>0.2</v>
      </c>
      <c r="K270" s="24" t="n">
        <v>37515.81</v>
      </c>
      <c r="L270" s="24" t="n">
        <v>27442.51</v>
      </c>
      <c r="M270" s="24" t="n">
        <v>10073.3</v>
      </c>
    </row>
    <row r="271">
      <c r="A271" s="20" t="inlineStr">
        <is>
          <t>ORD-20240270</t>
        </is>
      </c>
      <c r="B271" s="21" t="n">
        <v>45460</v>
      </c>
      <c r="C271" s="20" t="inlineStr">
        <is>
          <t>North</t>
        </is>
      </c>
      <c r="D271" s="20" t="inlineStr">
        <is>
          <t>Apparel</t>
        </is>
      </c>
      <c r="E271" s="20" t="inlineStr">
        <is>
          <t>Polo Shirt</t>
        </is>
      </c>
      <c r="F271" s="20" t="inlineStr">
        <is>
          <t>SMB</t>
        </is>
      </c>
      <c r="G271" s="20" t="inlineStr">
        <is>
          <t>CityCare Clinics</t>
        </is>
      </c>
      <c r="H271" s="20" t="n">
        <v>22</v>
      </c>
      <c r="I271" s="22" t="n">
        <v>4342.7</v>
      </c>
      <c r="J271" s="23" t="n">
        <v>0.05</v>
      </c>
      <c r="K271" s="24" t="n">
        <v>90762.42999999999</v>
      </c>
      <c r="L271" s="24" t="n">
        <v>71987.13</v>
      </c>
      <c r="M271" s="24" t="n">
        <v>18775.3</v>
      </c>
    </row>
    <row r="272">
      <c r="A272" s="20" t="inlineStr">
        <is>
          <t>ORD-20240271</t>
        </is>
      </c>
      <c r="B272" s="21" t="n">
        <v>45460</v>
      </c>
      <c r="C272" s="20" t="inlineStr">
        <is>
          <t>East</t>
        </is>
      </c>
      <c r="D272" s="20" t="inlineStr">
        <is>
          <t>Home &amp; Kitchen</t>
        </is>
      </c>
      <c r="E272" s="20" t="inlineStr">
        <is>
          <t>Air Fryer</t>
        </is>
      </c>
      <c r="F272" s="20" t="inlineStr">
        <is>
          <t>Enterprise</t>
        </is>
      </c>
      <c r="G272" s="20" t="inlineStr">
        <is>
          <t>Infosys Ltd</t>
        </is>
      </c>
      <c r="H272" s="20" t="n">
        <v>17</v>
      </c>
      <c r="I272" s="22" t="n">
        <v>21696.32</v>
      </c>
      <c r="J272" s="23" t="n">
        <v>0.1</v>
      </c>
      <c r="K272" s="24" t="n">
        <v>331953.7</v>
      </c>
      <c r="L272" s="24" t="n">
        <v>237650.11</v>
      </c>
      <c r="M272" s="24" t="n">
        <v>94303.59</v>
      </c>
    </row>
    <row r="273">
      <c r="A273" s="20" t="inlineStr">
        <is>
          <t>ORD-20240272</t>
        </is>
      </c>
      <c r="B273" s="21" t="n">
        <v>45462</v>
      </c>
      <c r="C273" s="20" t="inlineStr">
        <is>
          <t>West</t>
        </is>
      </c>
      <c r="D273" s="20" t="inlineStr">
        <is>
          <t>Apparel</t>
        </is>
      </c>
      <c r="E273" s="20" t="inlineStr">
        <is>
          <t>Polo Shirt</t>
        </is>
      </c>
      <c r="F273" s="20" t="inlineStr">
        <is>
          <t>Enterprise</t>
        </is>
      </c>
      <c r="G273" s="20" t="inlineStr">
        <is>
          <t>HCL Services</t>
        </is>
      </c>
      <c r="H273" s="20" t="n">
        <v>14</v>
      </c>
      <c r="I273" s="22" t="n">
        <v>2760.68</v>
      </c>
      <c r="J273" s="23" t="n">
        <v>0.2</v>
      </c>
      <c r="K273" s="24" t="n">
        <v>30919.62</v>
      </c>
      <c r="L273" s="24" t="n">
        <v>28287.72</v>
      </c>
      <c r="M273" s="24" t="n">
        <v>2631.9</v>
      </c>
    </row>
    <row r="274">
      <c r="A274" s="20" t="inlineStr">
        <is>
          <t>ORD-20240273</t>
        </is>
      </c>
      <c r="B274" s="21" t="n">
        <v>45462</v>
      </c>
      <c r="C274" s="20" t="inlineStr">
        <is>
          <t>North</t>
        </is>
      </c>
      <c r="D274" s="20" t="inlineStr">
        <is>
          <t>Apparel</t>
        </is>
      </c>
      <c r="E274" s="20" t="inlineStr">
        <is>
          <t>Hoodie Soft</t>
        </is>
      </c>
      <c r="F274" s="20" t="inlineStr">
        <is>
          <t>Enterprise</t>
        </is>
      </c>
      <c r="G274" s="20" t="inlineStr">
        <is>
          <t>TCS Digital</t>
        </is>
      </c>
      <c r="H274" s="20" t="n">
        <v>24</v>
      </c>
      <c r="I274" s="22" t="n">
        <v>4900.45</v>
      </c>
      <c r="J274" s="23" t="n">
        <v>0.12</v>
      </c>
      <c r="K274" s="24" t="n">
        <v>103497.5</v>
      </c>
      <c r="L274" s="24" t="n">
        <v>83525.14</v>
      </c>
      <c r="M274" s="24" t="n">
        <v>19972.36</v>
      </c>
    </row>
    <row r="275">
      <c r="A275" s="20" t="inlineStr">
        <is>
          <t>ORD-20240274</t>
        </is>
      </c>
      <c r="B275" s="21" t="n">
        <v>45462</v>
      </c>
      <c r="C275" s="20" t="inlineStr">
        <is>
          <t>South</t>
        </is>
      </c>
      <c r="D275" s="20" t="inlineStr">
        <is>
          <t>Electronics</t>
        </is>
      </c>
      <c r="E275" s="20" t="inlineStr">
        <is>
          <t>Laptop Pro 14</t>
        </is>
      </c>
      <c r="F275" s="20" t="inlineStr">
        <is>
          <t>Government</t>
        </is>
      </c>
      <c r="G275" s="20" t="inlineStr">
        <is>
          <t>Railways Zone W</t>
        </is>
      </c>
      <c r="H275" s="20" t="n">
        <v>23</v>
      </c>
      <c r="I275" s="22" t="n">
        <v>20891.76</v>
      </c>
      <c r="J275" s="23" t="n">
        <v>0.1</v>
      </c>
      <c r="K275" s="24" t="n">
        <v>432459.43</v>
      </c>
      <c r="L275" s="24" t="n">
        <v>339592.02</v>
      </c>
      <c r="M275" s="24" t="n">
        <v>92867.41</v>
      </c>
    </row>
    <row r="276">
      <c r="A276" s="20" t="inlineStr">
        <is>
          <t>ORD-20240275</t>
        </is>
      </c>
      <c r="B276" s="21" t="n">
        <v>45463</v>
      </c>
      <c r="C276" s="20" t="inlineStr">
        <is>
          <t>West</t>
        </is>
      </c>
      <c r="D276" s="20" t="inlineStr">
        <is>
          <t>Apparel</t>
        </is>
      </c>
      <c r="E276" s="20" t="inlineStr">
        <is>
          <t>Hoodie Soft</t>
        </is>
      </c>
      <c r="F276" s="20" t="inlineStr">
        <is>
          <t>Enterprise</t>
        </is>
      </c>
      <c r="G276" s="20" t="inlineStr">
        <is>
          <t>Infosys Ltd</t>
        </is>
      </c>
      <c r="H276" s="20" t="n">
        <v>15</v>
      </c>
      <c r="I276" s="22" t="n">
        <v>4816.24</v>
      </c>
      <c r="J276" s="23" t="n">
        <v>0.05</v>
      </c>
      <c r="K276" s="24" t="n">
        <v>68631.42</v>
      </c>
      <c r="L276" s="24" t="n">
        <v>50585.22</v>
      </c>
      <c r="M276" s="24" t="n">
        <v>18046.2</v>
      </c>
    </row>
    <row r="277">
      <c r="A277" s="20" t="inlineStr">
        <is>
          <t>ORD-20240276</t>
        </is>
      </c>
      <c r="B277" s="21" t="n">
        <v>45464</v>
      </c>
      <c r="C277" s="20" t="inlineStr">
        <is>
          <t>Central</t>
        </is>
      </c>
      <c r="D277" s="20" t="inlineStr">
        <is>
          <t>Home &amp; Kitchen</t>
        </is>
      </c>
      <c r="E277" s="20" t="inlineStr">
        <is>
          <t>Vacuum Robot</t>
        </is>
      </c>
      <c r="F277" s="20" t="inlineStr">
        <is>
          <t>SMB</t>
        </is>
      </c>
      <c r="G277" s="20" t="inlineStr">
        <is>
          <t>CityCare Clinics</t>
        </is>
      </c>
      <c r="H277" s="20" t="n">
        <v>19</v>
      </c>
      <c r="I277" s="22" t="n">
        <v>10840.69</v>
      </c>
      <c r="J277" s="23" t="n">
        <v>0.1</v>
      </c>
      <c r="K277" s="24" t="n">
        <v>185375.8</v>
      </c>
      <c r="L277" s="24" t="n">
        <v>158700.54</v>
      </c>
      <c r="M277" s="24" t="n">
        <v>26675.26</v>
      </c>
    </row>
    <row r="278">
      <c r="A278" s="20" t="inlineStr">
        <is>
          <t>ORD-20240277</t>
        </is>
      </c>
      <c r="B278" s="21" t="n">
        <v>45464</v>
      </c>
      <c r="C278" s="20" t="inlineStr">
        <is>
          <t>South</t>
        </is>
      </c>
      <c r="D278" s="20" t="inlineStr">
        <is>
          <t>Electronics</t>
        </is>
      </c>
      <c r="E278" s="20" t="inlineStr">
        <is>
          <t>Keyboard Mech</t>
        </is>
      </c>
      <c r="F278" s="20" t="inlineStr">
        <is>
          <t>Enterprise</t>
        </is>
      </c>
      <c r="G278" s="20" t="inlineStr">
        <is>
          <t>Wipro Tech</t>
        </is>
      </c>
      <c r="H278" s="20" t="n">
        <v>3</v>
      </c>
      <c r="I278" s="22" t="n">
        <v>17954.38</v>
      </c>
      <c r="J278" s="23" t="n">
        <v>0.05</v>
      </c>
      <c r="K278" s="24" t="n">
        <v>51169.98</v>
      </c>
      <c r="L278" s="24" t="n">
        <v>31862.78</v>
      </c>
      <c r="M278" s="24" t="n">
        <v>19307.2</v>
      </c>
    </row>
    <row r="279">
      <c r="A279" s="20" t="inlineStr">
        <is>
          <t>ORD-20240278</t>
        </is>
      </c>
      <c r="B279" s="21" t="n">
        <v>45465</v>
      </c>
      <c r="C279" s="20" t="inlineStr">
        <is>
          <t>East</t>
        </is>
      </c>
      <c r="D279" s="20" t="inlineStr">
        <is>
          <t>Home &amp; Kitchen</t>
        </is>
      </c>
      <c r="E279" s="20" t="inlineStr">
        <is>
          <t>Mixer Grinder</t>
        </is>
      </c>
      <c r="F279" s="20" t="inlineStr">
        <is>
          <t>Government</t>
        </is>
      </c>
      <c r="G279" s="20" t="inlineStr">
        <is>
          <t>State Health UP</t>
        </is>
      </c>
      <c r="H279" s="20" t="n">
        <v>15</v>
      </c>
      <c r="I279" s="22" t="n">
        <v>19241.61</v>
      </c>
      <c r="J279" s="23" t="n">
        <v>0.2</v>
      </c>
      <c r="K279" s="24" t="n">
        <v>230899.32</v>
      </c>
      <c r="L279" s="24" t="n">
        <v>190155.06</v>
      </c>
      <c r="M279" s="24" t="n">
        <v>40744.26</v>
      </c>
    </row>
    <row r="280">
      <c r="A280" s="20" t="inlineStr">
        <is>
          <t>ORD-20240279</t>
        </is>
      </c>
      <c r="B280" s="21" t="n">
        <v>45466</v>
      </c>
      <c r="C280" s="20" t="inlineStr">
        <is>
          <t>West</t>
        </is>
      </c>
      <c r="D280" s="20" t="inlineStr">
        <is>
          <t>Electronics</t>
        </is>
      </c>
      <c r="E280" s="20" t="inlineStr">
        <is>
          <t>Webcam HD</t>
        </is>
      </c>
      <c r="F280" s="20" t="inlineStr">
        <is>
          <t>Consumer</t>
        </is>
      </c>
      <c r="G280" s="20" t="inlineStr">
        <is>
          <t>Retail Counter</t>
        </is>
      </c>
      <c r="H280" s="20" t="n">
        <v>19</v>
      </c>
      <c r="I280" s="22" t="n">
        <v>19959.14</v>
      </c>
      <c r="J280" s="23" t="n">
        <v>0</v>
      </c>
      <c r="K280" s="24" t="n">
        <v>379223.66</v>
      </c>
      <c r="L280" s="24" t="n">
        <v>259468.75</v>
      </c>
      <c r="M280" s="24" t="n">
        <v>119754.91</v>
      </c>
    </row>
    <row r="281">
      <c r="A281" s="20" t="inlineStr">
        <is>
          <t>ORD-20240280</t>
        </is>
      </c>
      <c r="B281" s="21" t="n">
        <v>45466</v>
      </c>
      <c r="C281" s="20" t="inlineStr">
        <is>
          <t>East</t>
        </is>
      </c>
      <c r="D281" s="20" t="inlineStr">
        <is>
          <t>Home &amp; Kitchen</t>
        </is>
      </c>
      <c r="E281" s="20" t="inlineStr">
        <is>
          <t>Air Fryer</t>
        </is>
      </c>
      <c r="F281" s="20" t="inlineStr">
        <is>
          <t>Enterprise</t>
        </is>
      </c>
      <c r="G281" s="20" t="inlineStr">
        <is>
          <t>TCS Digital</t>
        </is>
      </c>
      <c r="H281" s="20" t="n">
        <v>15</v>
      </c>
      <c r="I281" s="22" t="n">
        <v>17375.81</v>
      </c>
      <c r="J281" s="23" t="n">
        <v>0.15</v>
      </c>
      <c r="K281" s="24" t="n">
        <v>221541.58</v>
      </c>
      <c r="L281" s="24" t="n">
        <v>195342.21</v>
      </c>
      <c r="M281" s="24" t="n">
        <v>26199.37</v>
      </c>
    </row>
    <row r="282">
      <c r="A282" s="20" t="inlineStr">
        <is>
          <t>ORD-20240281</t>
        </is>
      </c>
      <c r="B282" s="21" t="n">
        <v>45466</v>
      </c>
      <c r="C282" s="20" t="inlineStr">
        <is>
          <t>West</t>
        </is>
      </c>
      <c r="D282" s="20" t="inlineStr">
        <is>
          <t>Office Supplies</t>
        </is>
      </c>
      <c r="E282" s="20" t="inlineStr">
        <is>
          <t>Stapler Heavy</t>
        </is>
      </c>
      <c r="F282" s="20" t="inlineStr">
        <is>
          <t>Government</t>
        </is>
      </c>
      <c r="G282" s="20" t="inlineStr">
        <is>
          <t>Delhi NDMC</t>
        </is>
      </c>
      <c r="H282" s="20" t="n">
        <v>3</v>
      </c>
      <c r="I282" s="22" t="n">
        <v>1689.9</v>
      </c>
      <c r="J282" s="23" t="n">
        <v>0.1</v>
      </c>
      <c r="K282" s="24" t="n">
        <v>4562.73</v>
      </c>
      <c r="L282" s="24" t="n">
        <v>3346.46</v>
      </c>
      <c r="M282" s="24" t="n">
        <v>1216.27</v>
      </c>
    </row>
    <row r="283">
      <c r="A283" s="20" t="inlineStr">
        <is>
          <t>ORD-20240282</t>
        </is>
      </c>
      <c r="B283" s="21" t="n">
        <v>45467</v>
      </c>
      <c r="C283" s="20" t="inlineStr">
        <is>
          <t>Central</t>
        </is>
      </c>
      <c r="D283" s="20" t="inlineStr">
        <is>
          <t>Home &amp; Kitchen</t>
        </is>
      </c>
      <c r="E283" s="20" t="inlineStr">
        <is>
          <t>Vacuum Robot</t>
        </is>
      </c>
      <c r="F283" s="20" t="inlineStr">
        <is>
          <t>Consumer</t>
        </is>
      </c>
      <c r="G283" s="20" t="inlineStr">
        <is>
          <t>Online Guest</t>
        </is>
      </c>
      <c r="H283" s="20" t="n">
        <v>5</v>
      </c>
      <c r="I283" s="22" t="n">
        <v>26468.44</v>
      </c>
      <c r="J283" s="23" t="n">
        <v>0.05</v>
      </c>
      <c r="K283" s="24" t="n">
        <v>125725.09</v>
      </c>
      <c r="L283" s="24" t="n">
        <v>90262.55</v>
      </c>
      <c r="M283" s="24" t="n">
        <v>35462.54</v>
      </c>
    </row>
    <row r="284">
      <c r="A284" s="20" t="inlineStr">
        <is>
          <t>ORD-20240283</t>
        </is>
      </c>
      <c r="B284" s="21" t="n">
        <v>45467</v>
      </c>
      <c r="C284" s="20" t="inlineStr">
        <is>
          <t>Central</t>
        </is>
      </c>
      <c r="D284" s="20" t="inlineStr">
        <is>
          <t>Home &amp; Kitchen</t>
        </is>
      </c>
      <c r="E284" s="20" t="inlineStr">
        <is>
          <t>Water Purifier</t>
        </is>
      </c>
      <c r="F284" s="20" t="inlineStr">
        <is>
          <t>Consumer</t>
        </is>
      </c>
      <c r="G284" s="20" t="inlineStr">
        <is>
          <t>Online Guest</t>
        </is>
      </c>
      <c r="H284" s="20" t="n">
        <v>8</v>
      </c>
      <c r="I284" s="22" t="n">
        <v>9001.120000000001</v>
      </c>
      <c r="J284" s="23" t="n">
        <v>0.05</v>
      </c>
      <c r="K284" s="24" t="n">
        <v>68408.50999999999</v>
      </c>
      <c r="L284" s="24" t="n">
        <v>48749.69</v>
      </c>
      <c r="M284" s="24" t="n">
        <v>19658.82</v>
      </c>
    </row>
    <row r="285">
      <c r="A285" s="20" t="inlineStr">
        <is>
          <t>ORD-20240284</t>
        </is>
      </c>
      <c r="B285" s="21" t="n">
        <v>45469</v>
      </c>
      <c r="C285" s="20" t="inlineStr">
        <is>
          <t>North</t>
        </is>
      </c>
      <c r="D285" s="20" t="inlineStr">
        <is>
          <t>Electronics</t>
        </is>
      </c>
      <c r="E285" s="20" t="inlineStr">
        <is>
          <t>Webcam HD</t>
        </is>
      </c>
      <c r="F285" s="20" t="inlineStr">
        <is>
          <t>Government</t>
        </is>
      </c>
      <c r="G285" s="20" t="inlineStr">
        <is>
          <t>Municipal Corp Hyd</t>
        </is>
      </c>
      <c r="H285" s="20" t="n">
        <v>16</v>
      </c>
      <c r="I285" s="22" t="n">
        <v>78632.03</v>
      </c>
      <c r="J285" s="23" t="n">
        <v>0</v>
      </c>
      <c r="K285" s="24" t="n">
        <v>1258112.48</v>
      </c>
      <c r="L285" s="24" t="n">
        <v>892150.3</v>
      </c>
      <c r="M285" s="24" t="n">
        <v>365962.18</v>
      </c>
    </row>
    <row r="286">
      <c r="A286" s="20" t="inlineStr">
        <is>
          <t>ORD-20240285</t>
        </is>
      </c>
      <c r="B286" s="21" t="n">
        <v>45469</v>
      </c>
      <c r="C286" s="20" t="inlineStr">
        <is>
          <t>East</t>
        </is>
      </c>
      <c r="D286" s="20" t="inlineStr">
        <is>
          <t>Apparel</t>
        </is>
      </c>
      <c r="E286" s="20" t="inlineStr">
        <is>
          <t>Polo Shirt</t>
        </is>
      </c>
      <c r="F286" s="20" t="inlineStr">
        <is>
          <t>Enterprise</t>
        </is>
      </c>
      <c r="G286" s="20" t="inlineStr">
        <is>
          <t>TCS Digital</t>
        </is>
      </c>
      <c r="H286" s="20" t="n">
        <v>2</v>
      </c>
      <c r="I286" s="22" t="n">
        <v>4440.44</v>
      </c>
      <c r="J286" s="23" t="n">
        <v>0</v>
      </c>
      <c r="K286" s="24" t="n">
        <v>8880.879999999999</v>
      </c>
      <c r="L286" s="24" t="n">
        <v>6118.57</v>
      </c>
      <c r="M286" s="24" t="n">
        <v>2762.31</v>
      </c>
    </row>
    <row r="287">
      <c r="A287" s="20" t="inlineStr">
        <is>
          <t>ORD-20240286</t>
        </is>
      </c>
      <c r="B287" s="21" t="n">
        <v>45470</v>
      </c>
      <c r="C287" s="20" t="inlineStr">
        <is>
          <t>South</t>
        </is>
      </c>
      <c r="D287" s="20" t="inlineStr">
        <is>
          <t>Office Supplies</t>
        </is>
      </c>
      <c r="E287" s="20" t="inlineStr">
        <is>
          <t>Stapler Heavy</t>
        </is>
      </c>
      <c r="F287" s="20" t="inlineStr">
        <is>
          <t>SMB</t>
        </is>
      </c>
      <c r="G287" s="20" t="inlineStr">
        <is>
          <t>SwiftPrint</t>
        </is>
      </c>
      <c r="H287" s="20" t="n">
        <v>14</v>
      </c>
      <c r="I287" s="22" t="n">
        <v>2781.86</v>
      </c>
      <c r="J287" s="23" t="n">
        <v>0.15</v>
      </c>
      <c r="K287" s="24" t="n">
        <v>33104.13</v>
      </c>
      <c r="L287" s="24" t="n">
        <v>27235.41</v>
      </c>
      <c r="M287" s="24" t="n">
        <v>5868.72</v>
      </c>
    </row>
    <row r="288">
      <c r="A288" s="20" t="inlineStr">
        <is>
          <t>ORD-20240287</t>
        </is>
      </c>
      <c r="B288" s="21" t="n">
        <v>45471</v>
      </c>
      <c r="C288" s="20" t="inlineStr">
        <is>
          <t>Central</t>
        </is>
      </c>
      <c r="D288" s="20" t="inlineStr">
        <is>
          <t>Electronics</t>
        </is>
      </c>
      <c r="E288" s="20" t="inlineStr">
        <is>
          <t>Keyboard Mech</t>
        </is>
      </c>
      <c r="F288" s="20" t="inlineStr">
        <is>
          <t>SMB</t>
        </is>
      </c>
      <c r="G288" s="20" t="inlineStr">
        <is>
          <t>CityCare Clinics</t>
        </is>
      </c>
      <c r="H288" s="20" t="n">
        <v>24</v>
      </c>
      <c r="I288" s="22" t="n">
        <v>61686.51</v>
      </c>
      <c r="J288" s="23" t="n">
        <v>0</v>
      </c>
      <c r="K288" s="24" t="n">
        <v>1480476.24</v>
      </c>
      <c r="L288" s="24" t="n">
        <v>1125225.36</v>
      </c>
      <c r="M288" s="24" t="n">
        <v>355250.88</v>
      </c>
    </row>
    <row r="289">
      <c r="A289" s="20" t="inlineStr">
        <is>
          <t>ORD-20240288</t>
        </is>
      </c>
      <c r="B289" s="21" t="n">
        <v>45471</v>
      </c>
      <c r="C289" s="20" t="inlineStr">
        <is>
          <t>Central</t>
        </is>
      </c>
      <c r="D289" s="20" t="inlineStr">
        <is>
          <t>Office Supplies</t>
        </is>
      </c>
      <c r="E289" s="20" t="inlineStr">
        <is>
          <t>Notebook Set</t>
        </is>
      </c>
      <c r="F289" s="20" t="inlineStr">
        <is>
          <t>SMB</t>
        </is>
      </c>
      <c r="G289" s="20" t="inlineStr">
        <is>
          <t>CityCare Clinics</t>
        </is>
      </c>
      <c r="H289" s="20" t="n">
        <v>7</v>
      </c>
      <c r="I289" s="22" t="n">
        <v>2936.6</v>
      </c>
      <c r="J289" s="23" t="n">
        <v>0.15</v>
      </c>
      <c r="K289" s="24" t="n">
        <v>17472.77</v>
      </c>
      <c r="L289" s="24" t="n">
        <v>13869.03</v>
      </c>
      <c r="M289" s="24" t="n">
        <v>3603.74</v>
      </c>
    </row>
    <row r="290">
      <c r="A290" s="20" t="inlineStr">
        <is>
          <t>ORD-20240289</t>
        </is>
      </c>
      <c r="B290" s="21" t="n">
        <v>45471</v>
      </c>
      <c r="C290" s="20" t="inlineStr">
        <is>
          <t>North</t>
        </is>
      </c>
      <c r="D290" s="20" t="inlineStr">
        <is>
          <t>Home &amp; Kitchen</t>
        </is>
      </c>
      <c r="E290" s="20" t="inlineStr">
        <is>
          <t>Vacuum Robot</t>
        </is>
      </c>
      <c r="F290" s="20" t="inlineStr">
        <is>
          <t>Enterprise</t>
        </is>
      </c>
      <c r="G290" s="20" t="inlineStr">
        <is>
          <t>HCL Services</t>
        </is>
      </c>
      <c r="H290" s="20" t="n">
        <v>12</v>
      </c>
      <c r="I290" s="22" t="n">
        <v>13563.99</v>
      </c>
      <c r="J290" s="23" t="n">
        <v>0</v>
      </c>
      <c r="K290" s="24" t="n">
        <v>162767.88</v>
      </c>
      <c r="L290" s="24" t="n">
        <v>103208.08</v>
      </c>
      <c r="M290" s="24" t="n">
        <v>59559.8</v>
      </c>
    </row>
    <row r="291">
      <c r="A291" s="20" t="inlineStr">
        <is>
          <t>ORD-20240290</t>
        </is>
      </c>
      <c r="B291" s="21" t="n">
        <v>45471</v>
      </c>
      <c r="C291" s="20" t="inlineStr">
        <is>
          <t>North</t>
        </is>
      </c>
      <c r="D291" s="20" t="inlineStr">
        <is>
          <t>Home &amp; Kitchen</t>
        </is>
      </c>
      <c r="E291" s="20" t="inlineStr">
        <is>
          <t>Mixer Grinder</t>
        </is>
      </c>
      <c r="F291" s="20" t="inlineStr">
        <is>
          <t>Government</t>
        </is>
      </c>
      <c r="G291" s="20" t="inlineStr">
        <is>
          <t>MH Education Dept</t>
        </is>
      </c>
      <c r="H291" s="20" t="n">
        <v>22</v>
      </c>
      <c r="I291" s="22" t="n">
        <v>26114.93</v>
      </c>
      <c r="J291" s="23" t="n">
        <v>0.2</v>
      </c>
      <c r="K291" s="24" t="n">
        <v>459622.77</v>
      </c>
      <c r="L291" s="24" t="n">
        <v>435420</v>
      </c>
      <c r="M291" s="24" t="n">
        <v>24202.77</v>
      </c>
    </row>
    <row r="292">
      <c r="A292" s="20" t="inlineStr">
        <is>
          <t>ORD-20240291</t>
        </is>
      </c>
      <c r="B292" s="21" t="n">
        <v>45472</v>
      </c>
      <c r="C292" s="20" t="inlineStr">
        <is>
          <t>Central</t>
        </is>
      </c>
      <c r="D292" s="20" t="inlineStr">
        <is>
          <t>Electronics</t>
        </is>
      </c>
      <c r="E292" s="20" t="inlineStr">
        <is>
          <t>USB-C Hub</t>
        </is>
      </c>
      <c r="F292" s="20" t="inlineStr">
        <is>
          <t>Consumer</t>
        </is>
      </c>
      <c r="G292" s="20" t="inlineStr">
        <is>
          <t>Walk-in Delhi</t>
        </is>
      </c>
      <c r="H292" s="20" t="n">
        <v>15</v>
      </c>
      <c r="I292" s="22" t="n">
        <v>64830.15</v>
      </c>
      <c r="J292" s="23" t="n">
        <v>0.05</v>
      </c>
      <c r="K292" s="24" t="n">
        <v>923829.64</v>
      </c>
      <c r="L292" s="24" t="n">
        <v>679736.63</v>
      </c>
      <c r="M292" s="24" t="n">
        <v>244093.01</v>
      </c>
    </row>
    <row r="293">
      <c r="A293" s="20" t="inlineStr">
        <is>
          <t>ORD-20240292</t>
        </is>
      </c>
      <c r="B293" s="21" t="n">
        <v>45472</v>
      </c>
      <c r="C293" s="20" t="inlineStr">
        <is>
          <t>North</t>
        </is>
      </c>
      <c r="D293" s="20" t="inlineStr">
        <is>
          <t>Furniture</t>
        </is>
      </c>
      <c r="E293" s="20" t="inlineStr">
        <is>
          <t>Filing Cabinet</t>
        </is>
      </c>
      <c r="F293" s="20" t="inlineStr">
        <is>
          <t>Government</t>
        </is>
      </c>
      <c r="G293" s="20" t="inlineStr">
        <is>
          <t>State Health UP</t>
        </is>
      </c>
      <c r="H293" s="20" t="n">
        <v>10</v>
      </c>
      <c r="I293" s="22" t="n">
        <v>9476.75</v>
      </c>
      <c r="J293" s="23" t="n">
        <v>0.05</v>
      </c>
      <c r="K293" s="24" t="n">
        <v>90029.12</v>
      </c>
      <c r="L293" s="24" t="n">
        <v>57460.64</v>
      </c>
      <c r="M293" s="24" t="n">
        <v>32568.48</v>
      </c>
    </row>
    <row r="294">
      <c r="A294" s="20" t="inlineStr">
        <is>
          <t>ORD-20240293</t>
        </is>
      </c>
      <c r="B294" s="21" t="n">
        <v>45474</v>
      </c>
      <c r="C294" s="20" t="inlineStr">
        <is>
          <t>East</t>
        </is>
      </c>
      <c r="D294" s="20" t="inlineStr">
        <is>
          <t>Office Supplies</t>
        </is>
      </c>
      <c r="E294" s="20" t="inlineStr">
        <is>
          <t>A4 Paper Ream</t>
        </is>
      </c>
      <c r="F294" s="20" t="inlineStr">
        <is>
          <t>Government</t>
        </is>
      </c>
      <c r="G294" s="20" t="inlineStr">
        <is>
          <t>MH Education Dept</t>
        </is>
      </c>
      <c r="H294" s="20" t="n">
        <v>15</v>
      </c>
      <c r="I294" s="22" t="n">
        <v>61.2</v>
      </c>
      <c r="J294" s="23" t="n">
        <v>0.05</v>
      </c>
      <c r="K294" s="24" t="n">
        <v>872.1</v>
      </c>
      <c r="L294" s="24" t="n">
        <v>710.1</v>
      </c>
      <c r="M294" s="24" t="n">
        <v>162</v>
      </c>
    </row>
    <row r="295">
      <c r="A295" s="20" t="inlineStr">
        <is>
          <t>ORD-20240294</t>
        </is>
      </c>
      <c r="B295" s="21" t="n">
        <v>45475</v>
      </c>
      <c r="C295" s="20" t="inlineStr">
        <is>
          <t>Central</t>
        </is>
      </c>
      <c r="D295" s="20" t="inlineStr">
        <is>
          <t>Home &amp; Kitchen</t>
        </is>
      </c>
      <c r="E295" s="20" t="inlineStr">
        <is>
          <t>Vacuum Robot</t>
        </is>
      </c>
      <c r="F295" s="20" t="inlineStr">
        <is>
          <t>Consumer</t>
        </is>
      </c>
      <c r="G295" s="20" t="inlineStr">
        <is>
          <t>Walk-in Delhi</t>
        </is>
      </c>
      <c r="H295" s="20" t="n">
        <v>17</v>
      </c>
      <c r="I295" s="22" t="n">
        <v>22955.06</v>
      </c>
      <c r="J295" s="23" t="n">
        <v>0.12</v>
      </c>
      <c r="K295" s="24" t="n">
        <v>343407.7</v>
      </c>
      <c r="L295" s="24" t="n">
        <v>286986.82</v>
      </c>
      <c r="M295" s="24" t="n">
        <v>56420.88</v>
      </c>
    </row>
    <row r="296">
      <c r="A296" s="20" t="inlineStr">
        <is>
          <t>ORD-20240295</t>
        </is>
      </c>
      <c r="B296" s="21" t="n">
        <v>45475</v>
      </c>
      <c r="C296" s="20" t="inlineStr">
        <is>
          <t>South</t>
        </is>
      </c>
      <c r="D296" s="20" t="inlineStr">
        <is>
          <t>Electronics</t>
        </is>
      </c>
      <c r="E296" s="20" t="inlineStr">
        <is>
          <t>Laptop Pro 14</t>
        </is>
      </c>
      <c r="F296" s="20" t="inlineStr">
        <is>
          <t>Government</t>
        </is>
      </c>
      <c r="G296" s="20" t="inlineStr">
        <is>
          <t>MH Education Dept</t>
        </is>
      </c>
      <c r="H296" s="20" t="n">
        <v>7</v>
      </c>
      <c r="I296" s="22" t="n">
        <v>45105.37</v>
      </c>
      <c r="J296" s="23" t="n">
        <v>0.05</v>
      </c>
      <c r="K296" s="24" t="n">
        <v>299950.71</v>
      </c>
      <c r="L296" s="24" t="n">
        <v>215050.88</v>
      </c>
      <c r="M296" s="24" t="n">
        <v>84899.83</v>
      </c>
    </row>
    <row r="297">
      <c r="A297" s="20" t="inlineStr">
        <is>
          <t>ORD-20240296</t>
        </is>
      </c>
      <c r="B297" s="21" t="n">
        <v>45475</v>
      </c>
      <c r="C297" s="20" t="inlineStr">
        <is>
          <t>North</t>
        </is>
      </c>
      <c r="D297" s="20" t="inlineStr">
        <is>
          <t>Electronics</t>
        </is>
      </c>
      <c r="E297" s="20" t="inlineStr">
        <is>
          <t>Wireless Mouse</t>
        </is>
      </c>
      <c r="F297" s="20" t="inlineStr">
        <is>
          <t>Government</t>
        </is>
      </c>
      <c r="G297" s="20" t="inlineStr">
        <is>
          <t>MH Education Dept</t>
        </is>
      </c>
      <c r="H297" s="20" t="n">
        <v>1</v>
      </c>
      <c r="I297" s="22" t="n">
        <v>74864.59</v>
      </c>
      <c r="J297" s="23" t="n">
        <v>0</v>
      </c>
      <c r="K297" s="24" t="n">
        <v>74864.59</v>
      </c>
      <c r="L297" s="24" t="n">
        <v>41284.86</v>
      </c>
      <c r="M297" s="24" t="n">
        <v>33579.73</v>
      </c>
    </row>
    <row r="298">
      <c r="A298" s="20" t="inlineStr">
        <is>
          <t>ORD-20240297</t>
        </is>
      </c>
      <c r="B298" s="21" t="n">
        <v>45475</v>
      </c>
      <c r="C298" s="20" t="inlineStr">
        <is>
          <t>East</t>
        </is>
      </c>
      <c r="D298" s="20" t="inlineStr">
        <is>
          <t>Home &amp; Kitchen</t>
        </is>
      </c>
      <c r="E298" s="20" t="inlineStr">
        <is>
          <t>Water Purifier</t>
        </is>
      </c>
      <c r="F298" s="20" t="inlineStr">
        <is>
          <t>Government</t>
        </is>
      </c>
      <c r="G298" s="20" t="inlineStr">
        <is>
          <t>Railways Zone W</t>
        </is>
      </c>
      <c r="H298" s="20" t="n">
        <v>5</v>
      </c>
      <c r="I298" s="22" t="n">
        <v>27137.53</v>
      </c>
      <c r="J298" s="23" t="n">
        <v>0.2</v>
      </c>
      <c r="K298" s="24" t="n">
        <v>108550.12</v>
      </c>
      <c r="L298" s="24" t="n">
        <v>75911.64</v>
      </c>
      <c r="M298" s="24" t="n">
        <v>32638.48</v>
      </c>
    </row>
    <row r="299">
      <c r="A299" s="20" t="inlineStr">
        <is>
          <t>ORD-20240298</t>
        </is>
      </c>
      <c r="B299" s="21" t="n">
        <v>45476</v>
      </c>
      <c r="C299" s="20" t="inlineStr">
        <is>
          <t>East</t>
        </is>
      </c>
      <c r="D299" s="20" t="inlineStr">
        <is>
          <t>Apparel</t>
        </is>
      </c>
      <c r="E299" s="20" t="inlineStr">
        <is>
          <t>Cap Embroidered</t>
        </is>
      </c>
      <c r="F299" s="20" t="inlineStr">
        <is>
          <t>Consumer</t>
        </is>
      </c>
      <c r="G299" s="20" t="inlineStr">
        <is>
          <t>Walk-in Delhi</t>
        </is>
      </c>
      <c r="H299" s="20" t="n">
        <v>24</v>
      </c>
      <c r="I299" s="22" t="n">
        <v>2294.15</v>
      </c>
      <c r="J299" s="23" t="n">
        <v>0.12</v>
      </c>
      <c r="K299" s="24" t="n">
        <v>48452.45</v>
      </c>
      <c r="L299" s="24" t="n">
        <v>37912.07</v>
      </c>
      <c r="M299" s="24" t="n">
        <v>10540.38</v>
      </c>
    </row>
    <row r="300">
      <c r="A300" s="20" t="inlineStr">
        <is>
          <t>ORD-20240299</t>
        </is>
      </c>
      <c r="B300" s="21" t="n">
        <v>45476</v>
      </c>
      <c r="C300" s="20" t="inlineStr">
        <is>
          <t>South</t>
        </is>
      </c>
      <c r="D300" s="20" t="inlineStr">
        <is>
          <t>Electronics</t>
        </is>
      </c>
      <c r="E300" s="20" t="inlineStr">
        <is>
          <t>Monitor 27in</t>
        </is>
      </c>
      <c r="F300" s="20" t="inlineStr">
        <is>
          <t>Government</t>
        </is>
      </c>
      <c r="G300" s="20" t="inlineStr">
        <is>
          <t>MH Education Dept</t>
        </is>
      </c>
      <c r="H300" s="20" t="n">
        <v>6</v>
      </c>
      <c r="I300" s="22" t="n">
        <v>16702.01</v>
      </c>
      <c r="J300" s="23" t="n">
        <v>0.15</v>
      </c>
      <c r="K300" s="24" t="n">
        <v>85180.25</v>
      </c>
      <c r="L300" s="24" t="n">
        <v>76859.81</v>
      </c>
      <c r="M300" s="24" t="n">
        <v>8320.440000000001</v>
      </c>
    </row>
    <row r="301">
      <c r="A301" s="20" t="inlineStr">
        <is>
          <t>ORD-20240300</t>
        </is>
      </c>
      <c r="B301" s="21" t="n">
        <v>45477</v>
      </c>
      <c r="C301" s="20" t="inlineStr">
        <is>
          <t>North</t>
        </is>
      </c>
      <c r="D301" s="20" t="inlineStr">
        <is>
          <t>Electronics</t>
        </is>
      </c>
      <c r="E301" s="20" t="inlineStr">
        <is>
          <t>USB-C Hub</t>
        </is>
      </c>
      <c r="F301" s="20" t="inlineStr">
        <is>
          <t>SMB</t>
        </is>
      </c>
      <c r="G301" s="20" t="inlineStr">
        <is>
          <t>BrightRetail Co</t>
        </is>
      </c>
      <c r="H301" s="20" t="n">
        <v>9</v>
      </c>
      <c r="I301" s="22" t="n">
        <v>66109.98</v>
      </c>
      <c r="J301" s="23" t="n">
        <v>0</v>
      </c>
      <c r="K301" s="24" t="n">
        <v>594989.8199999999</v>
      </c>
      <c r="L301" s="24" t="n">
        <v>401578.95</v>
      </c>
      <c r="M301" s="24" t="n">
        <v>193410.87</v>
      </c>
    </row>
    <row r="302">
      <c r="A302" s="20" t="inlineStr">
        <is>
          <t>ORD-20240301</t>
        </is>
      </c>
      <c r="B302" s="21" t="n">
        <v>45478</v>
      </c>
      <c r="C302" s="20" t="inlineStr">
        <is>
          <t>East</t>
        </is>
      </c>
      <c r="D302" s="20" t="inlineStr">
        <is>
          <t>Home &amp; Kitchen</t>
        </is>
      </c>
      <c r="E302" s="20" t="inlineStr">
        <is>
          <t>Water Purifier</t>
        </is>
      </c>
      <c r="F302" s="20" t="inlineStr">
        <is>
          <t>Government</t>
        </is>
      </c>
      <c r="G302" s="20" t="inlineStr">
        <is>
          <t>MH Education Dept</t>
        </is>
      </c>
      <c r="H302" s="20" t="n">
        <v>6</v>
      </c>
      <c r="I302" s="22" t="n">
        <v>11114.96</v>
      </c>
      <c r="J302" s="23" t="n">
        <v>0</v>
      </c>
      <c r="K302" s="24" t="n">
        <v>66689.75999999999</v>
      </c>
      <c r="L302" s="24" t="n">
        <v>39716.73</v>
      </c>
      <c r="M302" s="24" t="n">
        <v>26973.03</v>
      </c>
    </row>
    <row r="303">
      <c r="A303" s="20" t="inlineStr">
        <is>
          <t>ORD-20240302</t>
        </is>
      </c>
      <c r="B303" s="21" t="n">
        <v>45478</v>
      </c>
      <c r="C303" s="20" t="inlineStr">
        <is>
          <t>East</t>
        </is>
      </c>
      <c r="D303" s="20" t="inlineStr">
        <is>
          <t>Electronics</t>
        </is>
      </c>
      <c r="E303" s="20" t="inlineStr">
        <is>
          <t>Wireless Mouse</t>
        </is>
      </c>
      <c r="F303" s="20" t="inlineStr">
        <is>
          <t>SMB</t>
        </is>
      </c>
      <c r="G303" s="20" t="inlineStr">
        <is>
          <t>GreenFarm Agro</t>
        </is>
      </c>
      <c r="H303" s="20" t="n">
        <v>13</v>
      </c>
      <c r="I303" s="22" t="n">
        <v>32316.86</v>
      </c>
      <c r="J303" s="23" t="n">
        <v>0.1</v>
      </c>
      <c r="K303" s="24" t="n">
        <v>378107.26</v>
      </c>
      <c r="L303" s="24" t="n">
        <v>272455.08</v>
      </c>
      <c r="M303" s="24" t="n">
        <v>105652.18</v>
      </c>
    </row>
    <row r="304">
      <c r="A304" s="20" t="inlineStr">
        <is>
          <t>ORD-20240303</t>
        </is>
      </c>
      <c r="B304" s="21" t="n">
        <v>45479</v>
      </c>
      <c r="C304" s="20" t="inlineStr">
        <is>
          <t>Central</t>
        </is>
      </c>
      <c r="D304" s="20" t="inlineStr">
        <is>
          <t>Office Supplies</t>
        </is>
      </c>
      <c r="E304" s="20" t="inlineStr">
        <is>
          <t>Notebook Set</t>
        </is>
      </c>
      <c r="F304" s="20" t="inlineStr">
        <is>
          <t>Enterprise</t>
        </is>
      </c>
      <c r="G304" s="20" t="inlineStr">
        <is>
          <t>L&amp;T Infotech</t>
        </is>
      </c>
      <c r="H304" s="20" t="n">
        <v>5</v>
      </c>
      <c r="I304" s="22" t="n">
        <v>1130.49</v>
      </c>
      <c r="J304" s="23" t="n">
        <v>0.05</v>
      </c>
      <c r="K304" s="24" t="n">
        <v>5369.83</v>
      </c>
      <c r="L304" s="24" t="n">
        <v>3505.86</v>
      </c>
      <c r="M304" s="24" t="n">
        <v>1863.97</v>
      </c>
    </row>
    <row r="305">
      <c r="A305" s="20" t="inlineStr">
        <is>
          <t>ORD-20240304</t>
        </is>
      </c>
      <c r="B305" s="21" t="n">
        <v>45482</v>
      </c>
      <c r="C305" s="20" t="inlineStr">
        <is>
          <t>East</t>
        </is>
      </c>
      <c r="D305" s="20" t="inlineStr">
        <is>
          <t>Home &amp; Kitchen</t>
        </is>
      </c>
      <c r="E305" s="20" t="inlineStr">
        <is>
          <t>Water Purifier</t>
        </is>
      </c>
      <c r="F305" s="20" t="inlineStr">
        <is>
          <t>SMB</t>
        </is>
      </c>
      <c r="G305" s="20" t="inlineStr">
        <is>
          <t>BrightRetail Co</t>
        </is>
      </c>
      <c r="H305" s="20" t="n">
        <v>11</v>
      </c>
      <c r="I305" s="22" t="n">
        <v>5386.51</v>
      </c>
      <c r="J305" s="23" t="n">
        <v>0.15</v>
      </c>
      <c r="K305" s="24" t="n">
        <v>50363.87</v>
      </c>
      <c r="L305" s="24" t="n">
        <v>41423.13</v>
      </c>
      <c r="M305" s="24" t="n">
        <v>8940.74</v>
      </c>
    </row>
    <row r="306">
      <c r="A306" s="20" t="inlineStr">
        <is>
          <t>ORD-20240305</t>
        </is>
      </c>
      <c r="B306" s="21" t="n">
        <v>45483</v>
      </c>
      <c r="C306" s="20" t="inlineStr">
        <is>
          <t>North</t>
        </is>
      </c>
      <c r="D306" s="20" t="inlineStr">
        <is>
          <t>Office Supplies</t>
        </is>
      </c>
      <c r="E306" s="20" t="inlineStr">
        <is>
          <t>Stapler Heavy</t>
        </is>
      </c>
      <c r="F306" s="20" t="inlineStr">
        <is>
          <t>Consumer</t>
        </is>
      </c>
      <c r="G306" s="20" t="inlineStr">
        <is>
          <t>App User North</t>
        </is>
      </c>
      <c r="H306" s="20" t="n">
        <v>13</v>
      </c>
      <c r="I306" s="22" t="n">
        <v>2614.41</v>
      </c>
      <c r="J306" s="23" t="n">
        <v>0.12</v>
      </c>
      <c r="K306" s="24" t="n">
        <v>29908.85</v>
      </c>
      <c r="L306" s="24" t="n">
        <v>21343.31</v>
      </c>
      <c r="M306" s="24" t="n">
        <v>8565.540000000001</v>
      </c>
    </row>
    <row r="307">
      <c r="A307" s="20" t="inlineStr">
        <is>
          <t>ORD-20240306</t>
        </is>
      </c>
      <c r="B307" s="21" t="n">
        <v>45484</v>
      </c>
      <c r="C307" s="20" t="inlineStr">
        <is>
          <t>North</t>
        </is>
      </c>
      <c r="D307" s="20" t="inlineStr">
        <is>
          <t>Home &amp; Kitchen</t>
        </is>
      </c>
      <c r="E307" s="20" t="inlineStr">
        <is>
          <t>Coffee Maker</t>
        </is>
      </c>
      <c r="F307" s="20" t="inlineStr">
        <is>
          <t>Consumer</t>
        </is>
      </c>
      <c r="G307" s="20" t="inlineStr">
        <is>
          <t>App User North</t>
        </is>
      </c>
      <c r="H307" s="20" t="n">
        <v>22</v>
      </c>
      <c r="I307" s="22" t="n">
        <v>17333.78</v>
      </c>
      <c r="J307" s="23" t="n">
        <v>0</v>
      </c>
      <c r="K307" s="24" t="n">
        <v>381343.16</v>
      </c>
      <c r="L307" s="24" t="n">
        <v>286363.05</v>
      </c>
      <c r="M307" s="24" t="n">
        <v>94980.11</v>
      </c>
    </row>
    <row r="308">
      <c r="A308" s="20" t="inlineStr">
        <is>
          <t>ORD-20240307</t>
        </is>
      </c>
      <c r="B308" s="21" t="n">
        <v>45484</v>
      </c>
      <c r="C308" s="20" t="inlineStr">
        <is>
          <t>West</t>
        </is>
      </c>
      <c r="D308" s="20" t="inlineStr">
        <is>
          <t>Office Supplies</t>
        </is>
      </c>
      <c r="E308" s="20" t="inlineStr">
        <is>
          <t>Stapler Heavy</t>
        </is>
      </c>
      <c r="F308" s="20" t="inlineStr">
        <is>
          <t>Government</t>
        </is>
      </c>
      <c r="G308" s="20" t="inlineStr">
        <is>
          <t>Railways Zone W</t>
        </is>
      </c>
      <c r="H308" s="20" t="n">
        <v>6</v>
      </c>
      <c r="I308" s="22" t="n">
        <v>403.34</v>
      </c>
      <c r="J308" s="23" t="n">
        <v>0</v>
      </c>
      <c r="K308" s="24" t="n">
        <v>2420.04</v>
      </c>
      <c r="L308" s="24" t="n">
        <v>1611.21</v>
      </c>
      <c r="M308" s="24" t="n">
        <v>808.83</v>
      </c>
    </row>
    <row r="309">
      <c r="A309" s="20" t="inlineStr">
        <is>
          <t>ORD-20240308</t>
        </is>
      </c>
      <c r="B309" s="21" t="n">
        <v>45484</v>
      </c>
      <c r="C309" s="20" t="inlineStr">
        <is>
          <t>East</t>
        </is>
      </c>
      <c r="D309" s="20" t="inlineStr">
        <is>
          <t>Furniture</t>
        </is>
      </c>
      <c r="E309" s="20" t="inlineStr">
        <is>
          <t>Standing Desk</t>
        </is>
      </c>
      <c r="F309" s="20" t="inlineStr">
        <is>
          <t>Enterprise</t>
        </is>
      </c>
      <c r="G309" s="20" t="inlineStr">
        <is>
          <t>Wipro Tech</t>
        </is>
      </c>
      <c r="H309" s="20" t="n">
        <v>3</v>
      </c>
      <c r="I309" s="22" t="n">
        <v>7233.76</v>
      </c>
      <c r="J309" s="23" t="n">
        <v>0.1</v>
      </c>
      <c r="K309" s="24" t="n">
        <v>19531.15</v>
      </c>
      <c r="L309" s="24" t="n">
        <v>15632.16</v>
      </c>
      <c r="M309" s="24" t="n">
        <v>3898.99</v>
      </c>
    </row>
    <row r="310">
      <c r="A310" s="20" t="inlineStr">
        <is>
          <t>ORD-20240309</t>
        </is>
      </c>
      <c r="B310" s="21" t="n">
        <v>45484</v>
      </c>
      <c r="C310" s="20" t="inlineStr">
        <is>
          <t>Central</t>
        </is>
      </c>
      <c r="D310" s="20" t="inlineStr">
        <is>
          <t>Home &amp; Kitchen</t>
        </is>
      </c>
      <c r="E310" s="20" t="inlineStr">
        <is>
          <t>Mixer Grinder</t>
        </is>
      </c>
      <c r="F310" s="20" t="inlineStr">
        <is>
          <t>SMB</t>
        </is>
      </c>
      <c r="G310" s="20" t="inlineStr">
        <is>
          <t>SwiftPrint</t>
        </is>
      </c>
      <c r="H310" s="20" t="n">
        <v>4</v>
      </c>
      <c r="I310" s="22" t="n">
        <v>18890.32</v>
      </c>
      <c r="J310" s="23" t="n">
        <v>0</v>
      </c>
      <c r="K310" s="24" t="n">
        <v>75561.28</v>
      </c>
      <c r="L310" s="24" t="n">
        <v>45679.29</v>
      </c>
      <c r="M310" s="24" t="n">
        <v>29881.99</v>
      </c>
    </row>
    <row r="311">
      <c r="A311" s="20" t="inlineStr">
        <is>
          <t>ORD-20240310</t>
        </is>
      </c>
      <c r="B311" s="21" t="n">
        <v>45486</v>
      </c>
      <c r="C311" s="20" t="inlineStr">
        <is>
          <t>North</t>
        </is>
      </c>
      <c r="D311" s="20" t="inlineStr">
        <is>
          <t>Apparel</t>
        </is>
      </c>
      <c r="E311" s="20" t="inlineStr">
        <is>
          <t>Polo Shirt</t>
        </is>
      </c>
      <c r="F311" s="20" t="inlineStr">
        <is>
          <t>Enterprise</t>
        </is>
      </c>
      <c r="G311" s="20" t="inlineStr">
        <is>
          <t>HCL Services</t>
        </is>
      </c>
      <c r="H311" s="20" t="n">
        <v>24</v>
      </c>
      <c r="I311" s="22" t="n">
        <v>1893.72</v>
      </c>
      <c r="J311" s="23" t="n">
        <v>0</v>
      </c>
      <c r="K311" s="24" t="n">
        <v>45449.28</v>
      </c>
      <c r="L311" s="24" t="n">
        <v>27596.39</v>
      </c>
      <c r="M311" s="24" t="n">
        <v>17852.89</v>
      </c>
    </row>
    <row r="312">
      <c r="A312" s="20" t="inlineStr">
        <is>
          <t>ORD-20240311</t>
        </is>
      </c>
      <c r="B312" s="21" t="n">
        <v>45486</v>
      </c>
      <c r="C312" s="20" t="inlineStr">
        <is>
          <t>South</t>
        </is>
      </c>
      <c r="D312" s="20" t="inlineStr">
        <is>
          <t>Home &amp; Kitchen</t>
        </is>
      </c>
      <c r="E312" s="20" t="inlineStr">
        <is>
          <t>Mixer Grinder</t>
        </is>
      </c>
      <c r="F312" s="20" t="inlineStr">
        <is>
          <t>Government</t>
        </is>
      </c>
      <c r="G312" s="20" t="inlineStr">
        <is>
          <t>MH Education Dept</t>
        </is>
      </c>
      <c r="H312" s="20" t="n">
        <v>11</v>
      </c>
      <c r="I312" s="22" t="n">
        <v>9185.379999999999</v>
      </c>
      <c r="J312" s="23" t="n">
        <v>0</v>
      </c>
      <c r="K312" s="24" t="n">
        <v>101039.18</v>
      </c>
      <c r="L312" s="24" t="n">
        <v>60493.75</v>
      </c>
      <c r="M312" s="24" t="n">
        <v>40545.43</v>
      </c>
    </row>
    <row r="313">
      <c r="A313" s="20" t="inlineStr">
        <is>
          <t>ORD-20240312</t>
        </is>
      </c>
      <c r="B313" s="21" t="n">
        <v>45488</v>
      </c>
      <c r="C313" s="20" t="inlineStr">
        <is>
          <t>Central</t>
        </is>
      </c>
      <c r="D313" s="20" t="inlineStr">
        <is>
          <t>Home &amp; Kitchen</t>
        </is>
      </c>
      <c r="E313" s="20" t="inlineStr">
        <is>
          <t>Coffee Maker</t>
        </is>
      </c>
      <c r="F313" s="20" t="inlineStr">
        <is>
          <t>Enterprise</t>
        </is>
      </c>
      <c r="G313" s="20" t="inlineStr">
        <is>
          <t>Infosys Ltd</t>
        </is>
      </c>
      <c r="H313" s="20" t="n">
        <v>19</v>
      </c>
      <c r="I313" s="22" t="n">
        <v>21607.35</v>
      </c>
      <c r="J313" s="23" t="n">
        <v>0.2</v>
      </c>
      <c r="K313" s="24" t="n">
        <v>328431.72</v>
      </c>
      <c r="L313" s="24" t="n">
        <v>246286.66</v>
      </c>
      <c r="M313" s="24" t="n">
        <v>82145.06</v>
      </c>
    </row>
    <row r="314">
      <c r="A314" s="20" t="inlineStr">
        <is>
          <t>ORD-20240313</t>
        </is>
      </c>
      <c r="B314" s="21" t="n">
        <v>45488</v>
      </c>
      <c r="C314" s="20" t="inlineStr">
        <is>
          <t>West</t>
        </is>
      </c>
      <c r="D314" s="20" t="inlineStr">
        <is>
          <t>Home &amp; Kitchen</t>
        </is>
      </c>
      <c r="E314" s="20" t="inlineStr">
        <is>
          <t>Air Fryer</t>
        </is>
      </c>
      <c r="F314" s="20" t="inlineStr">
        <is>
          <t>SMB</t>
        </is>
      </c>
      <c r="G314" s="20" t="inlineStr">
        <is>
          <t>Nova Logistics</t>
        </is>
      </c>
      <c r="H314" s="20" t="n">
        <v>7</v>
      </c>
      <c r="I314" s="22" t="n">
        <v>2591.57</v>
      </c>
      <c r="J314" s="23" t="n">
        <v>0</v>
      </c>
      <c r="K314" s="24" t="n">
        <v>18140.99</v>
      </c>
      <c r="L314" s="24" t="n">
        <v>13353.78</v>
      </c>
      <c r="M314" s="24" t="n">
        <v>4787.21</v>
      </c>
    </row>
    <row r="315">
      <c r="A315" s="20" t="inlineStr">
        <is>
          <t>ORD-20240314</t>
        </is>
      </c>
      <c r="B315" s="21" t="n">
        <v>45489</v>
      </c>
      <c r="C315" s="20" t="inlineStr">
        <is>
          <t>South</t>
        </is>
      </c>
      <c r="D315" s="20" t="inlineStr">
        <is>
          <t>Home &amp; Kitchen</t>
        </is>
      </c>
      <c r="E315" s="20" t="inlineStr">
        <is>
          <t>Mixer Grinder</t>
        </is>
      </c>
      <c r="F315" s="20" t="inlineStr">
        <is>
          <t>Enterprise</t>
        </is>
      </c>
      <c r="G315" s="20" t="inlineStr">
        <is>
          <t>HCL Services</t>
        </is>
      </c>
      <c r="H315" s="20" t="n">
        <v>6</v>
      </c>
      <c r="I315" s="22" t="n">
        <v>26624.61</v>
      </c>
      <c r="J315" s="23" t="n">
        <v>0</v>
      </c>
      <c r="K315" s="24" t="n">
        <v>159747.66</v>
      </c>
      <c r="L315" s="24" t="n">
        <v>123580.46</v>
      </c>
      <c r="M315" s="24" t="n">
        <v>36167.2</v>
      </c>
    </row>
    <row r="316">
      <c r="A316" s="20" t="inlineStr">
        <is>
          <t>ORD-20240315</t>
        </is>
      </c>
      <c r="B316" s="21" t="n">
        <v>45490</v>
      </c>
      <c r="C316" s="20" t="inlineStr">
        <is>
          <t>South</t>
        </is>
      </c>
      <c r="D316" s="20" t="inlineStr">
        <is>
          <t>Office Supplies</t>
        </is>
      </c>
      <c r="E316" s="20" t="inlineStr">
        <is>
          <t>Stapler Heavy</t>
        </is>
      </c>
      <c r="F316" s="20" t="inlineStr">
        <is>
          <t>Consumer</t>
        </is>
      </c>
      <c r="G316" s="20" t="inlineStr">
        <is>
          <t>Walk-in Mumbai</t>
        </is>
      </c>
      <c r="H316" s="20" t="n">
        <v>3</v>
      </c>
      <c r="I316" s="22" t="n">
        <v>1811.17</v>
      </c>
      <c r="J316" s="23" t="n">
        <v>0</v>
      </c>
      <c r="K316" s="24" t="n">
        <v>5433.51</v>
      </c>
      <c r="L316" s="24" t="n">
        <v>3651.53</v>
      </c>
      <c r="M316" s="24" t="n">
        <v>1781.98</v>
      </c>
    </row>
    <row r="317">
      <c r="A317" s="20" t="inlineStr">
        <is>
          <t>ORD-20240316</t>
        </is>
      </c>
      <c r="B317" s="21" t="n">
        <v>45490</v>
      </c>
      <c r="C317" s="20" t="inlineStr">
        <is>
          <t>East</t>
        </is>
      </c>
      <c r="D317" s="20" t="inlineStr">
        <is>
          <t>Electronics</t>
        </is>
      </c>
      <c r="E317" s="20" t="inlineStr">
        <is>
          <t>Webcam HD</t>
        </is>
      </c>
      <c r="F317" s="20" t="inlineStr">
        <is>
          <t>SMB</t>
        </is>
      </c>
      <c r="G317" s="20" t="inlineStr">
        <is>
          <t>GreenFarm Agro</t>
        </is>
      </c>
      <c r="H317" s="20" t="n">
        <v>25</v>
      </c>
      <c r="I317" s="22" t="n">
        <v>53548.29</v>
      </c>
      <c r="J317" s="23" t="n">
        <v>0.05</v>
      </c>
      <c r="K317" s="24" t="n">
        <v>1271771.89</v>
      </c>
      <c r="L317" s="24" t="n">
        <v>821401.47</v>
      </c>
      <c r="M317" s="24" t="n">
        <v>450370.42</v>
      </c>
    </row>
    <row r="318">
      <c r="A318" s="20" t="inlineStr">
        <is>
          <t>ORD-20240317</t>
        </is>
      </c>
      <c r="B318" s="21" t="n">
        <v>45490</v>
      </c>
      <c r="C318" s="20" t="inlineStr">
        <is>
          <t>South</t>
        </is>
      </c>
      <c r="D318" s="20" t="inlineStr">
        <is>
          <t>Electronics</t>
        </is>
      </c>
      <c r="E318" s="20" t="inlineStr">
        <is>
          <t>Monitor 27in</t>
        </is>
      </c>
      <c r="F318" s="20" t="inlineStr">
        <is>
          <t>SMB</t>
        </is>
      </c>
      <c r="G318" s="20" t="inlineStr">
        <is>
          <t>CityCare Clinics</t>
        </is>
      </c>
      <c r="H318" s="20" t="n">
        <v>15</v>
      </c>
      <c r="I318" s="22" t="n">
        <v>15792.72</v>
      </c>
      <c r="J318" s="23" t="n">
        <v>0.1</v>
      </c>
      <c r="K318" s="24" t="n">
        <v>213201.72</v>
      </c>
      <c r="L318" s="24" t="n">
        <v>137721.93</v>
      </c>
      <c r="M318" s="24" t="n">
        <v>75479.78999999999</v>
      </c>
    </row>
    <row r="319">
      <c r="A319" s="20" t="inlineStr">
        <is>
          <t>ORD-20240318</t>
        </is>
      </c>
      <c r="B319" s="21" t="n">
        <v>45491</v>
      </c>
      <c r="C319" s="20" t="inlineStr">
        <is>
          <t>Central</t>
        </is>
      </c>
      <c r="D319" s="20" t="inlineStr">
        <is>
          <t>Office Supplies</t>
        </is>
      </c>
      <c r="E319" s="20" t="inlineStr">
        <is>
          <t>Stapler Heavy</t>
        </is>
      </c>
      <c r="F319" s="20" t="inlineStr">
        <is>
          <t>Consumer</t>
        </is>
      </c>
      <c r="G319" s="20" t="inlineStr">
        <is>
          <t>App User North</t>
        </is>
      </c>
      <c r="H319" s="20" t="n">
        <v>4</v>
      </c>
      <c r="I319" s="22" t="n">
        <v>1673.35</v>
      </c>
      <c r="J319" s="23" t="n">
        <v>0</v>
      </c>
      <c r="K319" s="24" t="n">
        <v>6693.4</v>
      </c>
      <c r="L319" s="24" t="n">
        <v>4408.34</v>
      </c>
      <c r="M319" s="24" t="n">
        <v>2285.06</v>
      </c>
    </row>
    <row r="320">
      <c r="A320" s="20" t="inlineStr">
        <is>
          <t>ORD-20240319</t>
        </is>
      </c>
      <c r="B320" s="21" t="n">
        <v>45491</v>
      </c>
      <c r="C320" s="20" t="inlineStr">
        <is>
          <t>East</t>
        </is>
      </c>
      <c r="D320" s="20" t="inlineStr">
        <is>
          <t>Apparel</t>
        </is>
      </c>
      <c r="E320" s="20" t="inlineStr">
        <is>
          <t>Cap Embroidered</t>
        </is>
      </c>
      <c r="F320" s="20" t="inlineStr">
        <is>
          <t>Government</t>
        </is>
      </c>
      <c r="G320" s="20" t="inlineStr">
        <is>
          <t>State Health UP</t>
        </is>
      </c>
      <c r="H320" s="20" t="n">
        <v>6</v>
      </c>
      <c r="I320" s="22" t="n">
        <v>555.96</v>
      </c>
      <c r="J320" s="23" t="n">
        <v>0.1</v>
      </c>
      <c r="K320" s="24" t="n">
        <v>3002.18</v>
      </c>
      <c r="L320" s="24" t="n">
        <v>2330.79</v>
      </c>
      <c r="M320" s="24" t="n">
        <v>671.39</v>
      </c>
    </row>
    <row r="321">
      <c r="A321" s="20" t="inlineStr">
        <is>
          <t>ORD-20240320</t>
        </is>
      </c>
      <c r="B321" s="21" t="n">
        <v>45495</v>
      </c>
      <c r="C321" s="20" t="inlineStr">
        <is>
          <t>Central</t>
        </is>
      </c>
      <c r="D321" s="20" t="inlineStr">
        <is>
          <t>Electronics</t>
        </is>
      </c>
      <c r="E321" s="20" t="inlineStr">
        <is>
          <t>USB-C Hub</t>
        </is>
      </c>
      <c r="F321" s="20" t="inlineStr">
        <is>
          <t>Consumer</t>
        </is>
      </c>
      <c r="G321" s="20" t="inlineStr">
        <is>
          <t>Walk-in Delhi</t>
        </is>
      </c>
      <c r="H321" s="20" t="n">
        <v>25</v>
      </c>
      <c r="I321" s="22" t="n">
        <v>20575.94</v>
      </c>
      <c r="J321" s="23" t="n">
        <v>0.05</v>
      </c>
      <c r="K321" s="24" t="n">
        <v>488678.57</v>
      </c>
      <c r="L321" s="24" t="n">
        <v>309496.78</v>
      </c>
      <c r="M321" s="24" t="n">
        <v>179181.79</v>
      </c>
    </row>
    <row r="322">
      <c r="A322" s="20" t="inlineStr">
        <is>
          <t>ORD-20240321</t>
        </is>
      </c>
      <c r="B322" s="21" t="n">
        <v>45496</v>
      </c>
      <c r="C322" s="20" t="inlineStr">
        <is>
          <t>East</t>
        </is>
      </c>
      <c r="D322" s="20" t="inlineStr">
        <is>
          <t>Electronics</t>
        </is>
      </c>
      <c r="E322" s="20" t="inlineStr">
        <is>
          <t>Laptop Pro 14</t>
        </is>
      </c>
      <c r="F322" s="20" t="inlineStr">
        <is>
          <t>Enterprise</t>
        </is>
      </c>
      <c r="G322" s="20" t="inlineStr">
        <is>
          <t>Infosys Ltd</t>
        </is>
      </c>
      <c r="H322" s="20" t="n">
        <v>4</v>
      </c>
      <c r="I322" s="22" t="n">
        <v>78272.25999999999</v>
      </c>
      <c r="J322" s="23" t="n">
        <v>0.05</v>
      </c>
      <c r="K322" s="24" t="n">
        <v>297434.59</v>
      </c>
      <c r="L322" s="24" t="n">
        <v>214512.55</v>
      </c>
      <c r="M322" s="24" t="n">
        <v>82922.03999999999</v>
      </c>
    </row>
    <row r="323">
      <c r="A323" s="20" t="inlineStr">
        <is>
          <t>ORD-20240322</t>
        </is>
      </c>
      <c r="B323" s="21" t="n">
        <v>45496</v>
      </c>
      <c r="C323" s="20" t="inlineStr">
        <is>
          <t>North</t>
        </is>
      </c>
      <c r="D323" s="20" t="inlineStr">
        <is>
          <t>Home &amp; Kitchen</t>
        </is>
      </c>
      <c r="E323" s="20" t="inlineStr">
        <is>
          <t>Water Purifier</t>
        </is>
      </c>
      <c r="F323" s="20" t="inlineStr">
        <is>
          <t>Enterprise</t>
        </is>
      </c>
      <c r="G323" s="20" t="inlineStr">
        <is>
          <t>TCS Digital</t>
        </is>
      </c>
      <c r="H323" s="20" t="n">
        <v>24</v>
      </c>
      <c r="I323" s="22" t="n">
        <v>3924.51</v>
      </c>
      <c r="J323" s="23" t="n">
        <v>0.12</v>
      </c>
      <c r="K323" s="24" t="n">
        <v>82885.64999999999</v>
      </c>
      <c r="L323" s="24" t="n">
        <v>68445.64</v>
      </c>
      <c r="M323" s="24" t="n">
        <v>14440.01</v>
      </c>
    </row>
    <row r="324">
      <c r="A324" s="20" t="inlineStr">
        <is>
          <t>ORD-20240323</t>
        </is>
      </c>
      <c r="B324" s="21" t="n">
        <v>45497</v>
      </c>
      <c r="C324" s="20" t="inlineStr">
        <is>
          <t>West</t>
        </is>
      </c>
      <c r="D324" s="20" t="inlineStr">
        <is>
          <t>Home &amp; Kitchen</t>
        </is>
      </c>
      <c r="E324" s="20" t="inlineStr">
        <is>
          <t>Air Fryer</t>
        </is>
      </c>
      <c r="F324" s="20" t="inlineStr">
        <is>
          <t>Consumer</t>
        </is>
      </c>
      <c r="G324" s="20" t="inlineStr">
        <is>
          <t>App User North</t>
        </is>
      </c>
      <c r="H324" s="20" t="n">
        <v>2</v>
      </c>
      <c r="I324" s="22" t="n">
        <v>24512.8</v>
      </c>
      <c r="J324" s="23" t="n">
        <v>0</v>
      </c>
      <c r="K324" s="24" t="n">
        <v>49025.6</v>
      </c>
      <c r="L324" s="24" t="n">
        <v>28513</v>
      </c>
      <c r="M324" s="24" t="n">
        <v>20512.6</v>
      </c>
    </row>
    <row r="325">
      <c r="A325" s="20" t="inlineStr">
        <is>
          <t>ORD-20240324</t>
        </is>
      </c>
      <c r="B325" s="21" t="n">
        <v>45497</v>
      </c>
      <c r="C325" s="20" t="inlineStr">
        <is>
          <t>North</t>
        </is>
      </c>
      <c r="D325" s="20" t="inlineStr">
        <is>
          <t>Apparel</t>
        </is>
      </c>
      <c r="E325" s="20" t="inlineStr">
        <is>
          <t>Safety Vest</t>
        </is>
      </c>
      <c r="F325" s="20" t="inlineStr">
        <is>
          <t>Consumer</t>
        </is>
      </c>
      <c r="G325" s="20" t="inlineStr">
        <is>
          <t>Online Guest</t>
        </is>
      </c>
      <c r="H325" s="20" t="n">
        <v>6</v>
      </c>
      <c r="I325" s="22" t="n">
        <v>2369.7</v>
      </c>
      <c r="J325" s="23" t="n">
        <v>0.15</v>
      </c>
      <c r="K325" s="24" t="n">
        <v>12085.47</v>
      </c>
      <c r="L325" s="24" t="n">
        <v>11022.9</v>
      </c>
      <c r="M325" s="24" t="n">
        <v>1062.57</v>
      </c>
    </row>
    <row r="326">
      <c r="A326" s="20" t="inlineStr">
        <is>
          <t>ORD-20240325</t>
        </is>
      </c>
      <c r="B326" s="21" t="n">
        <v>45498</v>
      </c>
      <c r="C326" s="20" t="inlineStr">
        <is>
          <t>West</t>
        </is>
      </c>
      <c r="D326" s="20" t="inlineStr">
        <is>
          <t>Home &amp; Kitchen</t>
        </is>
      </c>
      <c r="E326" s="20" t="inlineStr">
        <is>
          <t>Water Purifier</t>
        </is>
      </c>
      <c r="F326" s="20" t="inlineStr">
        <is>
          <t>Enterprise</t>
        </is>
      </c>
      <c r="G326" s="20" t="inlineStr">
        <is>
          <t>Wipro Tech</t>
        </is>
      </c>
      <c r="H326" s="20" t="n">
        <v>12</v>
      </c>
      <c r="I326" s="22" t="n">
        <v>16130.78</v>
      </c>
      <c r="J326" s="23" t="n">
        <v>0.05</v>
      </c>
      <c r="K326" s="24" t="n">
        <v>183890.89</v>
      </c>
      <c r="L326" s="24" t="n">
        <v>106966.11</v>
      </c>
      <c r="M326" s="24" t="n">
        <v>76924.78</v>
      </c>
    </row>
    <row r="327">
      <c r="A327" s="20" t="inlineStr">
        <is>
          <t>ORD-20240326</t>
        </is>
      </c>
      <c r="B327" s="21" t="n">
        <v>45498</v>
      </c>
      <c r="C327" s="20" t="inlineStr">
        <is>
          <t>North</t>
        </is>
      </c>
      <c r="D327" s="20" t="inlineStr">
        <is>
          <t>Furniture</t>
        </is>
      </c>
      <c r="E327" s="20" t="inlineStr">
        <is>
          <t>Filing Cabinet</t>
        </is>
      </c>
      <c r="F327" s="20" t="inlineStr">
        <is>
          <t>Enterprise</t>
        </is>
      </c>
      <c r="G327" s="20" t="inlineStr">
        <is>
          <t>TCS Digital</t>
        </is>
      </c>
      <c r="H327" s="20" t="n">
        <v>20</v>
      </c>
      <c r="I327" s="22" t="n">
        <v>2966.52</v>
      </c>
      <c r="J327" s="23" t="n">
        <v>0.05</v>
      </c>
      <c r="K327" s="24" t="n">
        <v>56363.88</v>
      </c>
      <c r="L327" s="24" t="n">
        <v>35193.67</v>
      </c>
      <c r="M327" s="24" t="n">
        <v>21170.21</v>
      </c>
    </row>
    <row r="328">
      <c r="A328" s="20" t="inlineStr">
        <is>
          <t>ORD-20240327</t>
        </is>
      </c>
      <c r="B328" s="21" t="n">
        <v>45500</v>
      </c>
      <c r="C328" s="20" t="inlineStr">
        <is>
          <t>West</t>
        </is>
      </c>
      <c r="D328" s="20" t="inlineStr">
        <is>
          <t>Apparel</t>
        </is>
      </c>
      <c r="E328" s="20" t="inlineStr">
        <is>
          <t>Safety Vest</t>
        </is>
      </c>
      <c r="F328" s="20" t="inlineStr">
        <is>
          <t>Enterprise</t>
        </is>
      </c>
      <c r="G328" s="20" t="inlineStr">
        <is>
          <t>L&amp;T Infotech</t>
        </is>
      </c>
      <c r="H328" s="20" t="n">
        <v>2</v>
      </c>
      <c r="I328" s="22" t="n">
        <v>1041.98</v>
      </c>
      <c r="J328" s="23" t="n">
        <v>0.12</v>
      </c>
      <c r="K328" s="24" t="n">
        <v>1833.88</v>
      </c>
      <c r="L328" s="24" t="n">
        <v>1378.28</v>
      </c>
      <c r="M328" s="24" t="n">
        <v>455.6</v>
      </c>
    </row>
    <row r="329">
      <c r="A329" s="20" t="inlineStr">
        <is>
          <t>ORD-20240328</t>
        </is>
      </c>
      <c r="B329" s="21" t="n">
        <v>45501</v>
      </c>
      <c r="C329" s="20" t="inlineStr">
        <is>
          <t>North</t>
        </is>
      </c>
      <c r="D329" s="20" t="inlineStr">
        <is>
          <t>Electronics</t>
        </is>
      </c>
      <c r="E329" s="20" t="inlineStr">
        <is>
          <t>Webcam HD</t>
        </is>
      </c>
      <c r="F329" s="20" t="inlineStr">
        <is>
          <t>SMB</t>
        </is>
      </c>
      <c r="G329" s="20" t="inlineStr">
        <is>
          <t>Nova Logistics</t>
        </is>
      </c>
      <c r="H329" s="20" t="n">
        <v>11</v>
      </c>
      <c r="I329" s="22" t="n">
        <v>48641.67</v>
      </c>
      <c r="J329" s="23" t="n">
        <v>0.12</v>
      </c>
      <c r="K329" s="24" t="n">
        <v>470851.37</v>
      </c>
      <c r="L329" s="24" t="n">
        <v>414905.44</v>
      </c>
      <c r="M329" s="24" t="n">
        <v>55945.93</v>
      </c>
    </row>
    <row r="330">
      <c r="A330" s="20" t="inlineStr">
        <is>
          <t>ORD-20240329</t>
        </is>
      </c>
      <c r="B330" s="21" t="n">
        <v>45501</v>
      </c>
      <c r="C330" s="20" t="inlineStr">
        <is>
          <t>North</t>
        </is>
      </c>
      <c r="D330" s="20" t="inlineStr">
        <is>
          <t>Furniture</t>
        </is>
      </c>
      <c r="E330" s="20" t="inlineStr">
        <is>
          <t>Filing Cabinet</t>
        </is>
      </c>
      <c r="F330" s="20" t="inlineStr">
        <is>
          <t>Enterprise</t>
        </is>
      </c>
      <c r="G330" s="20" t="inlineStr">
        <is>
          <t>TCS Digital</t>
        </is>
      </c>
      <c r="H330" s="20" t="n">
        <v>12</v>
      </c>
      <c r="I330" s="22" t="n">
        <v>23695.88</v>
      </c>
      <c r="J330" s="23" t="n">
        <v>0.05</v>
      </c>
      <c r="K330" s="24" t="n">
        <v>270133.03</v>
      </c>
      <c r="L330" s="24" t="n">
        <v>166312.16</v>
      </c>
      <c r="M330" s="24" t="n">
        <v>103820.87</v>
      </c>
    </row>
    <row r="331">
      <c r="A331" s="20" t="inlineStr">
        <is>
          <t>ORD-20240330</t>
        </is>
      </c>
      <c r="B331" s="21" t="n">
        <v>45501</v>
      </c>
      <c r="C331" s="20" t="inlineStr">
        <is>
          <t>North</t>
        </is>
      </c>
      <c r="D331" s="20" t="inlineStr">
        <is>
          <t>Electronics</t>
        </is>
      </c>
      <c r="E331" s="20" t="inlineStr">
        <is>
          <t>Wireless Mouse</t>
        </is>
      </c>
      <c r="F331" s="20" t="inlineStr">
        <is>
          <t>SMB</t>
        </is>
      </c>
      <c r="G331" s="20" t="inlineStr">
        <is>
          <t>Nova Logistics</t>
        </is>
      </c>
      <c r="H331" s="20" t="n">
        <v>5</v>
      </c>
      <c r="I331" s="22" t="n">
        <v>8526.139999999999</v>
      </c>
      <c r="J331" s="23" t="n">
        <v>0.2</v>
      </c>
      <c r="K331" s="24" t="n">
        <v>34104.56</v>
      </c>
      <c r="L331" s="24" t="n">
        <v>31597.06</v>
      </c>
      <c r="M331" s="24" t="n">
        <v>2507.5</v>
      </c>
    </row>
    <row r="332">
      <c r="A332" s="20" t="inlineStr">
        <is>
          <t>ORD-20240331</t>
        </is>
      </c>
      <c r="B332" s="21" t="n">
        <v>45502</v>
      </c>
      <c r="C332" s="20" t="inlineStr">
        <is>
          <t>South</t>
        </is>
      </c>
      <c r="D332" s="20" t="inlineStr">
        <is>
          <t>Electronics</t>
        </is>
      </c>
      <c r="E332" s="20" t="inlineStr">
        <is>
          <t>Keyboard Mech</t>
        </is>
      </c>
      <c r="F332" s="20" t="inlineStr">
        <is>
          <t>Enterprise</t>
        </is>
      </c>
      <c r="G332" s="20" t="inlineStr">
        <is>
          <t>Infosys Ltd</t>
        </is>
      </c>
      <c r="H332" s="20" t="n">
        <v>11</v>
      </c>
      <c r="I332" s="22" t="n">
        <v>21308.5</v>
      </c>
      <c r="J332" s="23" t="n">
        <v>0</v>
      </c>
      <c r="K332" s="24" t="n">
        <v>234393.5</v>
      </c>
      <c r="L332" s="24" t="n">
        <v>171342.81</v>
      </c>
      <c r="M332" s="24" t="n">
        <v>63050.69</v>
      </c>
    </row>
    <row r="333">
      <c r="A333" s="20" t="inlineStr">
        <is>
          <t>ORD-20240332</t>
        </is>
      </c>
      <c r="B333" s="21" t="n">
        <v>45502</v>
      </c>
      <c r="C333" s="20" t="inlineStr">
        <is>
          <t>North</t>
        </is>
      </c>
      <c r="D333" s="20" t="inlineStr">
        <is>
          <t>Apparel</t>
        </is>
      </c>
      <c r="E333" s="20" t="inlineStr">
        <is>
          <t>Polo Shirt</t>
        </is>
      </c>
      <c r="F333" s="20" t="inlineStr">
        <is>
          <t>Enterprise</t>
        </is>
      </c>
      <c r="G333" s="20" t="inlineStr">
        <is>
          <t>Tech Mahindra</t>
        </is>
      </c>
      <c r="H333" s="20" t="n">
        <v>2</v>
      </c>
      <c r="I333" s="22" t="n">
        <v>2683.34</v>
      </c>
      <c r="J333" s="23" t="n">
        <v>0</v>
      </c>
      <c r="K333" s="24" t="n">
        <v>5366.68</v>
      </c>
      <c r="L333" s="24" t="n">
        <v>3729.21</v>
      </c>
      <c r="M333" s="24" t="n">
        <v>1637.47</v>
      </c>
    </row>
    <row r="334">
      <c r="A334" s="20" t="inlineStr">
        <is>
          <t>ORD-20240333</t>
        </is>
      </c>
      <c r="B334" s="21" t="n">
        <v>45503</v>
      </c>
      <c r="C334" s="20" t="inlineStr">
        <is>
          <t>East</t>
        </is>
      </c>
      <c r="D334" s="20" t="inlineStr">
        <is>
          <t>Apparel</t>
        </is>
      </c>
      <c r="E334" s="20" t="inlineStr">
        <is>
          <t>Polo Shirt</t>
        </is>
      </c>
      <c r="F334" s="20" t="inlineStr">
        <is>
          <t>SMB</t>
        </is>
      </c>
      <c r="G334" s="20" t="inlineStr">
        <is>
          <t>Nova Logistics</t>
        </is>
      </c>
      <c r="H334" s="20" t="n">
        <v>9</v>
      </c>
      <c r="I334" s="22" t="n">
        <v>836.96</v>
      </c>
      <c r="J334" s="23" t="n">
        <v>0.2</v>
      </c>
      <c r="K334" s="24" t="n">
        <v>6026.11</v>
      </c>
      <c r="L334" s="24" t="n">
        <v>5033.57</v>
      </c>
      <c r="M334" s="24" t="n">
        <v>992.54</v>
      </c>
    </row>
    <row r="335">
      <c r="A335" s="20" t="inlineStr">
        <is>
          <t>ORD-20240334</t>
        </is>
      </c>
      <c r="B335" s="21" t="n">
        <v>45503</v>
      </c>
      <c r="C335" s="20" t="inlineStr">
        <is>
          <t>Central</t>
        </is>
      </c>
      <c r="D335" s="20" t="inlineStr">
        <is>
          <t>Electronics</t>
        </is>
      </c>
      <c r="E335" s="20" t="inlineStr">
        <is>
          <t>Keyboard Mech</t>
        </is>
      </c>
      <c r="F335" s="20" t="inlineStr">
        <is>
          <t>Consumer</t>
        </is>
      </c>
      <c r="G335" s="20" t="inlineStr">
        <is>
          <t>App User North</t>
        </is>
      </c>
      <c r="H335" s="20" t="n">
        <v>23</v>
      </c>
      <c r="I335" s="22" t="n">
        <v>68784.07000000001</v>
      </c>
      <c r="J335" s="23" t="n">
        <v>0.15</v>
      </c>
      <c r="K335" s="24" t="n">
        <v>1344728.57</v>
      </c>
      <c r="L335" s="24" t="n">
        <v>1122045.34</v>
      </c>
      <c r="M335" s="24" t="n">
        <v>222683.23</v>
      </c>
    </row>
    <row r="336">
      <c r="A336" s="20" t="inlineStr">
        <is>
          <t>ORD-20240335</t>
        </is>
      </c>
      <c r="B336" s="21" t="n">
        <v>45503</v>
      </c>
      <c r="C336" s="20" t="inlineStr">
        <is>
          <t>South</t>
        </is>
      </c>
      <c r="D336" s="20" t="inlineStr">
        <is>
          <t>Electronics</t>
        </is>
      </c>
      <c r="E336" s="20" t="inlineStr">
        <is>
          <t>Wireless Mouse</t>
        </is>
      </c>
      <c r="F336" s="20" t="inlineStr">
        <is>
          <t>SMB</t>
        </is>
      </c>
      <c r="G336" s="20" t="inlineStr">
        <is>
          <t>Pixel Studio</t>
        </is>
      </c>
      <c r="H336" s="20" t="n">
        <v>10</v>
      </c>
      <c r="I336" s="22" t="n">
        <v>63650.5</v>
      </c>
      <c r="J336" s="23" t="n">
        <v>0.12</v>
      </c>
      <c r="K336" s="24" t="n">
        <v>560124.4</v>
      </c>
      <c r="L336" s="24" t="n">
        <v>369138.43</v>
      </c>
      <c r="M336" s="24" t="n">
        <v>190985.97</v>
      </c>
    </row>
    <row r="337">
      <c r="A337" s="20" t="inlineStr">
        <is>
          <t>ORD-20240336</t>
        </is>
      </c>
      <c r="B337" s="21" t="n">
        <v>45504</v>
      </c>
      <c r="C337" s="20" t="inlineStr">
        <is>
          <t>Central</t>
        </is>
      </c>
      <c r="D337" s="20" t="inlineStr">
        <is>
          <t>Electronics</t>
        </is>
      </c>
      <c r="E337" s="20" t="inlineStr">
        <is>
          <t>Webcam HD</t>
        </is>
      </c>
      <c r="F337" s="20" t="inlineStr">
        <is>
          <t>Enterprise</t>
        </is>
      </c>
      <c r="G337" s="20" t="inlineStr">
        <is>
          <t>TCS Digital</t>
        </is>
      </c>
      <c r="H337" s="20" t="n">
        <v>18</v>
      </c>
      <c r="I337" s="22" t="n">
        <v>24217.11</v>
      </c>
      <c r="J337" s="23" t="n">
        <v>0.2</v>
      </c>
      <c r="K337" s="24" t="n">
        <v>348726.38</v>
      </c>
      <c r="L337" s="24" t="n">
        <v>321973.8</v>
      </c>
      <c r="M337" s="24" t="n">
        <v>26752.58</v>
      </c>
    </row>
    <row r="338">
      <c r="A338" s="20" t="inlineStr">
        <is>
          <t>ORD-20240337</t>
        </is>
      </c>
      <c r="B338" s="21" t="n">
        <v>45504</v>
      </c>
      <c r="C338" s="20" t="inlineStr">
        <is>
          <t>South</t>
        </is>
      </c>
      <c r="D338" s="20" t="inlineStr">
        <is>
          <t>Furniture</t>
        </is>
      </c>
      <c r="E338" s="20" t="inlineStr">
        <is>
          <t>Bookshelf Oak</t>
        </is>
      </c>
      <c r="F338" s="20" t="inlineStr">
        <is>
          <t>Enterprise</t>
        </is>
      </c>
      <c r="G338" s="20" t="inlineStr">
        <is>
          <t>Infosys Ltd</t>
        </is>
      </c>
      <c r="H338" s="20" t="n">
        <v>1</v>
      </c>
      <c r="I338" s="22" t="n">
        <v>22257.64</v>
      </c>
      <c r="J338" s="23" t="n">
        <v>0</v>
      </c>
      <c r="K338" s="24" t="n">
        <v>22257.64</v>
      </c>
      <c r="L338" s="24" t="n">
        <v>16016.99</v>
      </c>
      <c r="M338" s="24" t="n">
        <v>6240.65</v>
      </c>
    </row>
    <row r="339">
      <c r="A339" s="20" t="inlineStr">
        <is>
          <t>ORD-20240338</t>
        </is>
      </c>
      <c r="B339" s="21" t="n">
        <v>45504</v>
      </c>
      <c r="C339" s="20" t="inlineStr">
        <is>
          <t>South</t>
        </is>
      </c>
      <c r="D339" s="20" t="inlineStr">
        <is>
          <t>Electronics</t>
        </is>
      </c>
      <c r="E339" s="20" t="inlineStr">
        <is>
          <t>Laptop Pro 14</t>
        </is>
      </c>
      <c r="F339" s="20" t="inlineStr">
        <is>
          <t>Consumer</t>
        </is>
      </c>
      <c r="G339" s="20" t="inlineStr">
        <is>
          <t>Online Guest</t>
        </is>
      </c>
      <c r="H339" s="20" t="n">
        <v>6</v>
      </c>
      <c r="I339" s="22" t="n">
        <v>8611.84</v>
      </c>
      <c r="J339" s="23" t="n">
        <v>0.15</v>
      </c>
      <c r="K339" s="24" t="n">
        <v>43920.38</v>
      </c>
      <c r="L339" s="24" t="n">
        <v>38456.87</v>
      </c>
      <c r="M339" s="24" t="n">
        <v>5463.51</v>
      </c>
    </row>
    <row r="340">
      <c r="A340" s="20" t="inlineStr">
        <is>
          <t>ORD-20240339</t>
        </is>
      </c>
      <c r="B340" s="21" t="n">
        <v>45504</v>
      </c>
      <c r="C340" s="20" t="inlineStr">
        <is>
          <t>West</t>
        </is>
      </c>
      <c r="D340" s="20" t="inlineStr">
        <is>
          <t>Electronics</t>
        </is>
      </c>
      <c r="E340" s="20" t="inlineStr">
        <is>
          <t>USB-C Hub</t>
        </is>
      </c>
      <c r="F340" s="20" t="inlineStr">
        <is>
          <t>Enterprise</t>
        </is>
      </c>
      <c r="G340" s="20" t="inlineStr">
        <is>
          <t>Wipro Tech</t>
        </is>
      </c>
      <c r="H340" s="20" t="n">
        <v>6</v>
      </c>
      <c r="I340" s="22" t="n">
        <v>58254.81</v>
      </c>
      <c r="J340" s="23" t="n">
        <v>0.2</v>
      </c>
      <c r="K340" s="24" t="n">
        <v>279623.09</v>
      </c>
      <c r="L340" s="24" t="n">
        <v>232129.23</v>
      </c>
      <c r="M340" s="24" t="n">
        <v>47493.86</v>
      </c>
    </row>
    <row r="341">
      <c r="A341" s="20" t="inlineStr">
        <is>
          <t>ORD-20240340</t>
        </is>
      </c>
      <c r="B341" s="21" t="n">
        <v>45505</v>
      </c>
      <c r="C341" s="20" t="inlineStr">
        <is>
          <t>East</t>
        </is>
      </c>
      <c r="D341" s="20" t="inlineStr">
        <is>
          <t>Home &amp; Kitchen</t>
        </is>
      </c>
      <c r="E341" s="20" t="inlineStr">
        <is>
          <t>Mixer Grinder</t>
        </is>
      </c>
      <c r="F341" s="20" t="inlineStr">
        <is>
          <t>Enterprise</t>
        </is>
      </c>
      <c r="G341" s="20" t="inlineStr">
        <is>
          <t>Wipro Tech</t>
        </is>
      </c>
      <c r="H341" s="20" t="n">
        <v>8</v>
      </c>
      <c r="I341" s="22" t="n">
        <v>17360.35</v>
      </c>
      <c r="J341" s="23" t="n">
        <v>0</v>
      </c>
      <c r="K341" s="24" t="n">
        <v>138882.8</v>
      </c>
      <c r="L341" s="24" t="n">
        <v>76803.55</v>
      </c>
      <c r="M341" s="24" t="n">
        <v>62079.25</v>
      </c>
    </row>
    <row r="342">
      <c r="A342" s="20" t="inlineStr">
        <is>
          <t>ORD-20240341</t>
        </is>
      </c>
      <c r="B342" s="21" t="n">
        <v>45505</v>
      </c>
      <c r="C342" s="20" t="inlineStr">
        <is>
          <t>Central</t>
        </is>
      </c>
      <c r="D342" s="20" t="inlineStr">
        <is>
          <t>Apparel</t>
        </is>
      </c>
      <c r="E342" s="20" t="inlineStr">
        <is>
          <t>Polo Shirt</t>
        </is>
      </c>
      <c r="F342" s="20" t="inlineStr">
        <is>
          <t>Consumer</t>
        </is>
      </c>
      <c r="G342" s="20" t="inlineStr">
        <is>
          <t>Retail Counter</t>
        </is>
      </c>
      <c r="H342" s="20" t="n">
        <v>24</v>
      </c>
      <c r="I342" s="22" t="n">
        <v>3486.53</v>
      </c>
      <c r="J342" s="23" t="n">
        <v>0.2</v>
      </c>
      <c r="K342" s="24" t="n">
        <v>66941.38</v>
      </c>
      <c r="L342" s="24" t="n">
        <v>56335.66</v>
      </c>
      <c r="M342" s="24" t="n">
        <v>10605.72</v>
      </c>
    </row>
    <row r="343">
      <c r="A343" s="20" t="inlineStr">
        <is>
          <t>ORD-20240342</t>
        </is>
      </c>
      <c r="B343" s="21" t="n">
        <v>45505</v>
      </c>
      <c r="C343" s="20" t="inlineStr">
        <is>
          <t>East</t>
        </is>
      </c>
      <c r="D343" s="20" t="inlineStr">
        <is>
          <t>Electronics</t>
        </is>
      </c>
      <c r="E343" s="20" t="inlineStr">
        <is>
          <t>Monitor 27in</t>
        </is>
      </c>
      <c r="F343" s="20" t="inlineStr">
        <is>
          <t>SMB</t>
        </is>
      </c>
      <c r="G343" s="20" t="inlineStr">
        <is>
          <t>Nova Logistics</t>
        </is>
      </c>
      <c r="H343" s="20" t="n">
        <v>25</v>
      </c>
      <c r="I343" s="22" t="n">
        <v>73676.41</v>
      </c>
      <c r="J343" s="23" t="n">
        <v>0</v>
      </c>
      <c r="K343" s="24" t="n">
        <v>1841910.25</v>
      </c>
      <c r="L343" s="24" t="n">
        <v>1021740.34</v>
      </c>
      <c r="M343" s="24" t="n">
        <v>820169.91</v>
      </c>
    </row>
    <row r="344">
      <c r="A344" s="20" t="inlineStr">
        <is>
          <t>ORD-20240343</t>
        </is>
      </c>
      <c r="B344" s="21" t="n">
        <v>45506</v>
      </c>
      <c r="C344" s="20" t="inlineStr">
        <is>
          <t>West</t>
        </is>
      </c>
      <c r="D344" s="20" t="inlineStr">
        <is>
          <t>Furniture</t>
        </is>
      </c>
      <c r="E344" s="20" t="inlineStr">
        <is>
          <t>Ergo Chair</t>
        </is>
      </c>
      <c r="F344" s="20" t="inlineStr">
        <is>
          <t>Consumer</t>
        </is>
      </c>
      <c r="G344" s="20" t="inlineStr">
        <is>
          <t>App User North</t>
        </is>
      </c>
      <c r="H344" s="20" t="n">
        <v>21</v>
      </c>
      <c r="I344" s="22" t="n">
        <v>37949.69</v>
      </c>
      <c r="J344" s="23" t="n">
        <v>0</v>
      </c>
      <c r="K344" s="24" t="n">
        <v>796943.49</v>
      </c>
      <c r="L344" s="24" t="n">
        <v>506171.98</v>
      </c>
      <c r="M344" s="24" t="n">
        <v>290771.51</v>
      </c>
    </row>
    <row r="345">
      <c r="A345" s="20" t="inlineStr">
        <is>
          <t>ORD-20240344</t>
        </is>
      </c>
      <c r="B345" s="21" t="n">
        <v>45506</v>
      </c>
      <c r="C345" s="20" t="inlineStr">
        <is>
          <t>South</t>
        </is>
      </c>
      <c r="D345" s="20" t="inlineStr">
        <is>
          <t>Furniture</t>
        </is>
      </c>
      <c r="E345" s="20" t="inlineStr">
        <is>
          <t>Standing Desk</t>
        </is>
      </c>
      <c r="F345" s="20" t="inlineStr">
        <is>
          <t>Government</t>
        </is>
      </c>
      <c r="G345" s="20" t="inlineStr">
        <is>
          <t>Delhi NDMC</t>
        </is>
      </c>
      <c r="H345" s="20" t="n">
        <v>14</v>
      </c>
      <c r="I345" s="22" t="n">
        <v>42579.82</v>
      </c>
      <c r="J345" s="23" t="n">
        <v>0.15</v>
      </c>
      <c r="K345" s="24" t="n">
        <v>506699.86</v>
      </c>
      <c r="L345" s="24" t="n">
        <v>369497.42</v>
      </c>
      <c r="M345" s="24" t="n">
        <v>137202.44</v>
      </c>
    </row>
    <row r="346">
      <c r="A346" s="20" t="inlineStr">
        <is>
          <t>ORD-20240345</t>
        </is>
      </c>
      <c r="B346" s="21" t="n">
        <v>45508</v>
      </c>
      <c r="C346" s="20" t="inlineStr">
        <is>
          <t>East</t>
        </is>
      </c>
      <c r="D346" s="20" t="inlineStr">
        <is>
          <t>Home &amp; Kitchen</t>
        </is>
      </c>
      <c r="E346" s="20" t="inlineStr">
        <is>
          <t>Coffee Maker</t>
        </is>
      </c>
      <c r="F346" s="20" t="inlineStr">
        <is>
          <t>Enterprise</t>
        </is>
      </c>
      <c r="G346" s="20" t="inlineStr">
        <is>
          <t>TCS Digital</t>
        </is>
      </c>
      <c r="H346" s="20" t="n">
        <v>2</v>
      </c>
      <c r="I346" s="22" t="n">
        <v>22736.04</v>
      </c>
      <c r="J346" s="23" t="n">
        <v>0.12</v>
      </c>
      <c r="K346" s="24" t="n">
        <v>40015.43</v>
      </c>
      <c r="L346" s="24" t="n">
        <v>27809.83</v>
      </c>
      <c r="M346" s="24" t="n">
        <v>12205.6</v>
      </c>
    </row>
    <row r="347">
      <c r="A347" s="20" t="inlineStr">
        <is>
          <t>ORD-20240346</t>
        </is>
      </c>
      <c r="B347" s="21" t="n">
        <v>45509</v>
      </c>
      <c r="C347" s="20" t="inlineStr">
        <is>
          <t>North</t>
        </is>
      </c>
      <c r="D347" s="20" t="inlineStr">
        <is>
          <t>Furniture</t>
        </is>
      </c>
      <c r="E347" s="20" t="inlineStr">
        <is>
          <t>Standing Desk</t>
        </is>
      </c>
      <c r="F347" s="20" t="inlineStr">
        <is>
          <t>Consumer</t>
        </is>
      </c>
      <c r="G347" s="20" t="inlineStr">
        <is>
          <t>Online Guest</t>
        </is>
      </c>
      <c r="H347" s="20" t="n">
        <v>6</v>
      </c>
      <c r="I347" s="22" t="n">
        <v>3137.27</v>
      </c>
      <c r="J347" s="23" t="n">
        <v>0.1</v>
      </c>
      <c r="K347" s="24" t="n">
        <v>16941.26</v>
      </c>
      <c r="L347" s="24" t="n">
        <v>10404.86</v>
      </c>
      <c r="M347" s="24" t="n">
        <v>6536.4</v>
      </c>
    </row>
    <row r="348">
      <c r="A348" s="20" t="inlineStr">
        <is>
          <t>ORD-20240347</t>
        </is>
      </c>
      <c r="B348" s="21" t="n">
        <v>45509</v>
      </c>
      <c r="C348" s="20" t="inlineStr">
        <is>
          <t>West</t>
        </is>
      </c>
      <c r="D348" s="20" t="inlineStr">
        <is>
          <t>Apparel</t>
        </is>
      </c>
      <c r="E348" s="20" t="inlineStr">
        <is>
          <t>Hoodie Soft</t>
        </is>
      </c>
      <c r="F348" s="20" t="inlineStr">
        <is>
          <t>Consumer</t>
        </is>
      </c>
      <c r="G348" s="20" t="inlineStr">
        <is>
          <t>Online Guest</t>
        </is>
      </c>
      <c r="H348" s="20" t="n">
        <v>4</v>
      </c>
      <c r="I348" s="22" t="n">
        <v>4655.56</v>
      </c>
      <c r="J348" s="23" t="n">
        <v>0</v>
      </c>
      <c r="K348" s="24" t="n">
        <v>18622.24</v>
      </c>
      <c r="L348" s="24" t="n">
        <v>11760.28</v>
      </c>
      <c r="M348" s="24" t="n">
        <v>6861.96</v>
      </c>
    </row>
    <row r="349">
      <c r="A349" s="20" t="inlineStr">
        <is>
          <t>ORD-20240348</t>
        </is>
      </c>
      <c r="B349" s="21" t="n">
        <v>45510</v>
      </c>
      <c r="C349" s="20" t="inlineStr">
        <is>
          <t>West</t>
        </is>
      </c>
      <c r="D349" s="20" t="inlineStr">
        <is>
          <t>Furniture</t>
        </is>
      </c>
      <c r="E349" s="20" t="inlineStr">
        <is>
          <t>Bookshelf Oak</t>
        </is>
      </c>
      <c r="F349" s="20" t="inlineStr">
        <is>
          <t>Consumer</t>
        </is>
      </c>
      <c r="G349" s="20" t="inlineStr">
        <is>
          <t>Walk-in Delhi</t>
        </is>
      </c>
      <c r="H349" s="20" t="n">
        <v>1</v>
      </c>
      <c r="I349" s="22" t="n">
        <v>21977.13</v>
      </c>
      <c r="J349" s="23" t="n">
        <v>0</v>
      </c>
      <c r="K349" s="24" t="n">
        <v>21977.13</v>
      </c>
      <c r="L349" s="24" t="n">
        <v>12457.74</v>
      </c>
      <c r="M349" s="24" t="n">
        <v>9519.389999999999</v>
      </c>
    </row>
    <row r="350">
      <c r="A350" s="20" t="inlineStr">
        <is>
          <t>ORD-20240349</t>
        </is>
      </c>
      <c r="B350" s="21" t="n">
        <v>45513</v>
      </c>
      <c r="C350" s="20" t="inlineStr">
        <is>
          <t>Central</t>
        </is>
      </c>
      <c r="D350" s="20" t="inlineStr">
        <is>
          <t>Home &amp; Kitchen</t>
        </is>
      </c>
      <c r="E350" s="20" t="inlineStr">
        <is>
          <t>Coffee Maker</t>
        </is>
      </c>
      <c r="F350" s="20" t="inlineStr">
        <is>
          <t>SMB</t>
        </is>
      </c>
      <c r="G350" s="20" t="inlineStr">
        <is>
          <t>BrightRetail Co</t>
        </is>
      </c>
      <c r="H350" s="20" t="n">
        <v>14</v>
      </c>
      <c r="I350" s="22" t="n">
        <v>24138.15</v>
      </c>
      <c r="J350" s="23" t="n">
        <v>0.15</v>
      </c>
      <c r="K350" s="24" t="n">
        <v>287243.99</v>
      </c>
      <c r="L350" s="24" t="n">
        <v>252878.04</v>
      </c>
      <c r="M350" s="24" t="n">
        <v>34365.95</v>
      </c>
    </row>
    <row r="351">
      <c r="A351" s="20" t="inlineStr">
        <is>
          <t>ORD-20240350</t>
        </is>
      </c>
      <c r="B351" s="21" t="n">
        <v>45515</v>
      </c>
      <c r="C351" s="20" t="inlineStr">
        <is>
          <t>North</t>
        </is>
      </c>
      <c r="D351" s="20" t="inlineStr">
        <is>
          <t>Furniture</t>
        </is>
      </c>
      <c r="E351" s="20" t="inlineStr">
        <is>
          <t>Filing Cabinet</t>
        </is>
      </c>
      <c r="F351" s="20" t="inlineStr">
        <is>
          <t>Consumer</t>
        </is>
      </c>
      <c r="G351" s="20" t="inlineStr">
        <is>
          <t>Online Guest</t>
        </is>
      </c>
      <c r="H351" s="20" t="n">
        <v>19</v>
      </c>
      <c r="I351" s="22" t="n">
        <v>33832.55</v>
      </c>
      <c r="J351" s="23" t="n">
        <v>0.05</v>
      </c>
      <c r="K351" s="24" t="n">
        <v>610677.53</v>
      </c>
      <c r="L351" s="24" t="n">
        <v>491862.19</v>
      </c>
      <c r="M351" s="24" t="n">
        <v>118815.34</v>
      </c>
    </row>
    <row r="352">
      <c r="A352" s="20" t="inlineStr">
        <is>
          <t>ORD-20240351</t>
        </is>
      </c>
      <c r="B352" s="21" t="n">
        <v>45516</v>
      </c>
      <c r="C352" s="20" t="inlineStr">
        <is>
          <t>North</t>
        </is>
      </c>
      <c r="D352" s="20" t="inlineStr">
        <is>
          <t>Furniture</t>
        </is>
      </c>
      <c r="E352" s="20" t="inlineStr">
        <is>
          <t>Standing Desk</t>
        </is>
      </c>
      <c r="F352" s="20" t="inlineStr">
        <is>
          <t>SMB</t>
        </is>
      </c>
      <c r="G352" s="20" t="inlineStr">
        <is>
          <t>SwiftPrint</t>
        </is>
      </c>
      <c r="H352" s="20" t="n">
        <v>8</v>
      </c>
      <c r="I352" s="22" t="n">
        <v>13827.4</v>
      </c>
      <c r="J352" s="23" t="n">
        <v>0</v>
      </c>
      <c r="K352" s="24" t="n">
        <v>110619.2</v>
      </c>
      <c r="L352" s="24" t="n">
        <v>80279.83</v>
      </c>
      <c r="M352" s="24" t="n">
        <v>30339.37</v>
      </c>
    </row>
    <row r="353">
      <c r="A353" s="20" t="inlineStr">
        <is>
          <t>ORD-20240352</t>
        </is>
      </c>
      <c r="B353" s="21" t="n">
        <v>45517</v>
      </c>
      <c r="C353" s="20" t="inlineStr">
        <is>
          <t>West</t>
        </is>
      </c>
      <c r="D353" s="20" t="inlineStr">
        <is>
          <t>Apparel</t>
        </is>
      </c>
      <c r="E353" s="20" t="inlineStr">
        <is>
          <t>Cap Embroidered</t>
        </is>
      </c>
      <c r="F353" s="20" t="inlineStr">
        <is>
          <t>Government</t>
        </is>
      </c>
      <c r="G353" s="20" t="inlineStr">
        <is>
          <t>State Health UP</t>
        </is>
      </c>
      <c r="H353" s="20" t="n">
        <v>6</v>
      </c>
      <c r="I353" s="22" t="n">
        <v>687.55</v>
      </c>
      <c r="J353" s="23" t="n">
        <v>0</v>
      </c>
      <c r="K353" s="24" t="n">
        <v>4125.3</v>
      </c>
      <c r="L353" s="24" t="n">
        <v>3024.06</v>
      </c>
      <c r="M353" s="24" t="n">
        <v>1101.24</v>
      </c>
    </row>
    <row r="354">
      <c r="A354" s="20" t="inlineStr">
        <is>
          <t>ORD-20240353</t>
        </is>
      </c>
      <c r="B354" s="21" t="n">
        <v>45518</v>
      </c>
      <c r="C354" s="20" t="inlineStr">
        <is>
          <t>West</t>
        </is>
      </c>
      <c r="D354" s="20" t="inlineStr">
        <is>
          <t>Apparel</t>
        </is>
      </c>
      <c r="E354" s="20" t="inlineStr">
        <is>
          <t>Polo Shirt</t>
        </is>
      </c>
      <c r="F354" s="20" t="inlineStr">
        <is>
          <t>Consumer</t>
        </is>
      </c>
      <c r="G354" s="20" t="inlineStr">
        <is>
          <t>Walk-in Mumbai</t>
        </is>
      </c>
      <c r="H354" s="20" t="n">
        <v>12</v>
      </c>
      <c r="I354" s="22" t="n">
        <v>1769.73</v>
      </c>
      <c r="J354" s="23" t="n">
        <v>0</v>
      </c>
      <c r="K354" s="24" t="n">
        <v>21236.76</v>
      </c>
      <c r="L354" s="24" t="n">
        <v>14427.84</v>
      </c>
      <c r="M354" s="24" t="n">
        <v>6808.92</v>
      </c>
    </row>
    <row r="355">
      <c r="A355" s="20" t="inlineStr">
        <is>
          <t>ORD-20240354</t>
        </is>
      </c>
      <c r="B355" s="21" t="n">
        <v>45518</v>
      </c>
      <c r="C355" s="20" t="inlineStr">
        <is>
          <t>East</t>
        </is>
      </c>
      <c r="D355" s="20" t="inlineStr">
        <is>
          <t>Office Supplies</t>
        </is>
      </c>
      <c r="E355" s="20" t="inlineStr">
        <is>
          <t>Gel Pen Pack</t>
        </is>
      </c>
      <c r="F355" s="20" t="inlineStr">
        <is>
          <t>SMB</t>
        </is>
      </c>
      <c r="G355" s="20" t="inlineStr">
        <is>
          <t>GreenFarm Agro</t>
        </is>
      </c>
      <c r="H355" s="20" t="n">
        <v>21</v>
      </c>
      <c r="I355" s="22" t="n">
        <v>2987.53</v>
      </c>
      <c r="J355" s="23" t="n">
        <v>0</v>
      </c>
      <c r="K355" s="24" t="n">
        <v>62738.13</v>
      </c>
      <c r="L355" s="24" t="n">
        <v>36828.51</v>
      </c>
      <c r="M355" s="24" t="n">
        <v>25909.62</v>
      </c>
    </row>
    <row r="356">
      <c r="A356" s="20" t="inlineStr">
        <is>
          <t>ORD-20240355</t>
        </is>
      </c>
      <c r="B356" s="21" t="n">
        <v>45518</v>
      </c>
      <c r="C356" s="20" t="inlineStr">
        <is>
          <t>East</t>
        </is>
      </c>
      <c r="D356" s="20" t="inlineStr">
        <is>
          <t>Apparel</t>
        </is>
      </c>
      <c r="E356" s="20" t="inlineStr">
        <is>
          <t>Polo Shirt</t>
        </is>
      </c>
      <c r="F356" s="20" t="inlineStr">
        <is>
          <t>Enterprise</t>
        </is>
      </c>
      <c r="G356" s="20" t="inlineStr">
        <is>
          <t>Wipro Tech</t>
        </is>
      </c>
      <c r="H356" s="20" t="n">
        <v>18</v>
      </c>
      <c r="I356" s="22" t="n">
        <v>2954.09</v>
      </c>
      <c r="J356" s="23" t="n">
        <v>0.1</v>
      </c>
      <c r="K356" s="24" t="n">
        <v>47856.26</v>
      </c>
      <c r="L356" s="24" t="n">
        <v>35389.83</v>
      </c>
      <c r="M356" s="24" t="n">
        <v>12466.43</v>
      </c>
    </row>
    <row r="357">
      <c r="A357" s="20" t="inlineStr">
        <is>
          <t>ORD-20240356</t>
        </is>
      </c>
      <c r="B357" s="21" t="n">
        <v>45519</v>
      </c>
      <c r="C357" s="20" t="inlineStr">
        <is>
          <t>East</t>
        </is>
      </c>
      <c r="D357" s="20" t="inlineStr">
        <is>
          <t>Electronics</t>
        </is>
      </c>
      <c r="E357" s="20" t="inlineStr">
        <is>
          <t>USB-C Hub</t>
        </is>
      </c>
      <c r="F357" s="20" t="inlineStr">
        <is>
          <t>Consumer</t>
        </is>
      </c>
      <c r="G357" s="20" t="inlineStr">
        <is>
          <t>Walk-in Mumbai</t>
        </is>
      </c>
      <c r="H357" s="20" t="n">
        <v>8</v>
      </c>
      <c r="I357" s="22" t="n">
        <v>23841.06</v>
      </c>
      <c r="J357" s="23" t="n">
        <v>0</v>
      </c>
      <c r="K357" s="24" t="n">
        <v>190728.48</v>
      </c>
      <c r="L357" s="24" t="n">
        <v>121445.57</v>
      </c>
      <c r="M357" s="24" t="n">
        <v>69282.91</v>
      </c>
    </row>
    <row r="358">
      <c r="A358" s="20" t="inlineStr">
        <is>
          <t>ORD-20240357</t>
        </is>
      </c>
      <c r="B358" s="21" t="n">
        <v>45520</v>
      </c>
      <c r="C358" s="20" t="inlineStr">
        <is>
          <t>North</t>
        </is>
      </c>
      <c r="D358" s="20" t="inlineStr">
        <is>
          <t>Apparel</t>
        </is>
      </c>
      <c r="E358" s="20" t="inlineStr">
        <is>
          <t>Formal Blazer</t>
        </is>
      </c>
      <c r="F358" s="20" t="inlineStr">
        <is>
          <t>Government</t>
        </is>
      </c>
      <c r="G358" s="20" t="inlineStr">
        <is>
          <t>Railways Zone W</t>
        </is>
      </c>
      <c r="H358" s="20" t="n">
        <v>8</v>
      </c>
      <c r="I358" s="22" t="n">
        <v>1854.21</v>
      </c>
      <c r="J358" s="23" t="n">
        <v>0.05</v>
      </c>
      <c r="K358" s="24" t="n">
        <v>14092</v>
      </c>
      <c r="L358" s="24" t="n">
        <v>8330.309999999999</v>
      </c>
      <c r="M358" s="24" t="n">
        <v>5761.69</v>
      </c>
    </row>
    <row r="359">
      <c r="A359" s="20" t="inlineStr">
        <is>
          <t>ORD-20240358</t>
        </is>
      </c>
      <c r="B359" s="21" t="n">
        <v>45523</v>
      </c>
      <c r="C359" s="20" t="inlineStr">
        <is>
          <t>West</t>
        </is>
      </c>
      <c r="D359" s="20" t="inlineStr">
        <is>
          <t>Furniture</t>
        </is>
      </c>
      <c r="E359" s="20" t="inlineStr">
        <is>
          <t>Bookshelf Oak</t>
        </is>
      </c>
      <c r="F359" s="20" t="inlineStr">
        <is>
          <t>Consumer</t>
        </is>
      </c>
      <c r="G359" s="20" t="inlineStr">
        <is>
          <t>Online Guest</t>
        </is>
      </c>
      <c r="H359" s="20" t="n">
        <v>4</v>
      </c>
      <c r="I359" s="22" t="n">
        <v>22404.08</v>
      </c>
      <c r="J359" s="23" t="n">
        <v>0</v>
      </c>
      <c r="K359" s="24" t="n">
        <v>89616.32000000001</v>
      </c>
      <c r="L359" s="24" t="n">
        <v>52190.22</v>
      </c>
      <c r="M359" s="24" t="n">
        <v>37426.1</v>
      </c>
    </row>
    <row r="360">
      <c r="A360" s="20" t="inlineStr">
        <is>
          <t>ORD-20240359</t>
        </is>
      </c>
      <c r="B360" s="21" t="n">
        <v>45523</v>
      </c>
      <c r="C360" s="20" t="inlineStr">
        <is>
          <t>Central</t>
        </is>
      </c>
      <c r="D360" s="20" t="inlineStr">
        <is>
          <t>Home &amp; Kitchen</t>
        </is>
      </c>
      <c r="E360" s="20" t="inlineStr">
        <is>
          <t>Water Purifier</t>
        </is>
      </c>
      <c r="F360" s="20" t="inlineStr">
        <is>
          <t>SMB</t>
        </is>
      </c>
      <c r="G360" s="20" t="inlineStr">
        <is>
          <t>GreenFarm Agro</t>
        </is>
      </c>
      <c r="H360" s="20" t="n">
        <v>17</v>
      </c>
      <c r="I360" s="22" t="n">
        <v>12450.79</v>
      </c>
      <c r="J360" s="23" t="n">
        <v>0.15</v>
      </c>
      <c r="K360" s="24" t="n">
        <v>179913.92</v>
      </c>
      <c r="L360" s="24" t="n">
        <v>135143.79</v>
      </c>
      <c r="M360" s="24" t="n">
        <v>44770.13</v>
      </c>
    </row>
    <row r="361">
      <c r="A361" s="20" t="inlineStr">
        <is>
          <t>ORD-20240360</t>
        </is>
      </c>
      <c r="B361" s="21" t="n">
        <v>45523</v>
      </c>
      <c r="C361" s="20" t="inlineStr">
        <is>
          <t>South</t>
        </is>
      </c>
      <c r="D361" s="20" t="inlineStr">
        <is>
          <t>Furniture</t>
        </is>
      </c>
      <c r="E361" s="20" t="inlineStr">
        <is>
          <t>Ergo Chair</t>
        </is>
      </c>
      <c r="F361" s="20" t="inlineStr">
        <is>
          <t>Enterprise</t>
        </is>
      </c>
      <c r="G361" s="20" t="inlineStr">
        <is>
          <t>TCS Digital</t>
        </is>
      </c>
      <c r="H361" s="20" t="n">
        <v>14</v>
      </c>
      <c r="I361" s="22" t="n">
        <v>18878.78</v>
      </c>
      <c r="J361" s="23" t="n">
        <v>0.1</v>
      </c>
      <c r="K361" s="24" t="n">
        <v>237872.63</v>
      </c>
      <c r="L361" s="24" t="n">
        <v>185206</v>
      </c>
      <c r="M361" s="24" t="n">
        <v>52666.63</v>
      </c>
    </row>
    <row r="362">
      <c r="A362" s="20" t="inlineStr">
        <is>
          <t>ORD-20240361</t>
        </is>
      </c>
      <c r="B362" s="21" t="n">
        <v>45525</v>
      </c>
      <c r="C362" s="20" t="inlineStr">
        <is>
          <t>North</t>
        </is>
      </c>
      <c r="D362" s="20" t="inlineStr">
        <is>
          <t>Electronics</t>
        </is>
      </c>
      <c r="E362" s="20" t="inlineStr">
        <is>
          <t>USB-C Hub</t>
        </is>
      </c>
      <c r="F362" s="20" t="inlineStr">
        <is>
          <t>Consumer</t>
        </is>
      </c>
      <c r="G362" s="20" t="inlineStr">
        <is>
          <t>Retail Counter</t>
        </is>
      </c>
      <c r="H362" s="20" t="n">
        <v>17</v>
      </c>
      <c r="I362" s="22" t="n">
        <v>46828.09</v>
      </c>
      <c r="J362" s="23" t="n">
        <v>0</v>
      </c>
      <c r="K362" s="24" t="n">
        <v>796077.53</v>
      </c>
      <c r="L362" s="24" t="n">
        <v>581734.34</v>
      </c>
      <c r="M362" s="24" t="n">
        <v>214343.19</v>
      </c>
    </row>
    <row r="363">
      <c r="A363" s="20" t="inlineStr">
        <is>
          <t>ORD-20240362</t>
        </is>
      </c>
      <c r="B363" s="21" t="n">
        <v>45527</v>
      </c>
      <c r="C363" s="20" t="inlineStr">
        <is>
          <t>North</t>
        </is>
      </c>
      <c r="D363" s="20" t="inlineStr">
        <is>
          <t>Apparel</t>
        </is>
      </c>
      <c r="E363" s="20" t="inlineStr">
        <is>
          <t>Hoodie Soft</t>
        </is>
      </c>
      <c r="F363" s="20" t="inlineStr">
        <is>
          <t>Government</t>
        </is>
      </c>
      <c r="G363" s="20" t="inlineStr">
        <is>
          <t>Delhi NDMC</t>
        </is>
      </c>
      <c r="H363" s="20" t="n">
        <v>9</v>
      </c>
      <c r="I363" s="22" t="n">
        <v>616.51</v>
      </c>
      <c r="J363" s="23" t="n">
        <v>0.05</v>
      </c>
      <c r="K363" s="24" t="n">
        <v>5271.16</v>
      </c>
      <c r="L363" s="24" t="n">
        <v>3915.58</v>
      </c>
      <c r="M363" s="24" t="n">
        <v>1355.58</v>
      </c>
    </row>
    <row r="364">
      <c r="A364" s="20" t="inlineStr">
        <is>
          <t>ORD-20240363</t>
        </is>
      </c>
      <c r="B364" s="21" t="n">
        <v>45528</v>
      </c>
      <c r="C364" s="20" t="inlineStr">
        <is>
          <t>South</t>
        </is>
      </c>
      <c r="D364" s="20" t="inlineStr">
        <is>
          <t>Electronics</t>
        </is>
      </c>
      <c r="E364" s="20" t="inlineStr">
        <is>
          <t>Webcam HD</t>
        </is>
      </c>
      <c r="F364" s="20" t="inlineStr">
        <is>
          <t>Enterprise</t>
        </is>
      </c>
      <c r="G364" s="20" t="inlineStr">
        <is>
          <t>Infosys Ltd</t>
        </is>
      </c>
      <c r="H364" s="20" t="n">
        <v>13</v>
      </c>
      <c r="I364" s="22" t="n">
        <v>35094.42</v>
      </c>
      <c r="J364" s="23" t="n">
        <v>0.05</v>
      </c>
      <c r="K364" s="24" t="n">
        <v>433416.09</v>
      </c>
      <c r="L364" s="24" t="n">
        <v>324394.39</v>
      </c>
      <c r="M364" s="24" t="n">
        <v>109021.7</v>
      </c>
    </row>
    <row r="365">
      <c r="A365" s="20" t="inlineStr">
        <is>
          <t>ORD-20240364</t>
        </is>
      </c>
      <c r="B365" s="21" t="n">
        <v>45529</v>
      </c>
      <c r="C365" s="20" t="inlineStr">
        <is>
          <t>South</t>
        </is>
      </c>
      <c r="D365" s="20" t="inlineStr">
        <is>
          <t>Office Supplies</t>
        </is>
      </c>
      <c r="E365" s="20" t="inlineStr">
        <is>
          <t>Whiteboard Kit</t>
        </is>
      </c>
      <c r="F365" s="20" t="inlineStr">
        <is>
          <t>Enterprise</t>
        </is>
      </c>
      <c r="G365" s="20" t="inlineStr">
        <is>
          <t>Tech Mahindra</t>
        </is>
      </c>
      <c r="H365" s="20" t="n">
        <v>24</v>
      </c>
      <c r="I365" s="22" t="n">
        <v>3411.42</v>
      </c>
      <c r="J365" s="23" t="n">
        <v>0</v>
      </c>
      <c r="K365" s="24" t="n">
        <v>81874.08</v>
      </c>
      <c r="L365" s="24" t="n">
        <v>46870.27</v>
      </c>
      <c r="M365" s="24" t="n">
        <v>35003.81</v>
      </c>
    </row>
    <row r="366">
      <c r="A366" s="20" t="inlineStr">
        <is>
          <t>ORD-20240365</t>
        </is>
      </c>
      <c r="B366" s="21" t="n">
        <v>45529</v>
      </c>
      <c r="C366" s="20" t="inlineStr">
        <is>
          <t>Central</t>
        </is>
      </c>
      <c r="D366" s="20" t="inlineStr">
        <is>
          <t>Electronics</t>
        </is>
      </c>
      <c r="E366" s="20" t="inlineStr">
        <is>
          <t>Wireless Mouse</t>
        </is>
      </c>
      <c r="F366" s="20" t="inlineStr">
        <is>
          <t>Consumer</t>
        </is>
      </c>
      <c r="G366" s="20" t="inlineStr">
        <is>
          <t>Walk-in Mumbai</t>
        </is>
      </c>
      <c r="H366" s="20" t="n">
        <v>2</v>
      </c>
      <c r="I366" s="22" t="n">
        <v>66809.39</v>
      </c>
      <c r="J366" s="23" t="n">
        <v>0.2</v>
      </c>
      <c r="K366" s="24" t="n">
        <v>106895.02</v>
      </c>
      <c r="L366" s="24" t="n">
        <v>89342.48</v>
      </c>
      <c r="M366" s="24" t="n">
        <v>17552.54</v>
      </c>
    </row>
    <row r="367">
      <c r="A367" s="20" t="inlineStr">
        <is>
          <t>ORD-20240366</t>
        </is>
      </c>
      <c r="B367" s="21" t="n">
        <v>45530</v>
      </c>
      <c r="C367" s="20" t="inlineStr">
        <is>
          <t>North</t>
        </is>
      </c>
      <c r="D367" s="20" t="inlineStr">
        <is>
          <t>Office Supplies</t>
        </is>
      </c>
      <c r="E367" s="20" t="inlineStr">
        <is>
          <t>Gel Pen Pack</t>
        </is>
      </c>
      <c r="F367" s="20" t="inlineStr">
        <is>
          <t>SMB</t>
        </is>
      </c>
      <c r="G367" s="20" t="inlineStr">
        <is>
          <t>Nova Logistics</t>
        </is>
      </c>
      <c r="H367" s="20" t="n">
        <v>2</v>
      </c>
      <c r="I367" s="22" t="n">
        <v>2360.93</v>
      </c>
      <c r="J367" s="23" t="n">
        <v>0.2</v>
      </c>
      <c r="K367" s="24" t="n">
        <v>3777.49</v>
      </c>
      <c r="L367" s="24" t="n">
        <v>2842.11</v>
      </c>
      <c r="M367" s="24" t="n">
        <v>935.38</v>
      </c>
    </row>
    <row r="368">
      <c r="A368" s="20" t="inlineStr">
        <is>
          <t>ORD-20240367</t>
        </is>
      </c>
      <c r="B368" s="21" t="n">
        <v>45531</v>
      </c>
      <c r="C368" s="20" t="inlineStr">
        <is>
          <t>North</t>
        </is>
      </c>
      <c r="D368" s="20" t="inlineStr">
        <is>
          <t>Apparel</t>
        </is>
      </c>
      <c r="E368" s="20" t="inlineStr">
        <is>
          <t>Safety Vest</t>
        </is>
      </c>
      <c r="F368" s="20" t="inlineStr">
        <is>
          <t>SMB</t>
        </is>
      </c>
      <c r="G368" s="20" t="inlineStr">
        <is>
          <t>Pixel Studio</t>
        </is>
      </c>
      <c r="H368" s="20" t="n">
        <v>23</v>
      </c>
      <c r="I368" s="22" t="n">
        <v>1627.78</v>
      </c>
      <c r="J368" s="23" t="n">
        <v>0.15</v>
      </c>
      <c r="K368" s="24" t="n">
        <v>31823.1</v>
      </c>
      <c r="L368" s="24" t="n">
        <v>21204.34</v>
      </c>
      <c r="M368" s="24" t="n">
        <v>10618.76</v>
      </c>
    </row>
    <row r="369">
      <c r="A369" s="20" t="inlineStr">
        <is>
          <t>ORD-20240368</t>
        </is>
      </c>
      <c r="B369" s="21" t="n">
        <v>45531</v>
      </c>
      <c r="C369" s="20" t="inlineStr">
        <is>
          <t>East</t>
        </is>
      </c>
      <c r="D369" s="20" t="inlineStr">
        <is>
          <t>Electronics</t>
        </is>
      </c>
      <c r="E369" s="20" t="inlineStr">
        <is>
          <t>Monitor 27in</t>
        </is>
      </c>
      <c r="F369" s="20" t="inlineStr">
        <is>
          <t>SMB</t>
        </is>
      </c>
      <c r="G369" s="20" t="inlineStr">
        <is>
          <t>SwiftPrint</t>
        </is>
      </c>
      <c r="H369" s="20" t="n">
        <v>19</v>
      </c>
      <c r="I369" s="22" t="n">
        <v>48423.29</v>
      </c>
      <c r="J369" s="23" t="n">
        <v>0.2</v>
      </c>
      <c r="K369" s="24" t="n">
        <v>736034.01</v>
      </c>
      <c r="L369" s="24" t="n">
        <v>684726.9399999999</v>
      </c>
      <c r="M369" s="24" t="n">
        <v>51307.07</v>
      </c>
    </row>
    <row r="370">
      <c r="A370" s="20" t="inlineStr">
        <is>
          <t>ORD-20240369</t>
        </is>
      </c>
      <c r="B370" s="21" t="n">
        <v>45534</v>
      </c>
      <c r="C370" s="20" t="inlineStr">
        <is>
          <t>East</t>
        </is>
      </c>
      <c r="D370" s="20" t="inlineStr">
        <is>
          <t>Apparel</t>
        </is>
      </c>
      <c r="E370" s="20" t="inlineStr">
        <is>
          <t>Polo Shirt</t>
        </is>
      </c>
      <c r="F370" s="20" t="inlineStr">
        <is>
          <t>Government</t>
        </is>
      </c>
      <c r="G370" s="20" t="inlineStr">
        <is>
          <t>Delhi NDMC</t>
        </is>
      </c>
      <c r="H370" s="20" t="n">
        <v>4</v>
      </c>
      <c r="I370" s="22" t="n">
        <v>2427.09</v>
      </c>
      <c r="J370" s="23" t="n">
        <v>0.1</v>
      </c>
      <c r="K370" s="24" t="n">
        <v>8737.52</v>
      </c>
      <c r="L370" s="24" t="n">
        <v>6659.64</v>
      </c>
      <c r="M370" s="24" t="n">
        <v>2077.88</v>
      </c>
    </row>
    <row r="371">
      <c r="A371" s="20" t="inlineStr">
        <is>
          <t>ORD-20240370</t>
        </is>
      </c>
      <c r="B371" s="21" t="n">
        <v>45534</v>
      </c>
      <c r="C371" s="20" t="inlineStr">
        <is>
          <t>North</t>
        </is>
      </c>
      <c r="D371" s="20" t="inlineStr">
        <is>
          <t>Furniture</t>
        </is>
      </c>
      <c r="E371" s="20" t="inlineStr">
        <is>
          <t>Standing Desk</t>
        </is>
      </c>
      <c r="F371" s="20" t="inlineStr">
        <is>
          <t>Enterprise</t>
        </is>
      </c>
      <c r="G371" s="20" t="inlineStr">
        <is>
          <t>HCL Services</t>
        </is>
      </c>
      <c r="H371" s="20" t="n">
        <v>22</v>
      </c>
      <c r="I371" s="22" t="n">
        <v>22747.55</v>
      </c>
      <c r="J371" s="23" t="n">
        <v>0.05</v>
      </c>
      <c r="K371" s="24" t="n">
        <v>475423.79</v>
      </c>
      <c r="L371" s="24" t="n">
        <v>388198.81</v>
      </c>
      <c r="M371" s="24" t="n">
        <v>87224.98</v>
      </c>
    </row>
    <row r="372">
      <c r="A372" s="20" t="inlineStr">
        <is>
          <t>ORD-20240371</t>
        </is>
      </c>
      <c r="B372" s="21" t="n">
        <v>45535</v>
      </c>
      <c r="C372" s="20" t="inlineStr">
        <is>
          <t>East</t>
        </is>
      </c>
      <c r="D372" s="20" t="inlineStr">
        <is>
          <t>Furniture</t>
        </is>
      </c>
      <c r="E372" s="20" t="inlineStr">
        <is>
          <t>Filing Cabinet</t>
        </is>
      </c>
      <c r="F372" s="20" t="inlineStr">
        <is>
          <t>SMB</t>
        </is>
      </c>
      <c r="G372" s="20" t="inlineStr">
        <is>
          <t>BrightRetail Co</t>
        </is>
      </c>
      <c r="H372" s="20" t="n">
        <v>22</v>
      </c>
      <c r="I372" s="22" t="n">
        <v>39324.04</v>
      </c>
      <c r="J372" s="23" t="n">
        <v>0</v>
      </c>
      <c r="K372" s="24" t="n">
        <v>865128.88</v>
      </c>
      <c r="L372" s="24" t="n">
        <v>478777.79</v>
      </c>
      <c r="M372" s="24" t="n">
        <v>386351.09</v>
      </c>
    </row>
    <row r="373">
      <c r="A373" s="20" t="inlineStr">
        <is>
          <t>ORD-20240372</t>
        </is>
      </c>
      <c r="B373" s="21" t="n">
        <v>45536</v>
      </c>
      <c r="C373" s="20" t="inlineStr">
        <is>
          <t>North</t>
        </is>
      </c>
      <c r="D373" s="20" t="inlineStr">
        <is>
          <t>Office Supplies</t>
        </is>
      </c>
      <c r="E373" s="20" t="inlineStr">
        <is>
          <t>Whiteboard Kit</t>
        </is>
      </c>
      <c r="F373" s="20" t="inlineStr">
        <is>
          <t>Government</t>
        </is>
      </c>
      <c r="G373" s="20" t="inlineStr">
        <is>
          <t>MH Education Dept</t>
        </is>
      </c>
      <c r="H373" s="20" t="n">
        <v>1</v>
      </c>
      <c r="I373" s="22" t="n">
        <v>2188.08</v>
      </c>
      <c r="J373" s="23" t="n">
        <v>0.1</v>
      </c>
      <c r="K373" s="24" t="n">
        <v>1969.27</v>
      </c>
      <c r="L373" s="24" t="n">
        <v>1593.98</v>
      </c>
      <c r="M373" s="24" t="n">
        <v>375.29</v>
      </c>
    </row>
    <row r="374">
      <c r="A374" s="20" t="inlineStr">
        <is>
          <t>ORD-20240373</t>
        </is>
      </c>
      <c r="B374" s="21" t="n">
        <v>45537</v>
      </c>
      <c r="C374" s="20" t="inlineStr">
        <is>
          <t>West</t>
        </is>
      </c>
      <c r="D374" s="20" t="inlineStr">
        <is>
          <t>Office Supplies</t>
        </is>
      </c>
      <c r="E374" s="20" t="inlineStr">
        <is>
          <t>Whiteboard Kit</t>
        </is>
      </c>
      <c r="F374" s="20" t="inlineStr">
        <is>
          <t>Consumer</t>
        </is>
      </c>
      <c r="G374" s="20" t="inlineStr">
        <is>
          <t>Retail Counter</t>
        </is>
      </c>
      <c r="H374" s="20" t="n">
        <v>14</v>
      </c>
      <c r="I374" s="22" t="n">
        <v>1211.1</v>
      </c>
      <c r="J374" s="23" t="n">
        <v>0.1</v>
      </c>
      <c r="K374" s="24" t="n">
        <v>15259.86</v>
      </c>
      <c r="L374" s="24" t="n">
        <v>13223.05</v>
      </c>
      <c r="M374" s="24" t="n">
        <v>2036.81</v>
      </c>
    </row>
    <row r="375">
      <c r="A375" s="20" t="inlineStr">
        <is>
          <t>ORD-20240374</t>
        </is>
      </c>
      <c r="B375" s="21" t="n">
        <v>45538</v>
      </c>
      <c r="C375" s="20" t="inlineStr">
        <is>
          <t>East</t>
        </is>
      </c>
      <c r="D375" s="20" t="inlineStr">
        <is>
          <t>Electronics</t>
        </is>
      </c>
      <c r="E375" s="20" t="inlineStr">
        <is>
          <t>Webcam HD</t>
        </is>
      </c>
      <c r="F375" s="20" t="inlineStr">
        <is>
          <t>Government</t>
        </is>
      </c>
      <c r="G375" s="20" t="inlineStr">
        <is>
          <t>Delhi NDMC</t>
        </is>
      </c>
      <c r="H375" s="20" t="n">
        <v>4</v>
      </c>
      <c r="I375" s="22" t="n">
        <v>79030.10000000001</v>
      </c>
      <c r="J375" s="23" t="n">
        <v>0.05</v>
      </c>
      <c r="K375" s="24" t="n">
        <v>300314.38</v>
      </c>
      <c r="L375" s="24" t="n">
        <v>191276.24</v>
      </c>
      <c r="M375" s="24" t="n">
        <v>109038.14</v>
      </c>
    </row>
    <row r="376">
      <c r="A376" s="20" t="inlineStr">
        <is>
          <t>ORD-20240375</t>
        </is>
      </c>
      <c r="B376" s="21" t="n">
        <v>45538</v>
      </c>
      <c r="C376" s="20" t="inlineStr">
        <is>
          <t>Central</t>
        </is>
      </c>
      <c r="D376" s="20" t="inlineStr">
        <is>
          <t>Home &amp; Kitchen</t>
        </is>
      </c>
      <c r="E376" s="20" t="inlineStr">
        <is>
          <t>Vacuum Robot</t>
        </is>
      </c>
      <c r="F376" s="20" t="inlineStr">
        <is>
          <t>Government</t>
        </is>
      </c>
      <c r="G376" s="20" t="inlineStr">
        <is>
          <t>MH Education Dept</t>
        </is>
      </c>
      <c r="H376" s="20" t="n">
        <v>21</v>
      </c>
      <c r="I376" s="22" t="n">
        <v>20508.58</v>
      </c>
      <c r="J376" s="23" t="n">
        <v>0.05</v>
      </c>
      <c r="K376" s="24" t="n">
        <v>409146.17</v>
      </c>
      <c r="L376" s="24" t="n">
        <v>240241.31</v>
      </c>
      <c r="M376" s="24" t="n">
        <v>168904.86</v>
      </c>
    </row>
    <row r="377">
      <c r="A377" s="20" t="inlineStr">
        <is>
          <t>ORD-20240376</t>
        </is>
      </c>
      <c r="B377" s="21" t="n">
        <v>45540</v>
      </c>
      <c r="C377" s="20" t="inlineStr">
        <is>
          <t>North</t>
        </is>
      </c>
      <c r="D377" s="20" t="inlineStr">
        <is>
          <t>Office Supplies</t>
        </is>
      </c>
      <c r="E377" s="20" t="inlineStr">
        <is>
          <t>Whiteboard Kit</t>
        </is>
      </c>
      <c r="F377" s="20" t="inlineStr">
        <is>
          <t>Consumer</t>
        </is>
      </c>
      <c r="G377" s="20" t="inlineStr">
        <is>
          <t>App User North</t>
        </is>
      </c>
      <c r="H377" s="20" t="n">
        <v>13</v>
      </c>
      <c r="I377" s="22" t="n">
        <v>2738.13</v>
      </c>
      <c r="J377" s="23" t="n">
        <v>0.2</v>
      </c>
      <c r="K377" s="24" t="n">
        <v>28476.55</v>
      </c>
      <c r="L377" s="24" t="n">
        <v>26988.57</v>
      </c>
      <c r="M377" s="24" t="n">
        <v>1487.98</v>
      </c>
    </row>
    <row r="378">
      <c r="A378" s="20" t="inlineStr">
        <is>
          <t>ORD-20240377</t>
        </is>
      </c>
      <c r="B378" s="21" t="n">
        <v>45540</v>
      </c>
      <c r="C378" s="20" t="inlineStr">
        <is>
          <t>East</t>
        </is>
      </c>
      <c r="D378" s="20" t="inlineStr">
        <is>
          <t>Furniture</t>
        </is>
      </c>
      <c r="E378" s="20" t="inlineStr">
        <is>
          <t>Conference Table</t>
        </is>
      </c>
      <c r="F378" s="20" t="inlineStr">
        <is>
          <t>SMB</t>
        </is>
      </c>
      <c r="G378" s="20" t="inlineStr">
        <is>
          <t>GreenFarm Agro</t>
        </is>
      </c>
      <c r="H378" s="20" t="n">
        <v>11</v>
      </c>
      <c r="I378" s="22" t="n">
        <v>14886.55</v>
      </c>
      <c r="J378" s="23" t="n">
        <v>0.15</v>
      </c>
      <c r="K378" s="24" t="n">
        <v>139189.24</v>
      </c>
      <c r="L378" s="24" t="n">
        <v>126512.46</v>
      </c>
      <c r="M378" s="24" t="n">
        <v>12676.78</v>
      </c>
    </row>
    <row r="379">
      <c r="A379" s="20" t="inlineStr">
        <is>
          <t>ORD-20240378</t>
        </is>
      </c>
      <c r="B379" s="21" t="n">
        <v>45540</v>
      </c>
      <c r="C379" s="20" t="inlineStr">
        <is>
          <t>South</t>
        </is>
      </c>
      <c r="D379" s="20" t="inlineStr">
        <is>
          <t>Office Supplies</t>
        </is>
      </c>
      <c r="E379" s="20" t="inlineStr">
        <is>
          <t>Whiteboard Kit</t>
        </is>
      </c>
      <c r="F379" s="20" t="inlineStr">
        <is>
          <t>Enterprise</t>
        </is>
      </c>
      <c r="G379" s="20" t="inlineStr">
        <is>
          <t>Wipro Tech</t>
        </is>
      </c>
      <c r="H379" s="20" t="n">
        <v>25</v>
      </c>
      <c r="I379" s="22" t="n">
        <v>1072.01</v>
      </c>
      <c r="J379" s="23" t="n">
        <v>0</v>
      </c>
      <c r="K379" s="24" t="n">
        <v>26800.25</v>
      </c>
      <c r="L379" s="24" t="n">
        <v>16916.11</v>
      </c>
      <c r="M379" s="24" t="n">
        <v>9884.139999999999</v>
      </c>
    </row>
    <row r="380">
      <c r="A380" s="20" t="inlineStr">
        <is>
          <t>ORD-20240379</t>
        </is>
      </c>
      <c r="B380" s="21" t="n">
        <v>45541</v>
      </c>
      <c r="C380" s="20" t="inlineStr">
        <is>
          <t>North</t>
        </is>
      </c>
      <c r="D380" s="20" t="inlineStr">
        <is>
          <t>Electronics</t>
        </is>
      </c>
      <c r="E380" s="20" t="inlineStr">
        <is>
          <t>Keyboard Mech</t>
        </is>
      </c>
      <c r="F380" s="20" t="inlineStr">
        <is>
          <t>Enterprise</t>
        </is>
      </c>
      <c r="G380" s="20" t="inlineStr">
        <is>
          <t>Wipro Tech</t>
        </is>
      </c>
      <c r="H380" s="20" t="n">
        <v>21</v>
      </c>
      <c r="I380" s="22" t="n">
        <v>10008.34</v>
      </c>
      <c r="J380" s="23" t="n">
        <v>0</v>
      </c>
      <c r="K380" s="24" t="n">
        <v>210175.14</v>
      </c>
      <c r="L380" s="24" t="n">
        <v>160549.04</v>
      </c>
      <c r="M380" s="24" t="n">
        <v>49626.1</v>
      </c>
    </row>
    <row r="381">
      <c r="A381" s="20" t="inlineStr">
        <is>
          <t>ORD-20240380</t>
        </is>
      </c>
      <c r="B381" s="21" t="n">
        <v>45542</v>
      </c>
      <c r="C381" s="20" t="inlineStr">
        <is>
          <t>South</t>
        </is>
      </c>
      <c r="D381" s="20" t="inlineStr">
        <is>
          <t>Home &amp; Kitchen</t>
        </is>
      </c>
      <c r="E381" s="20" t="inlineStr">
        <is>
          <t>Air Fryer</t>
        </is>
      </c>
      <c r="F381" s="20" t="inlineStr">
        <is>
          <t>Government</t>
        </is>
      </c>
      <c r="G381" s="20" t="inlineStr">
        <is>
          <t>MH Education Dept</t>
        </is>
      </c>
      <c r="H381" s="20" t="n">
        <v>22</v>
      </c>
      <c r="I381" s="22" t="n">
        <v>27840.34</v>
      </c>
      <c r="J381" s="23" t="n">
        <v>0.1</v>
      </c>
      <c r="K381" s="24" t="n">
        <v>551238.73</v>
      </c>
      <c r="L381" s="24" t="n">
        <v>406998.8</v>
      </c>
      <c r="M381" s="24" t="n">
        <v>144239.93</v>
      </c>
    </row>
    <row r="382">
      <c r="A382" s="20" t="inlineStr">
        <is>
          <t>ORD-20240381</t>
        </is>
      </c>
      <c r="B382" s="21" t="n">
        <v>45543</v>
      </c>
      <c r="C382" s="20" t="inlineStr">
        <is>
          <t>East</t>
        </is>
      </c>
      <c r="D382" s="20" t="inlineStr">
        <is>
          <t>Furniture</t>
        </is>
      </c>
      <c r="E382" s="20" t="inlineStr">
        <is>
          <t>Filing Cabinet</t>
        </is>
      </c>
      <c r="F382" s="20" t="inlineStr">
        <is>
          <t>Government</t>
        </is>
      </c>
      <c r="G382" s="20" t="inlineStr">
        <is>
          <t>State Health UP</t>
        </is>
      </c>
      <c r="H382" s="20" t="n">
        <v>14</v>
      </c>
      <c r="I382" s="22" t="n">
        <v>37593.72</v>
      </c>
      <c r="J382" s="23" t="n">
        <v>0.05</v>
      </c>
      <c r="K382" s="24" t="n">
        <v>499996.48</v>
      </c>
      <c r="L382" s="24" t="n">
        <v>328487.19</v>
      </c>
      <c r="M382" s="24" t="n">
        <v>171509.29</v>
      </c>
    </row>
    <row r="383">
      <c r="A383" s="20" t="inlineStr">
        <is>
          <t>ORD-20240382</t>
        </is>
      </c>
      <c r="B383" s="21" t="n">
        <v>45543</v>
      </c>
      <c r="C383" s="20" t="inlineStr">
        <is>
          <t>East</t>
        </is>
      </c>
      <c r="D383" s="20" t="inlineStr">
        <is>
          <t>Furniture</t>
        </is>
      </c>
      <c r="E383" s="20" t="inlineStr">
        <is>
          <t>Ergo Chair</t>
        </is>
      </c>
      <c r="F383" s="20" t="inlineStr">
        <is>
          <t>Government</t>
        </is>
      </c>
      <c r="G383" s="20" t="inlineStr">
        <is>
          <t>Railways Zone W</t>
        </is>
      </c>
      <c r="H383" s="20" t="n">
        <v>5</v>
      </c>
      <c r="I383" s="22" t="n">
        <v>10838.15</v>
      </c>
      <c r="J383" s="23" t="n">
        <v>0.05</v>
      </c>
      <c r="K383" s="24" t="n">
        <v>51481.21</v>
      </c>
      <c r="L383" s="24" t="n">
        <v>34539.19</v>
      </c>
      <c r="M383" s="24" t="n">
        <v>16942.02</v>
      </c>
    </row>
    <row r="384">
      <c r="A384" s="20" t="inlineStr">
        <is>
          <t>ORD-20240383</t>
        </is>
      </c>
      <c r="B384" s="21" t="n">
        <v>45543</v>
      </c>
      <c r="C384" s="20" t="inlineStr">
        <is>
          <t>Central</t>
        </is>
      </c>
      <c r="D384" s="20" t="inlineStr">
        <is>
          <t>Office Supplies</t>
        </is>
      </c>
      <c r="E384" s="20" t="inlineStr">
        <is>
          <t>Whiteboard Kit</t>
        </is>
      </c>
      <c r="F384" s="20" t="inlineStr">
        <is>
          <t>Enterprise</t>
        </is>
      </c>
      <c r="G384" s="20" t="inlineStr">
        <is>
          <t>Tech Mahindra</t>
        </is>
      </c>
      <c r="H384" s="20" t="n">
        <v>4</v>
      </c>
      <c r="I384" s="22" t="n">
        <v>1608.05</v>
      </c>
      <c r="J384" s="23" t="n">
        <v>0</v>
      </c>
      <c r="K384" s="24" t="n">
        <v>6432.2</v>
      </c>
      <c r="L384" s="24" t="n">
        <v>4836.3</v>
      </c>
      <c r="M384" s="24" t="n">
        <v>1595.9</v>
      </c>
    </row>
    <row r="385">
      <c r="A385" s="20" t="inlineStr">
        <is>
          <t>ORD-20240384</t>
        </is>
      </c>
      <c r="B385" s="21" t="n">
        <v>45543</v>
      </c>
      <c r="C385" s="20" t="inlineStr">
        <is>
          <t>East</t>
        </is>
      </c>
      <c r="D385" s="20" t="inlineStr">
        <is>
          <t>Furniture</t>
        </is>
      </c>
      <c r="E385" s="20" t="inlineStr">
        <is>
          <t>Standing Desk</t>
        </is>
      </c>
      <c r="F385" s="20" t="inlineStr">
        <is>
          <t>SMB</t>
        </is>
      </c>
      <c r="G385" s="20" t="inlineStr">
        <is>
          <t>Nova Logistics</t>
        </is>
      </c>
      <c r="H385" s="20" t="n">
        <v>9</v>
      </c>
      <c r="I385" s="22" t="n">
        <v>33050.56</v>
      </c>
      <c r="J385" s="23" t="n">
        <v>0.1</v>
      </c>
      <c r="K385" s="24" t="n">
        <v>267709.54</v>
      </c>
      <c r="L385" s="24" t="n">
        <v>221584.03</v>
      </c>
      <c r="M385" s="24" t="n">
        <v>46125.51</v>
      </c>
    </row>
    <row r="386">
      <c r="A386" s="20" t="inlineStr">
        <is>
          <t>ORD-20240385</t>
        </is>
      </c>
      <c r="B386" s="21" t="n">
        <v>45544</v>
      </c>
      <c r="C386" s="20" t="inlineStr">
        <is>
          <t>East</t>
        </is>
      </c>
      <c r="D386" s="20" t="inlineStr">
        <is>
          <t>Furniture</t>
        </is>
      </c>
      <c r="E386" s="20" t="inlineStr">
        <is>
          <t>Conference Table</t>
        </is>
      </c>
      <c r="F386" s="20" t="inlineStr">
        <is>
          <t>Government</t>
        </is>
      </c>
      <c r="G386" s="20" t="inlineStr">
        <is>
          <t>Railways Zone W</t>
        </is>
      </c>
      <c r="H386" s="20" t="n">
        <v>16</v>
      </c>
      <c r="I386" s="22" t="n">
        <v>35763.33</v>
      </c>
      <c r="J386" s="23" t="n">
        <v>0.1</v>
      </c>
      <c r="K386" s="24" t="n">
        <v>514991.95</v>
      </c>
      <c r="L386" s="24" t="n">
        <v>347843.27</v>
      </c>
      <c r="M386" s="24" t="n">
        <v>167148.68</v>
      </c>
    </row>
    <row r="387">
      <c r="A387" s="20" t="inlineStr">
        <is>
          <t>ORD-20240386</t>
        </is>
      </c>
      <c r="B387" s="21" t="n">
        <v>45545</v>
      </c>
      <c r="C387" s="20" t="inlineStr">
        <is>
          <t>North</t>
        </is>
      </c>
      <c r="D387" s="20" t="inlineStr">
        <is>
          <t>Apparel</t>
        </is>
      </c>
      <c r="E387" s="20" t="inlineStr">
        <is>
          <t>Hoodie Soft</t>
        </is>
      </c>
      <c r="F387" s="20" t="inlineStr">
        <is>
          <t>Enterprise</t>
        </is>
      </c>
      <c r="G387" s="20" t="inlineStr">
        <is>
          <t>Wipro Tech</t>
        </is>
      </c>
      <c r="H387" s="20" t="n">
        <v>20</v>
      </c>
      <c r="I387" s="22" t="n">
        <v>1028.79</v>
      </c>
      <c r="J387" s="23" t="n">
        <v>0.12</v>
      </c>
      <c r="K387" s="24" t="n">
        <v>18106.7</v>
      </c>
      <c r="L387" s="24" t="n">
        <v>12780.77</v>
      </c>
      <c r="M387" s="24" t="n">
        <v>5325.93</v>
      </c>
    </row>
    <row r="388">
      <c r="A388" s="20" t="inlineStr">
        <is>
          <t>ORD-20240387</t>
        </is>
      </c>
      <c r="B388" s="21" t="n">
        <v>45545</v>
      </c>
      <c r="C388" s="20" t="inlineStr">
        <is>
          <t>West</t>
        </is>
      </c>
      <c r="D388" s="20" t="inlineStr">
        <is>
          <t>Electronics</t>
        </is>
      </c>
      <c r="E388" s="20" t="inlineStr">
        <is>
          <t>Laptop Pro 14</t>
        </is>
      </c>
      <c r="F388" s="20" t="inlineStr">
        <is>
          <t>Government</t>
        </is>
      </c>
      <c r="G388" s="20" t="inlineStr">
        <is>
          <t>Delhi NDMC</t>
        </is>
      </c>
      <c r="H388" s="20" t="n">
        <v>19</v>
      </c>
      <c r="I388" s="22" t="n">
        <v>67926</v>
      </c>
      <c r="J388" s="23" t="n">
        <v>0.1</v>
      </c>
      <c r="K388" s="24" t="n">
        <v>1161534.6</v>
      </c>
      <c r="L388" s="24" t="n">
        <v>959320.13</v>
      </c>
      <c r="M388" s="24" t="n">
        <v>202214.47</v>
      </c>
    </row>
    <row r="389">
      <c r="A389" s="20" t="inlineStr">
        <is>
          <t>ORD-20240388</t>
        </is>
      </c>
      <c r="B389" s="21" t="n">
        <v>45545</v>
      </c>
      <c r="C389" s="20" t="inlineStr">
        <is>
          <t>Central</t>
        </is>
      </c>
      <c r="D389" s="20" t="inlineStr">
        <is>
          <t>Electronics</t>
        </is>
      </c>
      <c r="E389" s="20" t="inlineStr">
        <is>
          <t>Monitor 27in</t>
        </is>
      </c>
      <c r="F389" s="20" t="inlineStr">
        <is>
          <t>SMB</t>
        </is>
      </c>
      <c r="G389" s="20" t="inlineStr">
        <is>
          <t>BrightRetail Co</t>
        </is>
      </c>
      <c r="H389" s="20" t="n">
        <v>3</v>
      </c>
      <c r="I389" s="22" t="n">
        <v>803.01</v>
      </c>
      <c r="J389" s="23" t="n">
        <v>0</v>
      </c>
      <c r="K389" s="24" t="n">
        <v>2409.03</v>
      </c>
      <c r="L389" s="24" t="n">
        <v>1612.99</v>
      </c>
      <c r="M389" s="24" t="n">
        <v>796.04</v>
      </c>
    </row>
    <row r="390">
      <c r="A390" s="20" t="inlineStr">
        <is>
          <t>ORD-20240389</t>
        </is>
      </c>
      <c r="B390" s="21" t="n">
        <v>45546</v>
      </c>
      <c r="C390" s="20" t="inlineStr">
        <is>
          <t>North</t>
        </is>
      </c>
      <c r="D390" s="20" t="inlineStr">
        <is>
          <t>Apparel</t>
        </is>
      </c>
      <c r="E390" s="20" t="inlineStr">
        <is>
          <t>Cap Embroidered</t>
        </is>
      </c>
      <c r="F390" s="20" t="inlineStr">
        <is>
          <t>Enterprise</t>
        </is>
      </c>
      <c r="G390" s="20" t="inlineStr">
        <is>
          <t>TCS Digital</t>
        </is>
      </c>
      <c r="H390" s="20" t="n">
        <v>5</v>
      </c>
      <c r="I390" s="22" t="n">
        <v>4111.37</v>
      </c>
      <c r="J390" s="23" t="n">
        <v>0.05</v>
      </c>
      <c r="K390" s="24" t="n">
        <v>19529.01</v>
      </c>
      <c r="L390" s="24" t="n">
        <v>11709.01</v>
      </c>
      <c r="M390" s="24" t="n">
        <v>7820</v>
      </c>
    </row>
    <row r="391">
      <c r="A391" s="20" t="inlineStr">
        <is>
          <t>ORD-20240390</t>
        </is>
      </c>
      <c r="B391" s="21" t="n">
        <v>45546</v>
      </c>
      <c r="C391" s="20" t="inlineStr">
        <is>
          <t>Central</t>
        </is>
      </c>
      <c r="D391" s="20" t="inlineStr">
        <is>
          <t>Home &amp; Kitchen</t>
        </is>
      </c>
      <c r="E391" s="20" t="inlineStr">
        <is>
          <t>Mixer Grinder</t>
        </is>
      </c>
      <c r="F391" s="20" t="inlineStr">
        <is>
          <t>SMB</t>
        </is>
      </c>
      <c r="G391" s="20" t="inlineStr">
        <is>
          <t>SwiftPrint</t>
        </is>
      </c>
      <c r="H391" s="20" t="n">
        <v>11</v>
      </c>
      <c r="I391" s="22" t="n">
        <v>15015.21</v>
      </c>
      <c r="J391" s="23" t="n">
        <v>0</v>
      </c>
      <c r="K391" s="24" t="n">
        <v>165167.31</v>
      </c>
      <c r="L391" s="24" t="n">
        <v>107285.26</v>
      </c>
      <c r="M391" s="24" t="n">
        <v>57882.05</v>
      </c>
    </row>
    <row r="392">
      <c r="A392" s="20" t="inlineStr">
        <is>
          <t>ORD-20240391</t>
        </is>
      </c>
      <c r="B392" s="21" t="n">
        <v>45547</v>
      </c>
      <c r="C392" s="20" t="inlineStr">
        <is>
          <t>South</t>
        </is>
      </c>
      <c r="D392" s="20" t="inlineStr">
        <is>
          <t>Furniture</t>
        </is>
      </c>
      <c r="E392" s="20" t="inlineStr">
        <is>
          <t>Conference Table</t>
        </is>
      </c>
      <c r="F392" s="20" t="inlineStr">
        <is>
          <t>SMB</t>
        </is>
      </c>
      <c r="G392" s="20" t="inlineStr">
        <is>
          <t>SwiftPrint</t>
        </is>
      </c>
      <c r="H392" s="20" t="n">
        <v>8</v>
      </c>
      <c r="I392" s="22" t="n">
        <v>39591.56</v>
      </c>
      <c r="J392" s="23" t="n">
        <v>0.05</v>
      </c>
      <c r="K392" s="24" t="n">
        <v>300895.86</v>
      </c>
      <c r="L392" s="24" t="n">
        <v>190900.28</v>
      </c>
      <c r="M392" s="24" t="n">
        <v>109995.58</v>
      </c>
    </row>
    <row r="393">
      <c r="A393" s="20" t="inlineStr">
        <is>
          <t>ORD-20240392</t>
        </is>
      </c>
      <c r="B393" s="21" t="n">
        <v>45547</v>
      </c>
      <c r="C393" s="20" t="inlineStr">
        <is>
          <t>South</t>
        </is>
      </c>
      <c r="D393" s="20" t="inlineStr">
        <is>
          <t>Furniture</t>
        </is>
      </c>
      <c r="E393" s="20" t="inlineStr">
        <is>
          <t>Standing Desk</t>
        </is>
      </c>
      <c r="F393" s="20" t="inlineStr">
        <is>
          <t>Government</t>
        </is>
      </c>
      <c r="G393" s="20" t="inlineStr">
        <is>
          <t>Municipal Corp Hyd</t>
        </is>
      </c>
      <c r="H393" s="20" t="n">
        <v>24</v>
      </c>
      <c r="I393" s="22" t="n">
        <v>13863.22</v>
      </c>
      <c r="J393" s="23" t="n">
        <v>0.1</v>
      </c>
      <c r="K393" s="24" t="n">
        <v>299445.55</v>
      </c>
      <c r="L393" s="24" t="n">
        <v>237136.11</v>
      </c>
      <c r="M393" s="24" t="n">
        <v>62309.44</v>
      </c>
    </row>
    <row r="394">
      <c r="A394" s="20" t="inlineStr">
        <is>
          <t>ORD-20240393</t>
        </is>
      </c>
      <c r="B394" s="21" t="n">
        <v>45548</v>
      </c>
      <c r="C394" s="20" t="inlineStr">
        <is>
          <t>West</t>
        </is>
      </c>
      <c r="D394" s="20" t="inlineStr">
        <is>
          <t>Apparel</t>
        </is>
      </c>
      <c r="E394" s="20" t="inlineStr">
        <is>
          <t>Safety Vest</t>
        </is>
      </c>
      <c r="F394" s="20" t="inlineStr">
        <is>
          <t>Government</t>
        </is>
      </c>
      <c r="G394" s="20" t="inlineStr">
        <is>
          <t>State Health UP</t>
        </is>
      </c>
      <c r="H394" s="20" t="n">
        <v>17</v>
      </c>
      <c r="I394" s="22" t="n">
        <v>1609.79</v>
      </c>
      <c r="J394" s="23" t="n">
        <v>0.15</v>
      </c>
      <c r="K394" s="24" t="n">
        <v>23261.47</v>
      </c>
      <c r="L394" s="24" t="n">
        <v>15731.55</v>
      </c>
      <c r="M394" s="24" t="n">
        <v>7529.92</v>
      </c>
    </row>
    <row r="395">
      <c r="A395" s="20" t="inlineStr">
        <is>
          <t>ORD-20240394</t>
        </is>
      </c>
      <c r="B395" s="21" t="n">
        <v>45548</v>
      </c>
      <c r="C395" s="20" t="inlineStr">
        <is>
          <t>North</t>
        </is>
      </c>
      <c r="D395" s="20" t="inlineStr">
        <is>
          <t>Electronics</t>
        </is>
      </c>
      <c r="E395" s="20" t="inlineStr">
        <is>
          <t>Laptop Pro 14</t>
        </is>
      </c>
      <c r="F395" s="20" t="inlineStr">
        <is>
          <t>Consumer</t>
        </is>
      </c>
      <c r="G395" s="20" t="inlineStr">
        <is>
          <t>Walk-in Delhi</t>
        </is>
      </c>
      <c r="H395" s="20" t="n">
        <v>18</v>
      </c>
      <c r="I395" s="22" t="n">
        <v>17665.82</v>
      </c>
      <c r="J395" s="23" t="n">
        <v>0.05</v>
      </c>
      <c r="K395" s="24" t="n">
        <v>302085.52</v>
      </c>
      <c r="L395" s="24" t="n">
        <v>224266.6</v>
      </c>
      <c r="M395" s="24" t="n">
        <v>77818.92</v>
      </c>
    </row>
    <row r="396">
      <c r="A396" s="20" t="inlineStr">
        <is>
          <t>ORD-20240395</t>
        </is>
      </c>
      <c r="B396" s="21" t="n">
        <v>45551</v>
      </c>
      <c r="C396" s="20" t="inlineStr">
        <is>
          <t>Central</t>
        </is>
      </c>
      <c r="D396" s="20" t="inlineStr">
        <is>
          <t>Electronics</t>
        </is>
      </c>
      <c r="E396" s="20" t="inlineStr">
        <is>
          <t>Webcam HD</t>
        </is>
      </c>
      <c r="F396" s="20" t="inlineStr">
        <is>
          <t>Enterprise</t>
        </is>
      </c>
      <c r="G396" s="20" t="inlineStr">
        <is>
          <t>HCL Services</t>
        </is>
      </c>
      <c r="H396" s="20" t="n">
        <v>16</v>
      </c>
      <c r="I396" s="22" t="n">
        <v>4465.6</v>
      </c>
      <c r="J396" s="23" t="n">
        <v>0.12</v>
      </c>
      <c r="K396" s="24" t="n">
        <v>62875.65</v>
      </c>
      <c r="L396" s="24" t="n">
        <v>55419.1</v>
      </c>
      <c r="M396" s="24" t="n">
        <v>7456.55</v>
      </c>
    </row>
    <row r="397">
      <c r="A397" s="20" t="inlineStr">
        <is>
          <t>ORD-20240396</t>
        </is>
      </c>
      <c r="B397" s="21" t="n">
        <v>45551</v>
      </c>
      <c r="C397" s="20" t="inlineStr">
        <is>
          <t>South</t>
        </is>
      </c>
      <c r="D397" s="20" t="inlineStr">
        <is>
          <t>Apparel</t>
        </is>
      </c>
      <c r="E397" s="20" t="inlineStr">
        <is>
          <t>Polo Shirt</t>
        </is>
      </c>
      <c r="F397" s="20" t="inlineStr">
        <is>
          <t>Enterprise</t>
        </is>
      </c>
      <c r="G397" s="20" t="inlineStr">
        <is>
          <t>Infosys Ltd</t>
        </is>
      </c>
      <c r="H397" s="20" t="n">
        <v>22</v>
      </c>
      <c r="I397" s="22" t="n">
        <v>2712.35</v>
      </c>
      <c r="J397" s="23" t="n">
        <v>0</v>
      </c>
      <c r="K397" s="24" t="n">
        <v>59671.7</v>
      </c>
      <c r="L397" s="24" t="n">
        <v>39257.35</v>
      </c>
      <c r="M397" s="24" t="n">
        <v>20414.35</v>
      </c>
    </row>
    <row r="398">
      <c r="A398" s="20" t="inlineStr">
        <is>
          <t>ORD-20240397</t>
        </is>
      </c>
      <c r="B398" s="21" t="n">
        <v>45552</v>
      </c>
      <c r="C398" s="20" t="inlineStr">
        <is>
          <t>Central</t>
        </is>
      </c>
      <c r="D398" s="20" t="inlineStr">
        <is>
          <t>Office Supplies</t>
        </is>
      </c>
      <c r="E398" s="20" t="inlineStr">
        <is>
          <t>Notebook Set</t>
        </is>
      </c>
      <c r="F398" s="20" t="inlineStr">
        <is>
          <t>Enterprise</t>
        </is>
      </c>
      <c r="G398" s="20" t="inlineStr">
        <is>
          <t>HCL Services</t>
        </is>
      </c>
      <c r="H398" s="20" t="n">
        <v>4</v>
      </c>
      <c r="I398" s="22" t="n">
        <v>2432.37</v>
      </c>
      <c r="J398" s="23" t="n">
        <v>0</v>
      </c>
      <c r="K398" s="24" t="n">
        <v>9729.48</v>
      </c>
      <c r="L398" s="24" t="n">
        <v>5833.38</v>
      </c>
      <c r="M398" s="24" t="n">
        <v>3896.1</v>
      </c>
    </row>
    <row r="399">
      <c r="A399" s="20" t="inlineStr">
        <is>
          <t>ORD-20240398</t>
        </is>
      </c>
      <c r="B399" s="21" t="n">
        <v>45553</v>
      </c>
      <c r="C399" s="20" t="inlineStr">
        <is>
          <t>South</t>
        </is>
      </c>
      <c r="D399" s="20" t="inlineStr">
        <is>
          <t>Electronics</t>
        </is>
      </c>
      <c r="E399" s="20" t="inlineStr">
        <is>
          <t>Webcam HD</t>
        </is>
      </c>
      <c r="F399" s="20" t="inlineStr">
        <is>
          <t>Government</t>
        </is>
      </c>
      <c r="G399" s="20" t="inlineStr">
        <is>
          <t>State Health UP</t>
        </is>
      </c>
      <c r="H399" s="20" t="n">
        <v>1</v>
      </c>
      <c r="I399" s="22" t="n">
        <v>77404.24000000001</v>
      </c>
      <c r="J399" s="23" t="n">
        <v>0.12</v>
      </c>
      <c r="K399" s="24" t="n">
        <v>68115.73</v>
      </c>
      <c r="L399" s="24" t="n">
        <v>59084.72</v>
      </c>
      <c r="M399" s="24" t="n">
        <v>9031.01</v>
      </c>
    </row>
    <row r="400">
      <c r="A400" s="20" t="inlineStr">
        <is>
          <t>ORD-20240399</t>
        </is>
      </c>
      <c r="B400" s="21" t="n">
        <v>45553</v>
      </c>
      <c r="C400" s="20" t="inlineStr">
        <is>
          <t>East</t>
        </is>
      </c>
      <c r="D400" s="20" t="inlineStr">
        <is>
          <t>Office Supplies</t>
        </is>
      </c>
      <c r="E400" s="20" t="inlineStr">
        <is>
          <t>Whiteboard Kit</t>
        </is>
      </c>
      <c r="F400" s="20" t="inlineStr">
        <is>
          <t>Enterprise</t>
        </is>
      </c>
      <c r="G400" s="20" t="inlineStr">
        <is>
          <t>Infosys Ltd</t>
        </is>
      </c>
      <c r="H400" s="20" t="n">
        <v>4</v>
      </c>
      <c r="I400" s="22" t="n">
        <v>1919.14</v>
      </c>
      <c r="J400" s="23" t="n">
        <v>0.05</v>
      </c>
      <c r="K400" s="24" t="n">
        <v>7292.73</v>
      </c>
      <c r="L400" s="24" t="n">
        <v>4476.42</v>
      </c>
      <c r="M400" s="24" t="n">
        <v>2816.31</v>
      </c>
    </row>
    <row r="401">
      <c r="A401" s="20" t="inlineStr">
        <is>
          <t>ORD-20240400</t>
        </is>
      </c>
      <c r="B401" s="21" t="n">
        <v>45554</v>
      </c>
      <c r="C401" s="20" t="inlineStr">
        <is>
          <t>South</t>
        </is>
      </c>
      <c r="D401" s="20" t="inlineStr">
        <is>
          <t>Home &amp; Kitchen</t>
        </is>
      </c>
      <c r="E401" s="20" t="inlineStr">
        <is>
          <t>Coffee Maker</t>
        </is>
      </c>
      <c r="F401" s="20" t="inlineStr">
        <is>
          <t>SMB</t>
        </is>
      </c>
      <c r="G401" s="20" t="inlineStr">
        <is>
          <t>GreenFarm Agro</t>
        </is>
      </c>
      <c r="H401" s="20" t="n">
        <v>22</v>
      </c>
      <c r="I401" s="22" t="n">
        <v>4087.63</v>
      </c>
      <c r="J401" s="23" t="n">
        <v>0.05</v>
      </c>
      <c r="K401" s="24" t="n">
        <v>85431.47</v>
      </c>
      <c r="L401" s="24" t="n">
        <v>59078.81</v>
      </c>
      <c r="M401" s="24" t="n">
        <v>26352.66</v>
      </c>
    </row>
    <row r="402">
      <c r="A402" s="20" t="inlineStr">
        <is>
          <t>ORD-20240401</t>
        </is>
      </c>
      <c r="B402" s="21" t="n">
        <v>45555</v>
      </c>
      <c r="C402" s="20" t="inlineStr">
        <is>
          <t>West</t>
        </is>
      </c>
      <c r="D402" s="20" t="inlineStr">
        <is>
          <t>Apparel</t>
        </is>
      </c>
      <c r="E402" s="20" t="inlineStr">
        <is>
          <t>Polo Shirt</t>
        </is>
      </c>
      <c r="F402" s="20" t="inlineStr">
        <is>
          <t>Consumer</t>
        </is>
      </c>
      <c r="G402" s="20" t="inlineStr">
        <is>
          <t>Online Guest</t>
        </is>
      </c>
      <c r="H402" s="20" t="n">
        <v>12</v>
      </c>
      <c r="I402" s="22" t="n">
        <v>1992.44</v>
      </c>
      <c r="J402" s="23" t="n">
        <v>0.2</v>
      </c>
      <c r="K402" s="24" t="n">
        <v>19127.42</v>
      </c>
      <c r="L402" s="24" t="n">
        <v>18274.44</v>
      </c>
      <c r="M402" s="24" t="n">
        <v>852.98</v>
      </c>
    </row>
    <row r="403">
      <c r="A403" s="20" t="inlineStr">
        <is>
          <t>ORD-20240402</t>
        </is>
      </c>
      <c r="B403" s="21" t="n">
        <v>45556</v>
      </c>
      <c r="C403" s="20" t="inlineStr">
        <is>
          <t>West</t>
        </is>
      </c>
      <c r="D403" s="20" t="inlineStr">
        <is>
          <t>Furniture</t>
        </is>
      </c>
      <c r="E403" s="20" t="inlineStr">
        <is>
          <t>Ergo Chair</t>
        </is>
      </c>
      <c r="F403" s="20" t="inlineStr">
        <is>
          <t>Enterprise</t>
        </is>
      </c>
      <c r="G403" s="20" t="inlineStr">
        <is>
          <t>L&amp;T Infotech</t>
        </is>
      </c>
      <c r="H403" s="20" t="n">
        <v>14</v>
      </c>
      <c r="I403" s="22" t="n">
        <v>11081.57</v>
      </c>
      <c r="J403" s="23" t="n">
        <v>0</v>
      </c>
      <c r="K403" s="24" t="n">
        <v>155141.98</v>
      </c>
      <c r="L403" s="24" t="n">
        <v>115091.28</v>
      </c>
      <c r="M403" s="24" t="n">
        <v>40050.7</v>
      </c>
    </row>
    <row r="404">
      <c r="A404" s="20" t="inlineStr">
        <is>
          <t>ORD-20240403</t>
        </is>
      </c>
      <c r="B404" s="21" t="n">
        <v>45556</v>
      </c>
      <c r="C404" s="20" t="inlineStr">
        <is>
          <t>East</t>
        </is>
      </c>
      <c r="D404" s="20" t="inlineStr">
        <is>
          <t>Office Supplies</t>
        </is>
      </c>
      <c r="E404" s="20" t="inlineStr">
        <is>
          <t>Notebook Set</t>
        </is>
      </c>
      <c r="F404" s="20" t="inlineStr">
        <is>
          <t>SMB</t>
        </is>
      </c>
      <c r="G404" s="20" t="inlineStr">
        <is>
          <t>SwiftPrint</t>
        </is>
      </c>
      <c r="H404" s="20" t="n">
        <v>18</v>
      </c>
      <c r="I404" s="22" t="n">
        <v>674.92</v>
      </c>
      <c r="J404" s="23" t="n">
        <v>0</v>
      </c>
      <c r="K404" s="24" t="n">
        <v>12148.56</v>
      </c>
      <c r="L404" s="24" t="n">
        <v>7997.15</v>
      </c>
      <c r="M404" s="24" t="n">
        <v>4151.41</v>
      </c>
    </row>
    <row r="405">
      <c r="A405" s="20" t="inlineStr">
        <is>
          <t>ORD-20240404</t>
        </is>
      </c>
      <c r="B405" s="21" t="n">
        <v>45556</v>
      </c>
      <c r="C405" s="20" t="inlineStr">
        <is>
          <t>East</t>
        </is>
      </c>
      <c r="D405" s="20" t="inlineStr">
        <is>
          <t>Electronics</t>
        </is>
      </c>
      <c r="E405" s="20" t="inlineStr">
        <is>
          <t>Laptop Pro 14</t>
        </is>
      </c>
      <c r="F405" s="20" t="inlineStr">
        <is>
          <t>Government</t>
        </is>
      </c>
      <c r="G405" s="20" t="inlineStr">
        <is>
          <t>Delhi NDMC</t>
        </is>
      </c>
      <c r="H405" s="20" t="n">
        <v>20</v>
      </c>
      <c r="I405" s="22" t="n">
        <v>19887.32</v>
      </c>
      <c r="J405" s="23" t="n">
        <v>0.2</v>
      </c>
      <c r="K405" s="24" t="n">
        <v>318197.12</v>
      </c>
      <c r="L405" s="24" t="n">
        <v>239261.16</v>
      </c>
      <c r="M405" s="24" t="n">
        <v>78935.96000000001</v>
      </c>
    </row>
    <row r="406">
      <c r="A406" s="20" t="inlineStr">
        <is>
          <t>ORD-20240405</t>
        </is>
      </c>
      <c r="B406" s="21" t="n">
        <v>45556</v>
      </c>
      <c r="C406" s="20" t="inlineStr">
        <is>
          <t>North</t>
        </is>
      </c>
      <c r="D406" s="20" t="inlineStr">
        <is>
          <t>Home &amp; Kitchen</t>
        </is>
      </c>
      <c r="E406" s="20" t="inlineStr">
        <is>
          <t>Coffee Maker</t>
        </is>
      </c>
      <c r="F406" s="20" t="inlineStr">
        <is>
          <t>Government</t>
        </is>
      </c>
      <c r="G406" s="20" t="inlineStr">
        <is>
          <t>State Health UP</t>
        </is>
      </c>
      <c r="H406" s="20" t="n">
        <v>22</v>
      </c>
      <c r="I406" s="22" t="n">
        <v>26602.48</v>
      </c>
      <c r="J406" s="23" t="n">
        <v>0.15</v>
      </c>
      <c r="K406" s="24" t="n">
        <v>497466.38</v>
      </c>
      <c r="L406" s="24" t="n">
        <v>396484.13</v>
      </c>
      <c r="M406" s="24" t="n">
        <v>100982.25</v>
      </c>
    </row>
    <row r="407">
      <c r="A407" s="20" t="inlineStr">
        <is>
          <t>ORD-20240406</t>
        </is>
      </c>
      <c r="B407" s="21" t="n">
        <v>45558</v>
      </c>
      <c r="C407" s="20" t="inlineStr">
        <is>
          <t>West</t>
        </is>
      </c>
      <c r="D407" s="20" t="inlineStr">
        <is>
          <t>Home &amp; Kitchen</t>
        </is>
      </c>
      <c r="E407" s="20" t="inlineStr">
        <is>
          <t>Mixer Grinder</t>
        </is>
      </c>
      <c r="F407" s="20" t="inlineStr">
        <is>
          <t>Government</t>
        </is>
      </c>
      <c r="G407" s="20" t="inlineStr">
        <is>
          <t>Railways Zone W</t>
        </is>
      </c>
      <c r="H407" s="20" t="n">
        <v>19</v>
      </c>
      <c r="I407" s="22" t="n">
        <v>4561.9</v>
      </c>
      <c r="J407" s="23" t="n">
        <v>0.05</v>
      </c>
      <c r="K407" s="24" t="n">
        <v>82342.28999999999</v>
      </c>
      <c r="L407" s="24" t="n">
        <v>51095.52</v>
      </c>
      <c r="M407" s="24" t="n">
        <v>31246.77</v>
      </c>
    </row>
    <row r="408">
      <c r="A408" s="20" t="inlineStr">
        <is>
          <t>ORD-20240407</t>
        </is>
      </c>
      <c r="B408" s="21" t="n">
        <v>45558</v>
      </c>
      <c r="C408" s="20" t="inlineStr">
        <is>
          <t>West</t>
        </is>
      </c>
      <c r="D408" s="20" t="inlineStr">
        <is>
          <t>Furniture</t>
        </is>
      </c>
      <c r="E408" s="20" t="inlineStr">
        <is>
          <t>Filing Cabinet</t>
        </is>
      </c>
      <c r="F408" s="20" t="inlineStr">
        <is>
          <t>Enterprise</t>
        </is>
      </c>
      <c r="G408" s="20" t="inlineStr">
        <is>
          <t>TCS Digital</t>
        </is>
      </c>
      <c r="H408" s="20" t="n">
        <v>5</v>
      </c>
      <c r="I408" s="22" t="n">
        <v>4819.1</v>
      </c>
      <c r="J408" s="23" t="n">
        <v>0</v>
      </c>
      <c r="K408" s="24" t="n">
        <v>24095.5</v>
      </c>
      <c r="L408" s="24" t="n">
        <v>13451.27</v>
      </c>
      <c r="M408" s="24" t="n">
        <v>10644.23</v>
      </c>
    </row>
    <row r="409">
      <c r="A409" s="20" t="inlineStr">
        <is>
          <t>ORD-20240408</t>
        </is>
      </c>
      <c r="B409" s="21" t="n">
        <v>45559</v>
      </c>
      <c r="C409" s="20" t="inlineStr">
        <is>
          <t>Central</t>
        </is>
      </c>
      <c r="D409" s="20" t="inlineStr">
        <is>
          <t>Office Supplies</t>
        </is>
      </c>
      <c r="E409" s="20" t="inlineStr">
        <is>
          <t>Stapler Heavy</t>
        </is>
      </c>
      <c r="F409" s="20" t="inlineStr">
        <is>
          <t>Government</t>
        </is>
      </c>
      <c r="G409" s="20" t="inlineStr">
        <is>
          <t>Municipal Corp Hyd</t>
        </is>
      </c>
      <c r="H409" s="20" t="n">
        <v>11</v>
      </c>
      <c r="I409" s="22" t="n">
        <v>3290.37</v>
      </c>
      <c r="J409" s="23" t="n">
        <v>0</v>
      </c>
      <c r="K409" s="24" t="n">
        <v>36194.07</v>
      </c>
      <c r="L409" s="24" t="n">
        <v>27207.76</v>
      </c>
      <c r="M409" s="24" t="n">
        <v>8986.309999999999</v>
      </c>
    </row>
    <row r="410">
      <c r="A410" s="20" t="inlineStr">
        <is>
          <t>ORD-20240409</t>
        </is>
      </c>
      <c r="B410" s="21" t="n">
        <v>45560</v>
      </c>
      <c r="C410" s="20" t="inlineStr">
        <is>
          <t>East</t>
        </is>
      </c>
      <c r="D410" s="20" t="inlineStr">
        <is>
          <t>Home &amp; Kitchen</t>
        </is>
      </c>
      <c r="E410" s="20" t="inlineStr">
        <is>
          <t>Coffee Maker</t>
        </is>
      </c>
      <c r="F410" s="20" t="inlineStr">
        <is>
          <t>SMB</t>
        </is>
      </c>
      <c r="G410" s="20" t="inlineStr">
        <is>
          <t>GreenFarm Agro</t>
        </is>
      </c>
      <c r="H410" s="20" t="n">
        <v>6</v>
      </c>
      <c r="I410" s="22" t="n">
        <v>12029.56</v>
      </c>
      <c r="J410" s="23" t="n">
        <v>0</v>
      </c>
      <c r="K410" s="24" t="n">
        <v>72177.36</v>
      </c>
      <c r="L410" s="24" t="n">
        <v>40175.2</v>
      </c>
      <c r="M410" s="24" t="n">
        <v>32002.16</v>
      </c>
    </row>
    <row r="411">
      <c r="A411" s="20" t="inlineStr">
        <is>
          <t>ORD-20240410</t>
        </is>
      </c>
      <c r="B411" s="21" t="n">
        <v>45561</v>
      </c>
      <c r="C411" s="20" t="inlineStr">
        <is>
          <t>South</t>
        </is>
      </c>
      <c r="D411" s="20" t="inlineStr">
        <is>
          <t>Electronics</t>
        </is>
      </c>
      <c r="E411" s="20" t="inlineStr">
        <is>
          <t>Keyboard Mech</t>
        </is>
      </c>
      <c r="F411" s="20" t="inlineStr">
        <is>
          <t>Government</t>
        </is>
      </c>
      <c r="G411" s="20" t="inlineStr">
        <is>
          <t>Municipal Corp Hyd</t>
        </is>
      </c>
      <c r="H411" s="20" t="n">
        <v>4</v>
      </c>
      <c r="I411" s="22" t="n">
        <v>28201.73</v>
      </c>
      <c r="J411" s="23" t="n">
        <v>0.05</v>
      </c>
      <c r="K411" s="24" t="n">
        <v>107166.57</v>
      </c>
      <c r="L411" s="24" t="n">
        <v>66899.59</v>
      </c>
      <c r="M411" s="24" t="n">
        <v>40266.98</v>
      </c>
    </row>
    <row r="412">
      <c r="A412" s="20" t="inlineStr">
        <is>
          <t>ORD-20240411</t>
        </is>
      </c>
      <c r="B412" s="21" t="n">
        <v>45561</v>
      </c>
      <c r="C412" s="20" t="inlineStr">
        <is>
          <t>South</t>
        </is>
      </c>
      <c r="D412" s="20" t="inlineStr">
        <is>
          <t>Electronics</t>
        </is>
      </c>
      <c r="E412" s="20" t="inlineStr">
        <is>
          <t>Monitor 27in</t>
        </is>
      </c>
      <c r="F412" s="20" t="inlineStr">
        <is>
          <t>SMB</t>
        </is>
      </c>
      <c r="G412" s="20" t="inlineStr">
        <is>
          <t>SwiftPrint</t>
        </is>
      </c>
      <c r="H412" s="20" t="n">
        <v>17</v>
      </c>
      <c r="I412" s="22" t="n">
        <v>16533.63</v>
      </c>
      <c r="J412" s="23" t="n">
        <v>0.05</v>
      </c>
      <c r="K412" s="24" t="n">
        <v>267018.12</v>
      </c>
      <c r="L412" s="24" t="n">
        <v>204155.69</v>
      </c>
      <c r="M412" s="24" t="n">
        <v>62862.43</v>
      </c>
    </row>
    <row r="413">
      <c r="A413" s="20" t="inlineStr">
        <is>
          <t>ORD-20240412</t>
        </is>
      </c>
      <c r="B413" s="21" t="n">
        <v>45561</v>
      </c>
      <c r="C413" s="20" t="inlineStr">
        <is>
          <t>Central</t>
        </is>
      </c>
      <c r="D413" s="20" t="inlineStr">
        <is>
          <t>Office Supplies</t>
        </is>
      </c>
      <c r="E413" s="20" t="inlineStr">
        <is>
          <t>Whiteboard Kit</t>
        </is>
      </c>
      <c r="F413" s="20" t="inlineStr">
        <is>
          <t>Enterprise</t>
        </is>
      </c>
      <c r="G413" s="20" t="inlineStr">
        <is>
          <t>Tech Mahindra</t>
        </is>
      </c>
      <c r="H413" s="20" t="n">
        <v>23</v>
      </c>
      <c r="I413" s="22" t="n">
        <v>3126.74</v>
      </c>
      <c r="J413" s="23" t="n">
        <v>0.15</v>
      </c>
      <c r="K413" s="24" t="n">
        <v>61127.77</v>
      </c>
      <c r="L413" s="24" t="n">
        <v>55050.46</v>
      </c>
      <c r="M413" s="24" t="n">
        <v>6077.31</v>
      </c>
    </row>
    <row r="414">
      <c r="A414" s="20" t="inlineStr">
        <is>
          <t>ORD-20240413</t>
        </is>
      </c>
      <c r="B414" s="21" t="n">
        <v>45562</v>
      </c>
      <c r="C414" s="20" t="inlineStr">
        <is>
          <t>Central</t>
        </is>
      </c>
      <c r="D414" s="20" t="inlineStr">
        <is>
          <t>Apparel</t>
        </is>
      </c>
      <c r="E414" s="20" t="inlineStr">
        <is>
          <t>Safety Vest</t>
        </is>
      </c>
      <c r="F414" s="20" t="inlineStr">
        <is>
          <t>Enterprise</t>
        </is>
      </c>
      <c r="G414" s="20" t="inlineStr">
        <is>
          <t>Tech Mahindra</t>
        </is>
      </c>
      <c r="H414" s="20" t="n">
        <v>24</v>
      </c>
      <c r="I414" s="22" t="n">
        <v>765.4</v>
      </c>
      <c r="J414" s="23" t="n">
        <v>0.05</v>
      </c>
      <c r="K414" s="24" t="n">
        <v>17451.12</v>
      </c>
      <c r="L414" s="24" t="n">
        <v>12746.09</v>
      </c>
      <c r="M414" s="24" t="n">
        <v>4705.03</v>
      </c>
    </row>
    <row r="415">
      <c r="A415" s="20" t="inlineStr">
        <is>
          <t>ORD-20240414</t>
        </is>
      </c>
      <c r="B415" s="21" t="n">
        <v>45562</v>
      </c>
      <c r="C415" s="20" t="inlineStr">
        <is>
          <t>West</t>
        </is>
      </c>
      <c r="D415" s="20" t="inlineStr">
        <is>
          <t>Furniture</t>
        </is>
      </c>
      <c r="E415" s="20" t="inlineStr">
        <is>
          <t>Bookshelf Oak</t>
        </is>
      </c>
      <c r="F415" s="20" t="inlineStr">
        <is>
          <t>SMB</t>
        </is>
      </c>
      <c r="G415" s="20" t="inlineStr">
        <is>
          <t>BrightRetail Co</t>
        </is>
      </c>
      <c r="H415" s="20" t="n">
        <v>22</v>
      </c>
      <c r="I415" s="22" t="n">
        <v>22670.53</v>
      </c>
      <c r="J415" s="23" t="n">
        <v>0.1</v>
      </c>
      <c r="K415" s="24" t="n">
        <v>448876.49</v>
      </c>
      <c r="L415" s="24" t="n">
        <v>276702.52</v>
      </c>
      <c r="M415" s="24" t="n">
        <v>172173.97</v>
      </c>
    </row>
    <row r="416">
      <c r="A416" s="20" t="inlineStr">
        <is>
          <t>ORD-20240415</t>
        </is>
      </c>
      <c r="B416" s="21" t="n">
        <v>45563</v>
      </c>
      <c r="C416" s="20" t="inlineStr">
        <is>
          <t>East</t>
        </is>
      </c>
      <c r="D416" s="20" t="inlineStr">
        <is>
          <t>Electronics</t>
        </is>
      </c>
      <c r="E416" s="20" t="inlineStr">
        <is>
          <t>Monitor 27in</t>
        </is>
      </c>
      <c r="F416" s="20" t="inlineStr">
        <is>
          <t>Consumer</t>
        </is>
      </c>
      <c r="G416" s="20" t="inlineStr">
        <is>
          <t>Retail Counter</t>
        </is>
      </c>
      <c r="H416" s="20" t="n">
        <v>24</v>
      </c>
      <c r="I416" s="22" t="n">
        <v>39110.84</v>
      </c>
      <c r="J416" s="23" t="n">
        <v>0.15</v>
      </c>
      <c r="K416" s="24" t="n">
        <v>797861.14</v>
      </c>
      <c r="L416" s="24" t="n">
        <v>650938.66</v>
      </c>
      <c r="M416" s="24" t="n">
        <v>146922.48</v>
      </c>
    </row>
    <row r="417">
      <c r="A417" s="20" t="inlineStr">
        <is>
          <t>ORD-20240416</t>
        </is>
      </c>
      <c r="B417" s="21" t="n">
        <v>45563</v>
      </c>
      <c r="C417" s="20" t="inlineStr">
        <is>
          <t>East</t>
        </is>
      </c>
      <c r="D417" s="20" t="inlineStr">
        <is>
          <t>Apparel</t>
        </is>
      </c>
      <c r="E417" s="20" t="inlineStr">
        <is>
          <t>Cap Embroidered</t>
        </is>
      </c>
      <c r="F417" s="20" t="inlineStr">
        <is>
          <t>Government</t>
        </is>
      </c>
      <c r="G417" s="20" t="inlineStr">
        <is>
          <t>Railways Zone W</t>
        </is>
      </c>
      <c r="H417" s="20" t="n">
        <v>9</v>
      </c>
      <c r="I417" s="22" t="n">
        <v>2096.14</v>
      </c>
      <c r="J417" s="23" t="n">
        <v>0</v>
      </c>
      <c r="K417" s="24" t="n">
        <v>18865.26</v>
      </c>
      <c r="L417" s="24" t="n">
        <v>12292.38</v>
      </c>
      <c r="M417" s="24" t="n">
        <v>6572.88</v>
      </c>
    </row>
    <row r="418">
      <c r="A418" s="20" t="inlineStr">
        <is>
          <t>ORD-20240417</t>
        </is>
      </c>
      <c r="B418" s="21" t="n">
        <v>45564</v>
      </c>
      <c r="C418" s="20" t="inlineStr">
        <is>
          <t>North</t>
        </is>
      </c>
      <c r="D418" s="20" t="inlineStr">
        <is>
          <t>Electronics</t>
        </is>
      </c>
      <c r="E418" s="20" t="inlineStr">
        <is>
          <t>USB-C Hub</t>
        </is>
      </c>
      <c r="F418" s="20" t="inlineStr">
        <is>
          <t>SMB</t>
        </is>
      </c>
      <c r="G418" s="20" t="inlineStr">
        <is>
          <t>GreenFarm Agro</t>
        </is>
      </c>
      <c r="H418" s="20" t="n">
        <v>16</v>
      </c>
      <c r="I418" s="22" t="n">
        <v>57450.15</v>
      </c>
      <c r="J418" s="23" t="n">
        <v>0</v>
      </c>
      <c r="K418" s="24" t="n">
        <v>919202.4</v>
      </c>
      <c r="L418" s="24" t="n">
        <v>507571.17</v>
      </c>
      <c r="M418" s="24" t="n">
        <v>411631.23</v>
      </c>
    </row>
    <row r="419">
      <c r="A419" s="20" t="inlineStr">
        <is>
          <t>ORD-20240418</t>
        </is>
      </c>
      <c r="B419" s="21" t="n">
        <v>45565</v>
      </c>
      <c r="C419" s="20" t="inlineStr">
        <is>
          <t>Central</t>
        </is>
      </c>
      <c r="D419" s="20" t="inlineStr">
        <is>
          <t>Electronics</t>
        </is>
      </c>
      <c r="E419" s="20" t="inlineStr">
        <is>
          <t>Laptop Pro 14</t>
        </is>
      </c>
      <c r="F419" s="20" t="inlineStr">
        <is>
          <t>SMB</t>
        </is>
      </c>
      <c r="G419" s="20" t="inlineStr">
        <is>
          <t>Nova Logistics</t>
        </is>
      </c>
      <c r="H419" s="20" t="n">
        <v>7</v>
      </c>
      <c r="I419" s="22" t="n">
        <v>52985.55</v>
      </c>
      <c r="J419" s="23" t="n">
        <v>0.05</v>
      </c>
      <c r="K419" s="24" t="n">
        <v>352353.91</v>
      </c>
      <c r="L419" s="24" t="n">
        <v>273537.65</v>
      </c>
      <c r="M419" s="24" t="n">
        <v>78816.25999999999</v>
      </c>
    </row>
    <row r="420">
      <c r="A420" s="20" t="inlineStr">
        <is>
          <t>ORD-20240419</t>
        </is>
      </c>
      <c r="B420" s="21" t="n">
        <v>45565</v>
      </c>
      <c r="C420" s="20" t="inlineStr">
        <is>
          <t>South</t>
        </is>
      </c>
      <c r="D420" s="20" t="inlineStr">
        <is>
          <t>Home &amp; Kitchen</t>
        </is>
      </c>
      <c r="E420" s="20" t="inlineStr">
        <is>
          <t>Water Purifier</t>
        </is>
      </c>
      <c r="F420" s="20" t="inlineStr">
        <is>
          <t>Consumer</t>
        </is>
      </c>
      <c r="G420" s="20" t="inlineStr">
        <is>
          <t>Online Guest</t>
        </is>
      </c>
      <c r="H420" s="20" t="n">
        <v>16</v>
      </c>
      <c r="I420" s="22" t="n">
        <v>5171.01</v>
      </c>
      <c r="J420" s="23" t="n">
        <v>0</v>
      </c>
      <c r="K420" s="24" t="n">
        <v>82736.16</v>
      </c>
      <c r="L420" s="24" t="n">
        <v>55847.82</v>
      </c>
      <c r="M420" s="24" t="n">
        <v>26888.34</v>
      </c>
    </row>
    <row r="421">
      <c r="A421" s="20" t="inlineStr">
        <is>
          <t>ORD-20240420</t>
        </is>
      </c>
      <c r="B421" s="21" t="n">
        <v>45567</v>
      </c>
      <c r="C421" s="20" t="inlineStr">
        <is>
          <t>Central</t>
        </is>
      </c>
      <c r="D421" s="20" t="inlineStr">
        <is>
          <t>Furniture</t>
        </is>
      </c>
      <c r="E421" s="20" t="inlineStr">
        <is>
          <t>Conference Table</t>
        </is>
      </c>
      <c r="F421" s="20" t="inlineStr">
        <is>
          <t>Enterprise</t>
        </is>
      </c>
      <c r="G421" s="20" t="inlineStr">
        <is>
          <t>Tech Mahindra</t>
        </is>
      </c>
      <c r="H421" s="20" t="n">
        <v>16</v>
      </c>
      <c r="I421" s="22" t="n">
        <v>38489.17</v>
      </c>
      <c r="J421" s="23" t="n">
        <v>0.05</v>
      </c>
      <c r="K421" s="24" t="n">
        <v>585035.38</v>
      </c>
      <c r="L421" s="24" t="n">
        <v>439570.89</v>
      </c>
      <c r="M421" s="24" t="n">
        <v>145464.49</v>
      </c>
    </row>
    <row r="422">
      <c r="A422" s="20" t="inlineStr">
        <is>
          <t>ORD-20240421</t>
        </is>
      </c>
      <c r="B422" s="21" t="n">
        <v>45567</v>
      </c>
      <c r="C422" s="20" t="inlineStr">
        <is>
          <t>South</t>
        </is>
      </c>
      <c r="D422" s="20" t="inlineStr">
        <is>
          <t>Electronics</t>
        </is>
      </c>
      <c r="E422" s="20" t="inlineStr">
        <is>
          <t>USB-C Hub</t>
        </is>
      </c>
      <c r="F422" s="20" t="inlineStr">
        <is>
          <t>Enterprise</t>
        </is>
      </c>
      <c r="G422" s="20" t="inlineStr">
        <is>
          <t>Infosys Ltd</t>
        </is>
      </c>
      <c r="H422" s="20" t="n">
        <v>15</v>
      </c>
      <c r="I422" s="22" t="n">
        <v>70744.87</v>
      </c>
      <c r="J422" s="23" t="n">
        <v>0.15</v>
      </c>
      <c r="K422" s="24" t="n">
        <v>901997.09</v>
      </c>
      <c r="L422" s="24" t="n">
        <v>694466.42</v>
      </c>
      <c r="M422" s="24" t="n">
        <v>207530.67</v>
      </c>
    </row>
    <row r="423">
      <c r="A423" s="20" t="inlineStr">
        <is>
          <t>ORD-20240422</t>
        </is>
      </c>
      <c r="B423" s="21" t="n">
        <v>45567</v>
      </c>
      <c r="C423" s="20" t="inlineStr">
        <is>
          <t>South</t>
        </is>
      </c>
      <c r="D423" s="20" t="inlineStr">
        <is>
          <t>Electronics</t>
        </is>
      </c>
      <c r="E423" s="20" t="inlineStr">
        <is>
          <t>Wireless Mouse</t>
        </is>
      </c>
      <c r="F423" s="20" t="inlineStr">
        <is>
          <t>SMB</t>
        </is>
      </c>
      <c r="G423" s="20" t="inlineStr">
        <is>
          <t>GreenFarm Agro</t>
        </is>
      </c>
      <c r="H423" s="20" t="n">
        <v>17</v>
      </c>
      <c r="I423" s="22" t="n">
        <v>64151.24</v>
      </c>
      <c r="J423" s="23" t="n">
        <v>0.12</v>
      </c>
      <c r="K423" s="24" t="n">
        <v>959702.55</v>
      </c>
      <c r="L423" s="24" t="n">
        <v>837942.6</v>
      </c>
      <c r="M423" s="24" t="n">
        <v>121759.95</v>
      </c>
    </row>
    <row r="424">
      <c r="A424" s="20" t="inlineStr">
        <is>
          <t>ORD-20240423</t>
        </is>
      </c>
      <c r="B424" s="21" t="n">
        <v>45567</v>
      </c>
      <c r="C424" s="20" t="inlineStr">
        <is>
          <t>East</t>
        </is>
      </c>
      <c r="D424" s="20" t="inlineStr">
        <is>
          <t>Apparel</t>
        </is>
      </c>
      <c r="E424" s="20" t="inlineStr">
        <is>
          <t>Hoodie Soft</t>
        </is>
      </c>
      <c r="F424" s="20" t="inlineStr">
        <is>
          <t>Government</t>
        </is>
      </c>
      <c r="G424" s="20" t="inlineStr">
        <is>
          <t>Delhi NDMC</t>
        </is>
      </c>
      <c r="H424" s="20" t="n">
        <v>4</v>
      </c>
      <c r="I424" s="22" t="n">
        <v>3289.05</v>
      </c>
      <c r="J424" s="23" t="n">
        <v>0.1</v>
      </c>
      <c r="K424" s="24" t="n">
        <v>11840.58</v>
      </c>
      <c r="L424" s="24" t="n">
        <v>9699.700000000001</v>
      </c>
      <c r="M424" s="24" t="n">
        <v>2140.88</v>
      </c>
    </row>
    <row r="425">
      <c r="A425" s="20" t="inlineStr">
        <is>
          <t>ORD-20240424</t>
        </is>
      </c>
      <c r="B425" s="21" t="n">
        <v>45567</v>
      </c>
      <c r="C425" s="20" t="inlineStr">
        <is>
          <t>West</t>
        </is>
      </c>
      <c r="D425" s="20" t="inlineStr">
        <is>
          <t>Furniture</t>
        </is>
      </c>
      <c r="E425" s="20" t="inlineStr">
        <is>
          <t>Bookshelf Oak</t>
        </is>
      </c>
      <c r="F425" s="20" t="inlineStr">
        <is>
          <t>Government</t>
        </is>
      </c>
      <c r="G425" s="20" t="inlineStr">
        <is>
          <t>Delhi NDMC</t>
        </is>
      </c>
      <c r="H425" s="20" t="n">
        <v>17</v>
      </c>
      <c r="I425" s="22" t="n">
        <v>20650.6</v>
      </c>
      <c r="J425" s="23" t="n">
        <v>0</v>
      </c>
      <c r="K425" s="24" t="n">
        <v>351060.2</v>
      </c>
      <c r="L425" s="24" t="n">
        <v>217652.65</v>
      </c>
      <c r="M425" s="24" t="n">
        <v>133407.55</v>
      </c>
    </row>
    <row r="426">
      <c r="A426" s="20" t="inlineStr">
        <is>
          <t>ORD-20240425</t>
        </is>
      </c>
      <c r="B426" s="21" t="n">
        <v>45567</v>
      </c>
      <c r="C426" s="20" t="inlineStr">
        <is>
          <t>West</t>
        </is>
      </c>
      <c r="D426" s="20" t="inlineStr">
        <is>
          <t>Electronics</t>
        </is>
      </c>
      <c r="E426" s="20" t="inlineStr">
        <is>
          <t>Keyboard Mech</t>
        </is>
      </c>
      <c r="F426" s="20" t="inlineStr">
        <is>
          <t>Consumer</t>
        </is>
      </c>
      <c r="G426" s="20" t="inlineStr">
        <is>
          <t>Retail Counter</t>
        </is>
      </c>
      <c r="H426" s="20" t="n">
        <v>18</v>
      </c>
      <c r="I426" s="22" t="n">
        <v>18158.59</v>
      </c>
      <c r="J426" s="23" t="n">
        <v>0.15</v>
      </c>
      <c r="K426" s="24" t="n">
        <v>277826.43</v>
      </c>
      <c r="L426" s="24" t="n">
        <v>196356.93</v>
      </c>
      <c r="M426" s="24" t="n">
        <v>81469.5</v>
      </c>
    </row>
    <row r="427">
      <c r="A427" s="20" t="inlineStr">
        <is>
          <t>ORD-20240426</t>
        </is>
      </c>
      <c r="B427" s="21" t="n">
        <v>45568</v>
      </c>
      <c r="C427" s="20" t="inlineStr">
        <is>
          <t>East</t>
        </is>
      </c>
      <c r="D427" s="20" t="inlineStr">
        <is>
          <t>Electronics</t>
        </is>
      </c>
      <c r="E427" s="20" t="inlineStr">
        <is>
          <t>Monitor 27in</t>
        </is>
      </c>
      <c r="F427" s="20" t="inlineStr">
        <is>
          <t>Government</t>
        </is>
      </c>
      <c r="G427" s="20" t="inlineStr">
        <is>
          <t>Municipal Corp Hyd</t>
        </is>
      </c>
      <c r="H427" s="20" t="n">
        <v>16</v>
      </c>
      <c r="I427" s="22" t="n">
        <v>29767.67</v>
      </c>
      <c r="J427" s="23" t="n">
        <v>0.2</v>
      </c>
      <c r="K427" s="24" t="n">
        <v>381026.18</v>
      </c>
      <c r="L427" s="24" t="n">
        <v>297185.66</v>
      </c>
      <c r="M427" s="24" t="n">
        <v>83840.52</v>
      </c>
    </row>
    <row r="428">
      <c r="A428" s="20" t="inlineStr">
        <is>
          <t>ORD-20240427</t>
        </is>
      </c>
      <c r="B428" s="21" t="n">
        <v>45568</v>
      </c>
      <c r="C428" s="20" t="inlineStr">
        <is>
          <t>East</t>
        </is>
      </c>
      <c r="D428" s="20" t="inlineStr">
        <is>
          <t>Office Supplies</t>
        </is>
      </c>
      <c r="E428" s="20" t="inlineStr">
        <is>
          <t>Whiteboard Kit</t>
        </is>
      </c>
      <c r="F428" s="20" t="inlineStr">
        <is>
          <t>Government</t>
        </is>
      </c>
      <c r="G428" s="20" t="inlineStr">
        <is>
          <t>MH Education Dept</t>
        </is>
      </c>
      <c r="H428" s="20" t="n">
        <v>19</v>
      </c>
      <c r="I428" s="22" t="n">
        <v>502.43</v>
      </c>
      <c r="J428" s="23" t="n">
        <v>0.05</v>
      </c>
      <c r="K428" s="24" t="n">
        <v>9068.860000000001</v>
      </c>
      <c r="L428" s="24" t="n">
        <v>7038.05</v>
      </c>
      <c r="M428" s="24" t="n">
        <v>2030.81</v>
      </c>
    </row>
    <row r="429">
      <c r="A429" s="20" t="inlineStr">
        <is>
          <t>ORD-20240428</t>
        </is>
      </c>
      <c r="B429" s="21" t="n">
        <v>45568</v>
      </c>
      <c r="C429" s="20" t="inlineStr">
        <is>
          <t>Central</t>
        </is>
      </c>
      <c r="D429" s="20" t="inlineStr">
        <is>
          <t>Furniture</t>
        </is>
      </c>
      <c r="E429" s="20" t="inlineStr">
        <is>
          <t>Ergo Chair</t>
        </is>
      </c>
      <c r="F429" s="20" t="inlineStr">
        <is>
          <t>SMB</t>
        </is>
      </c>
      <c r="G429" s="20" t="inlineStr">
        <is>
          <t>Pixel Studio</t>
        </is>
      </c>
      <c r="H429" s="20" t="n">
        <v>2</v>
      </c>
      <c r="I429" s="22" t="n">
        <v>29683.65</v>
      </c>
      <c r="J429" s="23" t="n">
        <v>0.05</v>
      </c>
      <c r="K429" s="24" t="n">
        <v>56398.93</v>
      </c>
      <c r="L429" s="24" t="n">
        <v>45313.1</v>
      </c>
      <c r="M429" s="24" t="n">
        <v>11085.83</v>
      </c>
    </row>
    <row r="430">
      <c r="A430" s="20" t="inlineStr">
        <is>
          <t>ORD-20240429</t>
        </is>
      </c>
      <c r="B430" s="21" t="n">
        <v>45569</v>
      </c>
      <c r="C430" s="20" t="inlineStr">
        <is>
          <t>Central</t>
        </is>
      </c>
      <c r="D430" s="20" t="inlineStr">
        <is>
          <t>Apparel</t>
        </is>
      </c>
      <c r="E430" s="20" t="inlineStr">
        <is>
          <t>Hoodie Soft</t>
        </is>
      </c>
      <c r="F430" s="20" t="inlineStr">
        <is>
          <t>Consumer</t>
        </is>
      </c>
      <c r="G430" s="20" t="inlineStr">
        <is>
          <t>App User North</t>
        </is>
      </c>
      <c r="H430" s="20" t="n">
        <v>24</v>
      </c>
      <c r="I430" s="22" t="n">
        <v>2885.83</v>
      </c>
      <c r="J430" s="23" t="n">
        <v>0.1</v>
      </c>
      <c r="K430" s="24" t="n">
        <v>62333.93</v>
      </c>
      <c r="L430" s="24" t="n">
        <v>49289.28</v>
      </c>
      <c r="M430" s="24" t="n">
        <v>13044.65</v>
      </c>
    </row>
    <row r="431">
      <c r="A431" s="20" t="inlineStr">
        <is>
          <t>ORD-20240430</t>
        </is>
      </c>
      <c r="B431" s="21" t="n">
        <v>45570</v>
      </c>
      <c r="C431" s="20" t="inlineStr">
        <is>
          <t>North</t>
        </is>
      </c>
      <c r="D431" s="20" t="inlineStr">
        <is>
          <t>Home &amp; Kitchen</t>
        </is>
      </c>
      <c r="E431" s="20" t="inlineStr">
        <is>
          <t>Mixer Grinder</t>
        </is>
      </c>
      <c r="F431" s="20" t="inlineStr">
        <is>
          <t>Enterprise</t>
        </is>
      </c>
      <c r="G431" s="20" t="inlineStr">
        <is>
          <t>TCS Digital</t>
        </is>
      </c>
      <c r="H431" s="20" t="n">
        <v>6</v>
      </c>
      <c r="I431" s="22" t="n">
        <v>21369.52</v>
      </c>
      <c r="J431" s="23" t="n">
        <v>0</v>
      </c>
      <c r="K431" s="24" t="n">
        <v>128217.12</v>
      </c>
      <c r="L431" s="24" t="n">
        <v>90394.71000000001</v>
      </c>
      <c r="M431" s="24" t="n">
        <v>37822.41</v>
      </c>
    </row>
    <row r="432">
      <c r="A432" s="20" t="inlineStr">
        <is>
          <t>ORD-20240431</t>
        </is>
      </c>
      <c r="B432" s="21" t="n">
        <v>45570</v>
      </c>
      <c r="C432" s="20" t="inlineStr">
        <is>
          <t>East</t>
        </is>
      </c>
      <c r="D432" s="20" t="inlineStr">
        <is>
          <t>Furniture</t>
        </is>
      </c>
      <c r="E432" s="20" t="inlineStr">
        <is>
          <t>Bookshelf Oak</t>
        </is>
      </c>
      <c r="F432" s="20" t="inlineStr">
        <is>
          <t>Consumer</t>
        </is>
      </c>
      <c r="G432" s="20" t="inlineStr">
        <is>
          <t>App User North</t>
        </is>
      </c>
      <c r="H432" s="20" t="n">
        <v>23</v>
      </c>
      <c r="I432" s="22" t="n">
        <v>37855.74</v>
      </c>
      <c r="J432" s="23" t="n">
        <v>0.1</v>
      </c>
      <c r="K432" s="24" t="n">
        <v>783613.8199999999</v>
      </c>
      <c r="L432" s="24" t="n">
        <v>542568.35</v>
      </c>
      <c r="M432" s="24" t="n">
        <v>241045.47</v>
      </c>
    </row>
    <row r="433">
      <c r="A433" s="20" t="inlineStr">
        <is>
          <t>ORD-20240432</t>
        </is>
      </c>
      <c r="B433" s="21" t="n">
        <v>45571</v>
      </c>
      <c r="C433" s="20" t="inlineStr">
        <is>
          <t>West</t>
        </is>
      </c>
      <c r="D433" s="20" t="inlineStr">
        <is>
          <t>Furniture</t>
        </is>
      </c>
      <c r="E433" s="20" t="inlineStr">
        <is>
          <t>Ergo Chair</t>
        </is>
      </c>
      <c r="F433" s="20" t="inlineStr">
        <is>
          <t>Enterprise</t>
        </is>
      </c>
      <c r="G433" s="20" t="inlineStr">
        <is>
          <t>L&amp;T Infotech</t>
        </is>
      </c>
      <c r="H433" s="20" t="n">
        <v>5</v>
      </c>
      <c r="I433" s="22" t="n">
        <v>23680.96</v>
      </c>
      <c r="J433" s="23" t="n">
        <v>0.05</v>
      </c>
      <c r="K433" s="24" t="n">
        <v>112484.56</v>
      </c>
      <c r="L433" s="24" t="n">
        <v>78980.8</v>
      </c>
      <c r="M433" s="24" t="n">
        <v>33503.76</v>
      </c>
    </row>
    <row r="434">
      <c r="A434" s="20" t="inlineStr">
        <is>
          <t>ORD-20240433</t>
        </is>
      </c>
      <c r="B434" s="21" t="n">
        <v>45571</v>
      </c>
      <c r="C434" s="20" t="inlineStr">
        <is>
          <t>South</t>
        </is>
      </c>
      <c r="D434" s="20" t="inlineStr">
        <is>
          <t>Office Supplies</t>
        </is>
      </c>
      <c r="E434" s="20" t="inlineStr">
        <is>
          <t>Whiteboard Kit</t>
        </is>
      </c>
      <c r="F434" s="20" t="inlineStr">
        <is>
          <t>SMB</t>
        </is>
      </c>
      <c r="G434" s="20" t="inlineStr">
        <is>
          <t>Nova Logistics</t>
        </is>
      </c>
      <c r="H434" s="20" t="n">
        <v>18</v>
      </c>
      <c r="I434" s="22" t="n">
        <v>3073.79</v>
      </c>
      <c r="J434" s="23" t="n">
        <v>0.1</v>
      </c>
      <c r="K434" s="24" t="n">
        <v>49795.4</v>
      </c>
      <c r="L434" s="24" t="n">
        <v>37185.88</v>
      </c>
      <c r="M434" s="24" t="n">
        <v>12609.52</v>
      </c>
    </row>
    <row r="435">
      <c r="A435" s="20" t="inlineStr">
        <is>
          <t>ORD-20240434</t>
        </is>
      </c>
      <c r="B435" s="21" t="n">
        <v>45571</v>
      </c>
      <c r="C435" s="20" t="inlineStr">
        <is>
          <t>West</t>
        </is>
      </c>
      <c r="D435" s="20" t="inlineStr">
        <is>
          <t>Home &amp; Kitchen</t>
        </is>
      </c>
      <c r="E435" s="20" t="inlineStr">
        <is>
          <t>Coffee Maker</t>
        </is>
      </c>
      <c r="F435" s="20" t="inlineStr">
        <is>
          <t>Enterprise</t>
        </is>
      </c>
      <c r="G435" s="20" t="inlineStr">
        <is>
          <t>Tech Mahindra</t>
        </is>
      </c>
      <c r="H435" s="20" t="n">
        <v>22</v>
      </c>
      <c r="I435" s="22" t="n">
        <v>23395.27</v>
      </c>
      <c r="J435" s="23" t="n">
        <v>0.05</v>
      </c>
      <c r="K435" s="24" t="n">
        <v>488961.14</v>
      </c>
      <c r="L435" s="24" t="n">
        <v>286510.25</v>
      </c>
      <c r="M435" s="24" t="n">
        <v>202450.89</v>
      </c>
    </row>
    <row r="436">
      <c r="A436" s="20" t="inlineStr">
        <is>
          <t>ORD-20240435</t>
        </is>
      </c>
      <c r="B436" s="21" t="n">
        <v>45572</v>
      </c>
      <c r="C436" s="20" t="inlineStr">
        <is>
          <t>East</t>
        </is>
      </c>
      <c r="D436" s="20" t="inlineStr">
        <is>
          <t>Furniture</t>
        </is>
      </c>
      <c r="E436" s="20" t="inlineStr">
        <is>
          <t>Bookshelf Oak</t>
        </is>
      </c>
      <c r="F436" s="20" t="inlineStr">
        <is>
          <t>SMB</t>
        </is>
      </c>
      <c r="G436" s="20" t="inlineStr">
        <is>
          <t>SwiftPrint</t>
        </is>
      </c>
      <c r="H436" s="20" t="n">
        <v>23</v>
      </c>
      <c r="I436" s="22" t="n">
        <v>23282.63</v>
      </c>
      <c r="J436" s="23" t="n">
        <v>0.15</v>
      </c>
      <c r="K436" s="24" t="n">
        <v>455175.42</v>
      </c>
      <c r="L436" s="24" t="n">
        <v>337485.65</v>
      </c>
      <c r="M436" s="24" t="n">
        <v>117689.77</v>
      </c>
    </row>
    <row r="437">
      <c r="A437" s="20" t="inlineStr">
        <is>
          <t>ORD-20240436</t>
        </is>
      </c>
      <c r="B437" s="21" t="n">
        <v>45572</v>
      </c>
      <c r="C437" s="20" t="inlineStr">
        <is>
          <t>South</t>
        </is>
      </c>
      <c r="D437" s="20" t="inlineStr">
        <is>
          <t>Furniture</t>
        </is>
      </c>
      <c r="E437" s="20" t="inlineStr">
        <is>
          <t>Standing Desk</t>
        </is>
      </c>
      <c r="F437" s="20" t="inlineStr">
        <is>
          <t>Enterprise</t>
        </is>
      </c>
      <c r="G437" s="20" t="inlineStr">
        <is>
          <t>TCS Digital</t>
        </is>
      </c>
      <c r="H437" s="20" t="n">
        <v>2</v>
      </c>
      <c r="I437" s="22" t="n">
        <v>21899.07</v>
      </c>
      <c r="J437" s="23" t="n">
        <v>0.1</v>
      </c>
      <c r="K437" s="24" t="n">
        <v>39418.33</v>
      </c>
      <c r="L437" s="24" t="n">
        <v>31187.16</v>
      </c>
      <c r="M437" s="24" t="n">
        <v>8231.17</v>
      </c>
    </row>
    <row r="438">
      <c r="A438" s="20" t="inlineStr">
        <is>
          <t>ORD-20240437</t>
        </is>
      </c>
      <c r="B438" s="21" t="n">
        <v>45572</v>
      </c>
      <c r="C438" s="20" t="inlineStr">
        <is>
          <t>West</t>
        </is>
      </c>
      <c r="D438" s="20" t="inlineStr">
        <is>
          <t>Apparel</t>
        </is>
      </c>
      <c r="E438" s="20" t="inlineStr">
        <is>
          <t>Cap Embroidered</t>
        </is>
      </c>
      <c r="F438" s="20" t="inlineStr">
        <is>
          <t>Enterprise</t>
        </is>
      </c>
      <c r="G438" s="20" t="inlineStr">
        <is>
          <t>Infosys Ltd</t>
        </is>
      </c>
      <c r="H438" s="20" t="n">
        <v>21</v>
      </c>
      <c r="I438" s="22" t="n">
        <v>1822.13</v>
      </c>
      <c r="J438" s="23" t="n">
        <v>0.2</v>
      </c>
      <c r="K438" s="24" t="n">
        <v>30611.78</v>
      </c>
      <c r="L438" s="24" t="n">
        <v>26621.55</v>
      </c>
      <c r="M438" s="24" t="n">
        <v>3990.23</v>
      </c>
    </row>
    <row r="439">
      <c r="A439" s="20" t="inlineStr">
        <is>
          <t>ORD-20240438</t>
        </is>
      </c>
      <c r="B439" s="21" t="n">
        <v>45572</v>
      </c>
      <c r="C439" s="20" t="inlineStr">
        <is>
          <t>East</t>
        </is>
      </c>
      <c r="D439" s="20" t="inlineStr">
        <is>
          <t>Home &amp; Kitchen</t>
        </is>
      </c>
      <c r="E439" s="20" t="inlineStr">
        <is>
          <t>Water Purifier</t>
        </is>
      </c>
      <c r="F439" s="20" t="inlineStr">
        <is>
          <t>SMB</t>
        </is>
      </c>
      <c r="G439" s="20" t="inlineStr">
        <is>
          <t>SwiftPrint</t>
        </is>
      </c>
      <c r="H439" s="20" t="n">
        <v>3</v>
      </c>
      <c r="I439" s="22" t="n">
        <v>6232.93</v>
      </c>
      <c r="J439" s="23" t="n">
        <v>0.12</v>
      </c>
      <c r="K439" s="24" t="n">
        <v>16454.94</v>
      </c>
      <c r="L439" s="24" t="n">
        <v>13031.35</v>
      </c>
      <c r="M439" s="24" t="n">
        <v>3423.59</v>
      </c>
    </row>
    <row r="440">
      <c r="A440" s="20" t="inlineStr">
        <is>
          <t>ORD-20240439</t>
        </is>
      </c>
      <c r="B440" s="21" t="n">
        <v>45574</v>
      </c>
      <c r="C440" s="20" t="inlineStr">
        <is>
          <t>North</t>
        </is>
      </c>
      <c r="D440" s="20" t="inlineStr">
        <is>
          <t>Home &amp; Kitchen</t>
        </is>
      </c>
      <c r="E440" s="20" t="inlineStr">
        <is>
          <t>Coffee Maker</t>
        </is>
      </c>
      <c r="F440" s="20" t="inlineStr">
        <is>
          <t>Consumer</t>
        </is>
      </c>
      <c r="G440" s="20" t="inlineStr">
        <is>
          <t>Walk-in Mumbai</t>
        </is>
      </c>
      <c r="H440" s="20" t="n">
        <v>21</v>
      </c>
      <c r="I440" s="22" t="n">
        <v>1006.76</v>
      </c>
      <c r="J440" s="23" t="n">
        <v>0</v>
      </c>
      <c r="K440" s="24" t="n">
        <v>21141.96</v>
      </c>
      <c r="L440" s="24" t="n">
        <v>12050.36</v>
      </c>
      <c r="M440" s="24" t="n">
        <v>9091.6</v>
      </c>
    </row>
    <row r="441">
      <c r="A441" s="20" t="inlineStr">
        <is>
          <t>ORD-20240440</t>
        </is>
      </c>
      <c r="B441" s="21" t="n">
        <v>45574</v>
      </c>
      <c r="C441" s="20" t="inlineStr">
        <is>
          <t>North</t>
        </is>
      </c>
      <c r="D441" s="20" t="inlineStr">
        <is>
          <t>Furniture</t>
        </is>
      </c>
      <c r="E441" s="20" t="inlineStr">
        <is>
          <t>Bookshelf Oak</t>
        </is>
      </c>
      <c r="F441" s="20" t="inlineStr">
        <is>
          <t>SMB</t>
        </is>
      </c>
      <c r="G441" s="20" t="inlineStr">
        <is>
          <t>BrightRetail Co</t>
        </is>
      </c>
      <c r="H441" s="20" t="n">
        <v>8</v>
      </c>
      <c r="I441" s="22" t="n">
        <v>29398.63</v>
      </c>
      <c r="J441" s="23" t="n">
        <v>0.1</v>
      </c>
      <c r="K441" s="24" t="n">
        <v>211670.14</v>
      </c>
      <c r="L441" s="24" t="n">
        <v>130169.04</v>
      </c>
      <c r="M441" s="24" t="n">
        <v>81501.10000000001</v>
      </c>
    </row>
    <row r="442">
      <c r="A442" s="20" t="inlineStr">
        <is>
          <t>ORD-20240441</t>
        </is>
      </c>
      <c r="B442" s="21" t="n">
        <v>45575</v>
      </c>
      <c r="C442" s="20" t="inlineStr">
        <is>
          <t>East</t>
        </is>
      </c>
      <c r="D442" s="20" t="inlineStr">
        <is>
          <t>Home &amp; Kitchen</t>
        </is>
      </c>
      <c r="E442" s="20" t="inlineStr">
        <is>
          <t>Vacuum Robot</t>
        </is>
      </c>
      <c r="F442" s="20" t="inlineStr">
        <is>
          <t>Enterprise</t>
        </is>
      </c>
      <c r="G442" s="20" t="inlineStr">
        <is>
          <t>HCL Services</t>
        </is>
      </c>
      <c r="H442" s="20" t="n">
        <v>3</v>
      </c>
      <c r="I442" s="22" t="n">
        <v>10078.99</v>
      </c>
      <c r="J442" s="23" t="n">
        <v>0.05</v>
      </c>
      <c r="K442" s="24" t="n">
        <v>28725.12</v>
      </c>
      <c r="L442" s="24" t="n">
        <v>21085.35</v>
      </c>
      <c r="M442" s="24" t="n">
        <v>7639.77</v>
      </c>
    </row>
    <row r="443">
      <c r="A443" s="20" t="inlineStr">
        <is>
          <t>ORD-20240442</t>
        </is>
      </c>
      <c r="B443" s="21" t="n">
        <v>45575</v>
      </c>
      <c r="C443" s="20" t="inlineStr">
        <is>
          <t>East</t>
        </is>
      </c>
      <c r="D443" s="20" t="inlineStr">
        <is>
          <t>Apparel</t>
        </is>
      </c>
      <c r="E443" s="20" t="inlineStr">
        <is>
          <t>Polo Shirt</t>
        </is>
      </c>
      <c r="F443" s="20" t="inlineStr">
        <is>
          <t>Government</t>
        </is>
      </c>
      <c r="G443" s="20" t="inlineStr">
        <is>
          <t>MH Education Dept</t>
        </is>
      </c>
      <c r="H443" s="20" t="n">
        <v>16</v>
      </c>
      <c r="I443" s="22" t="n">
        <v>4560.93</v>
      </c>
      <c r="J443" s="23" t="n">
        <v>0.05</v>
      </c>
      <c r="K443" s="24" t="n">
        <v>69326.14</v>
      </c>
      <c r="L443" s="24" t="n">
        <v>40613.57</v>
      </c>
      <c r="M443" s="24" t="n">
        <v>28712.57</v>
      </c>
    </row>
    <row r="444">
      <c r="A444" s="20" t="inlineStr">
        <is>
          <t>ORD-20240443</t>
        </is>
      </c>
      <c r="B444" s="21" t="n">
        <v>45575</v>
      </c>
      <c r="C444" s="20" t="inlineStr">
        <is>
          <t>West</t>
        </is>
      </c>
      <c r="D444" s="20" t="inlineStr">
        <is>
          <t>Office Supplies</t>
        </is>
      </c>
      <c r="E444" s="20" t="inlineStr">
        <is>
          <t>Whiteboard Kit</t>
        </is>
      </c>
      <c r="F444" s="20" t="inlineStr">
        <is>
          <t>Enterprise</t>
        </is>
      </c>
      <c r="G444" s="20" t="inlineStr">
        <is>
          <t>L&amp;T Infotech</t>
        </is>
      </c>
      <c r="H444" s="20" t="n">
        <v>6</v>
      </c>
      <c r="I444" s="22" t="n">
        <v>325.34</v>
      </c>
      <c r="J444" s="23" t="n">
        <v>0</v>
      </c>
      <c r="K444" s="24" t="n">
        <v>1952.04</v>
      </c>
      <c r="L444" s="24" t="n">
        <v>1243.21</v>
      </c>
      <c r="M444" s="24" t="n">
        <v>708.83</v>
      </c>
    </row>
    <row r="445">
      <c r="A445" s="20" t="inlineStr">
        <is>
          <t>ORD-20240444</t>
        </is>
      </c>
      <c r="B445" s="21" t="n">
        <v>45576</v>
      </c>
      <c r="C445" s="20" t="inlineStr">
        <is>
          <t>North</t>
        </is>
      </c>
      <c r="D445" s="20" t="inlineStr">
        <is>
          <t>Office Supplies</t>
        </is>
      </c>
      <c r="E445" s="20" t="inlineStr">
        <is>
          <t>Notebook Set</t>
        </is>
      </c>
      <c r="F445" s="20" t="inlineStr">
        <is>
          <t>Consumer</t>
        </is>
      </c>
      <c r="G445" s="20" t="inlineStr">
        <is>
          <t>App User North</t>
        </is>
      </c>
      <c r="H445" s="20" t="n">
        <v>3</v>
      </c>
      <c r="I445" s="22" t="n">
        <v>487.53</v>
      </c>
      <c r="J445" s="23" t="n">
        <v>0</v>
      </c>
      <c r="K445" s="24" t="n">
        <v>1462.59</v>
      </c>
      <c r="L445" s="24" t="n">
        <v>1090.85</v>
      </c>
      <c r="M445" s="24" t="n">
        <v>371.74</v>
      </c>
    </row>
    <row r="446">
      <c r="A446" s="20" t="inlineStr">
        <is>
          <t>ORD-20240445</t>
        </is>
      </c>
      <c r="B446" s="21" t="n">
        <v>45577</v>
      </c>
      <c r="C446" s="20" t="inlineStr">
        <is>
          <t>West</t>
        </is>
      </c>
      <c r="D446" s="20" t="inlineStr">
        <is>
          <t>Furniture</t>
        </is>
      </c>
      <c r="E446" s="20" t="inlineStr">
        <is>
          <t>Standing Desk</t>
        </is>
      </c>
      <c r="F446" s="20" t="inlineStr">
        <is>
          <t>SMB</t>
        </is>
      </c>
      <c r="G446" s="20" t="inlineStr">
        <is>
          <t>BrightRetail Co</t>
        </is>
      </c>
      <c r="H446" s="20" t="n">
        <v>12</v>
      </c>
      <c r="I446" s="22" t="n">
        <v>38428.37</v>
      </c>
      <c r="J446" s="23" t="n">
        <v>0.1</v>
      </c>
      <c r="K446" s="24" t="n">
        <v>415026.4</v>
      </c>
      <c r="L446" s="24" t="n">
        <v>265812.24</v>
      </c>
      <c r="M446" s="24" t="n">
        <v>149214.16</v>
      </c>
    </row>
    <row r="447">
      <c r="A447" s="20" t="inlineStr">
        <is>
          <t>ORD-20240446</t>
        </is>
      </c>
      <c r="B447" s="21" t="n">
        <v>45577</v>
      </c>
      <c r="C447" s="20" t="inlineStr">
        <is>
          <t>North</t>
        </is>
      </c>
      <c r="D447" s="20" t="inlineStr">
        <is>
          <t>Apparel</t>
        </is>
      </c>
      <c r="E447" s="20" t="inlineStr">
        <is>
          <t>Cap Embroidered</t>
        </is>
      </c>
      <c r="F447" s="20" t="inlineStr">
        <is>
          <t>Enterprise</t>
        </is>
      </c>
      <c r="G447" s="20" t="inlineStr">
        <is>
          <t>Tech Mahindra</t>
        </is>
      </c>
      <c r="H447" s="20" t="n">
        <v>22</v>
      </c>
      <c r="I447" s="22" t="n">
        <v>1437.78</v>
      </c>
      <c r="J447" s="23" t="n">
        <v>0.15</v>
      </c>
      <c r="K447" s="24" t="n">
        <v>26886.49</v>
      </c>
      <c r="L447" s="24" t="n">
        <v>18417.52</v>
      </c>
      <c r="M447" s="24" t="n">
        <v>8468.969999999999</v>
      </c>
    </row>
    <row r="448">
      <c r="A448" s="20" t="inlineStr">
        <is>
          <t>ORD-20240447</t>
        </is>
      </c>
      <c r="B448" s="21" t="n">
        <v>45578</v>
      </c>
      <c r="C448" s="20" t="inlineStr">
        <is>
          <t>West</t>
        </is>
      </c>
      <c r="D448" s="20" t="inlineStr">
        <is>
          <t>Office Supplies</t>
        </is>
      </c>
      <c r="E448" s="20" t="inlineStr">
        <is>
          <t>Notebook Set</t>
        </is>
      </c>
      <c r="F448" s="20" t="inlineStr">
        <is>
          <t>SMB</t>
        </is>
      </c>
      <c r="G448" s="20" t="inlineStr">
        <is>
          <t>GreenFarm Agro</t>
        </is>
      </c>
      <c r="H448" s="20" t="n">
        <v>21</v>
      </c>
      <c r="I448" s="22" t="n">
        <v>391.62</v>
      </c>
      <c r="J448" s="23" t="n">
        <v>0.15</v>
      </c>
      <c r="K448" s="24" t="n">
        <v>6990.42</v>
      </c>
      <c r="L448" s="24" t="n">
        <v>5687.73</v>
      </c>
      <c r="M448" s="24" t="n">
        <v>1302.69</v>
      </c>
    </row>
    <row r="449">
      <c r="A449" s="20" t="inlineStr">
        <is>
          <t>ORD-20240448</t>
        </is>
      </c>
      <c r="B449" s="21" t="n">
        <v>45579</v>
      </c>
      <c r="C449" s="20" t="inlineStr">
        <is>
          <t>West</t>
        </is>
      </c>
      <c r="D449" s="20" t="inlineStr">
        <is>
          <t>Home &amp; Kitchen</t>
        </is>
      </c>
      <c r="E449" s="20" t="inlineStr">
        <is>
          <t>Water Purifier</t>
        </is>
      </c>
      <c r="F449" s="20" t="inlineStr">
        <is>
          <t>Enterprise</t>
        </is>
      </c>
      <c r="G449" s="20" t="inlineStr">
        <is>
          <t>Tech Mahindra</t>
        </is>
      </c>
      <c r="H449" s="20" t="n">
        <v>17</v>
      </c>
      <c r="I449" s="22" t="n">
        <v>7493.37</v>
      </c>
      <c r="J449" s="23" t="n">
        <v>0.15</v>
      </c>
      <c r="K449" s="24" t="n">
        <v>108279.2</v>
      </c>
      <c r="L449" s="24" t="n">
        <v>89437.58</v>
      </c>
      <c r="M449" s="24" t="n">
        <v>18841.62</v>
      </c>
    </row>
    <row r="450">
      <c r="A450" s="20" t="inlineStr">
        <is>
          <t>ORD-20240449</t>
        </is>
      </c>
      <c r="B450" s="21" t="n">
        <v>45580</v>
      </c>
      <c r="C450" s="20" t="inlineStr">
        <is>
          <t>South</t>
        </is>
      </c>
      <c r="D450" s="20" t="inlineStr">
        <is>
          <t>Furniture</t>
        </is>
      </c>
      <c r="E450" s="20" t="inlineStr">
        <is>
          <t>Filing Cabinet</t>
        </is>
      </c>
      <c r="F450" s="20" t="inlineStr">
        <is>
          <t>Consumer</t>
        </is>
      </c>
      <c r="G450" s="20" t="inlineStr">
        <is>
          <t>App User North</t>
        </is>
      </c>
      <c r="H450" s="20" t="n">
        <v>7</v>
      </c>
      <c r="I450" s="22" t="n">
        <v>18133.24</v>
      </c>
      <c r="J450" s="23" t="n">
        <v>0.15</v>
      </c>
      <c r="K450" s="24" t="n">
        <v>107892.78</v>
      </c>
      <c r="L450" s="24" t="n">
        <v>83291.5</v>
      </c>
      <c r="M450" s="24" t="n">
        <v>24601.28</v>
      </c>
    </row>
    <row r="451">
      <c r="A451" s="20" t="inlineStr">
        <is>
          <t>ORD-20240450</t>
        </is>
      </c>
      <c r="B451" s="21" t="n">
        <v>45580</v>
      </c>
      <c r="C451" s="20" t="inlineStr">
        <is>
          <t>North</t>
        </is>
      </c>
      <c r="D451" s="20" t="inlineStr">
        <is>
          <t>Office Supplies</t>
        </is>
      </c>
      <c r="E451" s="20" t="inlineStr">
        <is>
          <t>A4 Paper Ream</t>
        </is>
      </c>
      <c r="F451" s="20" t="inlineStr">
        <is>
          <t>Enterprise</t>
        </is>
      </c>
      <c r="G451" s="20" t="inlineStr">
        <is>
          <t>Wipro Tech</t>
        </is>
      </c>
      <c r="H451" s="20" t="n">
        <v>20</v>
      </c>
      <c r="I451" s="22" t="n">
        <v>2736.85</v>
      </c>
      <c r="J451" s="23" t="n">
        <v>0.1</v>
      </c>
      <c r="K451" s="24" t="n">
        <v>49263.3</v>
      </c>
      <c r="L451" s="24" t="n">
        <v>30458.47</v>
      </c>
      <c r="M451" s="24" t="n">
        <v>18804.83</v>
      </c>
    </row>
    <row r="452">
      <c r="A452" s="20" t="inlineStr">
        <is>
          <t>ORD-20240451</t>
        </is>
      </c>
      <c r="B452" s="21" t="n">
        <v>45581</v>
      </c>
      <c r="C452" s="20" t="inlineStr">
        <is>
          <t>Central</t>
        </is>
      </c>
      <c r="D452" s="20" t="inlineStr">
        <is>
          <t>Office Supplies</t>
        </is>
      </c>
      <c r="E452" s="20" t="inlineStr">
        <is>
          <t>A4 Paper Ream</t>
        </is>
      </c>
      <c r="F452" s="20" t="inlineStr">
        <is>
          <t>Government</t>
        </is>
      </c>
      <c r="G452" s="20" t="inlineStr">
        <is>
          <t>MH Education Dept</t>
        </is>
      </c>
      <c r="H452" s="20" t="n">
        <v>17</v>
      </c>
      <c r="I452" s="22" t="n">
        <v>2407.12</v>
      </c>
      <c r="J452" s="23" t="n">
        <v>0.2</v>
      </c>
      <c r="K452" s="24" t="n">
        <v>32736.83</v>
      </c>
      <c r="L452" s="24" t="n">
        <v>23957.23</v>
      </c>
      <c r="M452" s="24" t="n">
        <v>8779.6</v>
      </c>
    </row>
    <row r="453">
      <c r="A453" s="20" t="inlineStr">
        <is>
          <t>ORD-20240452</t>
        </is>
      </c>
      <c r="B453" s="21" t="n">
        <v>45582</v>
      </c>
      <c r="C453" s="20" t="inlineStr">
        <is>
          <t>North</t>
        </is>
      </c>
      <c r="D453" s="20" t="inlineStr">
        <is>
          <t>Apparel</t>
        </is>
      </c>
      <c r="E453" s="20" t="inlineStr">
        <is>
          <t>Safety Vest</t>
        </is>
      </c>
      <c r="F453" s="20" t="inlineStr">
        <is>
          <t>Government</t>
        </is>
      </c>
      <c r="G453" s="20" t="inlineStr">
        <is>
          <t>MH Education Dept</t>
        </is>
      </c>
      <c r="H453" s="20" t="n">
        <v>14</v>
      </c>
      <c r="I453" s="22" t="n">
        <v>4175.78</v>
      </c>
      <c r="J453" s="23" t="n">
        <v>0.15</v>
      </c>
      <c r="K453" s="24" t="n">
        <v>49691.78</v>
      </c>
      <c r="L453" s="24" t="n">
        <v>35764.26</v>
      </c>
      <c r="M453" s="24" t="n">
        <v>13927.52</v>
      </c>
    </row>
    <row r="454">
      <c r="A454" s="20" t="inlineStr">
        <is>
          <t>ORD-20240453</t>
        </is>
      </c>
      <c r="B454" s="21" t="n">
        <v>45585</v>
      </c>
      <c r="C454" s="20" t="inlineStr">
        <is>
          <t>West</t>
        </is>
      </c>
      <c r="D454" s="20" t="inlineStr">
        <is>
          <t>Office Supplies</t>
        </is>
      </c>
      <c r="E454" s="20" t="inlineStr">
        <is>
          <t>Whiteboard Kit</t>
        </is>
      </c>
      <c r="F454" s="20" t="inlineStr">
        <is>
          <t>Consumer</t>
        </is>
      </c>
      <c r="G454" s="20" t="inlineStr">
        <is>
          <t>Walk-in Delhi</t>
        </is>
      </c>
      <c r="H454" s="20" t="n">
        <v>21</v>
      </c>
      <c r="I454" s="22" t="n">
        <v>752.28</v>
      </c>
      <c r="J454" s="23" t="n">
        <v>0.12</v>
      </c>
      <c r="K454" s="24" t="n">
        <v>13902.13</v>
      </c>
      <c r="L454" s="24" t="n">
        <v>9658.74</v>
      </c>
      <c r="M454" s="24" t="n">
        <v>4243.39</v>
      </c>
    </row>
    <row r="455">
      <c r="A455" s="20" t="inlineStr">
        <is>
          <t>ORD-20240454</t>
        </is>
      </c>
      <c r="B455" s="21" t="n">
        <v>45586</v>
      </c>
      <c r="C455" s="20" t="inlineStr">
        <is>
          <t>East</t>
        </is>
      </c>
      <c r="D455" s="20" t="inlineStr">
        <is>
          <t>Home &amp; Kitchen</t>
        </is>
      </c>
      <c r="E455" s="20" t="inlineStr">
        <is>
          <t>Water Purifier</t>
        </is>
      </c>
      <c r="F455" s="20" t="inlineStr">
        <is>
          <t>Government</t>
        </is>
      </c>
      <c r="G455" s="20" t="inlineStr">
        <is>
          <t>Municipal Corp Hyd</t>
        </is>
      </c>
      <c r="H455" s="20" t="n">
        <v>2</v>
      </c>
      <c r="I455" s="22" t="n">
        <v>17671.02</v>
      </c>
      <c r="J455" s="23" t="n">
        <v>0.05</v>
      </c>
      <c r="K455" s="24" t="n">
        <v>33574.94</v>
      </c>
      <c r="L455" s="24" t="n">
        <v>24568.62</v>
      </c>
      <c r="M455" s="24" t="n">
        <v>9006.32</v>
      </c>
    </row>
    <row r="456">
      <c r="A456" s="20" t="inlineStr">
        <is>
          <t>ORD-20240455</t>
        </is>
      </c>
      <c r="B456" s="21" t="n">
        <v>45586</v>
      </c>
      <c r="C456" s="20" t="inlineStr">
        <is>
          <t>Central</t>
        </is>
      </c>
      <c r="D456" s="20" t="inlineStr">
        <is>
          <t>Office Supplies</t>
        </is>
      </c>
      <c r="E456" s="20" t="inlineStr">
        <is>
          <t>A4 Paper Ream</t>
        </is>
      </c>
      <c r="F456" s="20" t="inlineStr">
        <is>
          <t>Government</t>
        </is>
      </c>
      <c r="G456" s="20" t="inlineStr">
        <is>
          <t>State Health UP</t>
        </is>
      </c>
      <c r="H456" s="20" t="n">
        <v>12</v>
      </c>
      <c r="I456" s="22" t="n">
        <v>3343.4</v>
      </c>
      <c r="J456" s="23" t="n">
        <v>0</v>
      </c>
      <c r="K456" s="24" t="n">
        <v>40120.8</v>
      </c>
      <c r="L456" s="24" t="n">
        <v>24746.67</v>
      </c>
      <c r="M456" s="24" t="n">
        <v>15374.13</v>
      </c>
    </row>
    <row r="457">
      <c r="A457" s="20" t="inlineStr">
        <is>
          <t>ORD-20240456</t>
        </is>
      </c>
      <c r="B457" s="21" t="n">
        <v>45586</v>
      </c>
      <c r="C457" s="20" t="inlineStr">
        <is>
          <t>Central</t>
        </is>
      </c>
      <c r="D457" s="20" t="inlineStr">
        <is>
          <t>Home &amp; Kitchen</t>
        </is>
      </c>
      <c r="E457" s="20" t="inlineStr">
        <is>
          <t>Coffee Maker</t>
        </is>
      </c>
      <c r="F457" s="20" t="inlineStr">
        <is>
          <t>Consumer</t>
        </is>
      </c>
      <c r="G457" s="20" t="inlineStr">
        <is>
          <t>Retail Counter</t>
        </is>
      </c>
      <c r="H457" s="20" t="n">
        <v>16</v>
      </c>
      <c r="I457" s="22" t="n">
        <v>13424.98</v>
      </c>
      <c r="J457" s="23" t="n">
        <v>0</v>
      </c>
      <c r="K457" s="24" t="n">
        <v>214799.68</v>
      </c>
      <c r="L457" s="24" t="n">
        <v>154564.88</v>
      </c>
      <c r="M457" s="24" t="n">
        <v>60234.8</v>
      </c>
    </row>
    <row r="458">
      <c r="A458" s="20" t="inlineStr">
        <is>
          <t>ORD-20240457</t>
        </is>
      </c>
      <c r="B458" s="21" t="n">
        <v>45586</v>
      </c>
      <c r="C458" s="20" t="inlineStr">
        <is>
          <t>West</t>
        </is>
      </c>
      <c r="D458" s="20" t="inlineStr">
        <is>
          <t>Furniture</t>
        </is>
      </c>
      <c r="E458" s="20" t="inlineStr">
        <is>
          <t>Bookshelf Oak</t>
        </is>
      </c>
      <c r="F458" s="20" t="inlineStr">
        <is>
          <t>SMB</t>
        </is>
      </c>
      <c r="G458" s="20" t="inlineStr">
        <is>
          <t>Nova Logistics</t>
        </is>
      </c>
      <c r="H458" s="20" t="n">
        <v>7</v>
      </c>
      <c r="I458" s="22" t="n">
        <v>17274.41</v>
      </c>
      <c r="J458" s="23" t="n">
        <v>0.05</v>
      </c>
      <c r="K458" s="24" t="n">
        <v>114874.83</v>
      </c>
      <c r="L458" s="24" t="n">
        <v>86137.53</v>
      </c>
      <c r="M458" s="24" t="n">
        <v>28737.3</v>
      </c>
    </row>
    <row r="459">
      <c r="A459" s="20" t="inlineStr">
        <is>
          <t>ORD-20240458</t>
        </is>
      </c>
      <c r="B459" s="21" t="n">
        <v>45587</v>
      </c>
      <c r="C459" s="20" t="inlineStr">
        <is>
          <t>North</t>
        </is>
      </c>
      <c r="D459" s="20" t="inlineStr">
        <is>
          <t>Apparel</t>
        </is>
      </c>
      <c r="E459" s="20" t="inlineStr">
        <is>
          <t>Hoodie Soft</t>
        </is>
      </c>
      <c r="F459" s="20" t="inlineStr">
        <is>
          <t>SMB</t>
        </is>
      </c>
      <c r="G459" s="20" t="inlineStr">
        <is>
          <t>SwiftPrint</t>
        </is>
      </c>
      <c r="H459" s="20" t="n">
        <v>15</v>
      </c>
      <c r="I459" s="22" t="n">
        <v>3784.18</v>
      </c>
      <c r="J459" s="23" t="n">
        <v>0.12</v>
      </c>
      <c r="K459" s="24" t="n">
        <v>49951.18</v>
      </c>
      <c r="L459" s="24" t="n">
        <v>41711.94</v>
      </c>
      <c r="M459" s="24" t="n">
        <v>8239.24</v>
      </c>
    </row>
    <row r="460">
      <c r="A460" s="20" t="inlineStr">
        <is>
          <t>ORD-20240459</t>
        </is>
      </c>
      <c r="B460" s="21" t="n">
        <v>45590</v>
      </c>
      <c r="C460" s="20" t="inlineStr">
        <is>
          <t>South</t>
        </is>
      </c>
      <c r="D460" s="20" t="inlineStr">
        <is>
          <t>Furniture</t>
        </is>
      </c>
      <c r="E460" s="20" t="inlineStr">
        <is>
          <t>Bookshelf Oak</t>
        </is>
      </c>
      <c r="F460" s="20" t="inlineStr">
        <is>
          <t>Enterprise</t>
        </is>
      </c>
      <c r="G460" s="20" t="inlineStr">
        <is>
          <t>Wipro Tech</t>
        </is>
      </c>
      <c r="H460" s="20" t="n">
        <v>12</v>
      </c>
      <c r="I460" s="22" t="n">
        <v>20329.35</v>
      </c>
      <c r="J460" s="23" t="n">
        <v>0.1</v>
      </c>
      <c r="K460" s="24" t="n">
        <v>219556.98</v>
      </c>
      <c r="L460" s="24" t="n">
        <v>136907.05</v>
      </c>
      <c r="M460" s="24" t="n">
        <v>82649.92999999999</v>
      </c>
    </row>
    <row r="461">
      <c r="A461" s="20" t="inlineStr">
        <is>
          <t>ORD-20240460</t>
        </is>
      </c>
      <c r="B461" s="21" t="n">
        <v>45592</v>
      </c>
      <c r="C461" s="20" t="inlineStr">
        <is>
          <t>East</t>
        </is>
      </c>
      <c r="D461" s="20" t="inlineStr">
        <is>
          <t>Office Supplies</t>
        </is>
      </c>
      <c r="E461" s="20" t="inlineStr">
        <is>
          <t>Notebook Set</t>
        </is>
      </c>
      <c r="F461" s="20" t="inlineStr">
        <is>
          <t>Enterprise</t>
        </is>
      </c>
      <c r="G461" s="20" t="inlineStr">
        <is>
          <t>L&amp;T Infotech</t>
        </is>
      </c>
      <c r="H461" s="20" t="n">
        <v>15</v>
      </c>
      <c r="I461" s="22" t="n">
        <v>1899.99</v>
      </c>
      <c r="J461" s="23" t="n">
        <v>0.12</v>
      </c>
      <c r="K461" s="24" t="n">
        <v>25079.87</v>
      </c>
      <c r="L461" s="24" t="n">
        <v>16191.45</v>
      </c>
      <c r="M461" s="24" t="n">
        <v>8888.42</v>
      </c>
    </row>
    <row r="462">
      <c r="A462" s="20" t="inlineStr">
        <is>
          <t>ORD-20240461</t>
        </is>
      </c>
      <c r="B462" s="21" t="n">
        <v>45594</v>
      </c>
      <c r="C462" s="20" t="inlineStr">
        <is>
          <t>North</t>
        </is>
      </c>
      <c r="D462" s="20" t="inlineStr">
        <is>
          <t>Furniture</t>
        </is>
      </c>
      <c r="E462" s="20" t="inlineStr">
        <is>
          <t>Ergo Chair</t>
        </is>
      </c>
      <c r="F462" s="20" t="inlineStr">
        <is>
          <t>Consumer</t>
        </is>
      </c>
      <c r="G462" s="20" t="inlineStr">
        <is>
          <t>App User North</t>
        </is>
      </c>
      <c r="H462" s="20" t="n">
        <v>2</v>
      </c>
      <c r="I462" s="22" t="n">
        <v>27131.89</v>
      </c>
      <c r="J462" s="23" t="n">
        <v>0</v>
      </c>
      <c r="K462" s="24" t="n">
        <v>54263.78</v>
      </c>
      <c r="L462" s="24" t="n">
        <v>30970</v>
      </c>
      <c r="M462" s="24" t="n">
        <v>23293.78</v>
      </c>
    </row>
    <row r="463">
      <c r="A463" s="20" t="inlineStr">
        <is>
          <t>ORD-20240462</t>
        </is>
      </c>
      <c r="B463" s="21" t="n">
        <v>45594</v>
      </c>
      <c r="C463" s="20" t="inlineStr">
        <is>
          <t>West</t>
        </is>
      </c>
      <c r="D463" s="20" t="inlineStr">
        <is>
          <t>Home &amp; Kitchen</t>
        </is>
      </c>
      <c r="E463" s="20" t="inlineStr">
        <is>
          <t>Water Purifier</t>
        </is>
      </c>
      <c r="F463" s="20" t="inlineStr">
        <is>
          <t>SMB</t>
        </is>
      </c>
      <c r="G463" s="20" t="inlineStr">
        <is>
          <t>SwiftPrint</t>
        </is>
      </c>
      <c r="H463" s="20" t="n">
        <v>19</v>
      </c>
      <c r="I463" s="22" t="n">
        <v>18837.8</v>
      </c>
      <c r="J463" s="23" t="n">
        <v>0</v>
      </c>
      <c r="K463" s="24" t="n">
        <v>357918.2</v>
      </c>
      <c r="L463" s="24" t="n">
        <v>260420.75</v>
      </c>
      <c r="M463" s="24" t="n">
        <v>97497.45</v>
      </c>
    </row>
    <row r="464">
      <c r="A464" s="20" t="inlineStr">
        <is>
          <t>ORD-20240463</t>
        </is>
      </c>
      <c r="B464" s="21" t="n">
        <v>45594</v>
      </c>
      <c r="C464" s="20" t="inlineStr">
        <is>
          <t>East</t>
        </is>
      </c>
      <c r="D464" s="20" t="inlineStr">
        <is>
          <t>Electronics</t>
        </is>
      </c>
      <c r="E464" s="20" t="inlineStr">
        <is>
          <t>Wireless Mouse</t>
        </is>
      </c>
      <c r="F464" s="20" t="inlineStr">
        <is>
          <t>SMB</t>
        </is>
      </c>
      <c r="G464" s="20" t="inlineStr">
        <is>
          <t>Pixel Studio</t>
        </is>
      </c>
      <c r="H464" s="20" t="n">
        <v>22</v>
      </c>
      <c r="I464" s="22" t="n">
        <v>21897.24</v>
      </c>
      <c r="J464" s="23" t="n">
        <v>0</v>
      </c>
      <c r="K464" s="24" t="n">
        <v>481739.28</v>
      </c>
      <c r="L464" s="24" t="n">
        <v>341474.54</v>
      </c>
      <c r="M464" s="24" t="n">
        <v>140264.74</v>
      </c>
    </row>
    <row r="465">
      <c r="A465" s="20" t="inlineStr">
        <is>
          <t>ORD-20240464</t>
        </is>
      </c>
      <c r="B465" s="21" t="n">
        <v>45594</v>
      </c>
      <c r="C465" s="20" t="inlineStr">
        <is>
          <t>Central</t>
        </is>
      </c>
      <c r="D465" s="20" t="inlineStr">
        <is>
          <t>Apparel</t>
        </is>
      </c>
      <c r="E465" s="20" t="inlineStr">
        <is>
          <t>Cap Embroidered</t>
        </is>
      </c>
      <c r="F465" s="20" t="inlineStr">
        <is>
          <t>SMB</t>
        </is>
      </c>
      <c r="G465" s="20" t="inlineStr">
        <is>
          <t>Pixel Studio</t>
        </is>
      </c>
      <c r="H465" s="20" t="n">
        <v>9</v>
      </c>
      <c r="I465" s="22" t="n">
        <v>2886.59</v>
      </c>
      <c r="J465" s="23" t="n">
        <v>0</v>
      </c>
      <c r="K465" s="24" t="n">
        <v>25979.31</v>
      </c>
      <c r="L465" s="24" t="n">
        <v>18779.75</v>
      </c>
      <c r="M465" s="24" t="n">
        <v>7199.56</v>
      </c>
    </row>
    <row r="466">
      <c r="A466" s="20" t="inlineStr">
        <is>
          <t>ORD-20240465</t>
        </is>
      </c>
      <c r="B466" s="21" t="n">
        <v>45595</v>
      </c>
      <c r="C466" s="20" t="inlineStr">
        <is>
          <t>North</t>
        </is>
      </c>
      <c r="D466" s="20" t="inlineStr">
        <is>
          <t>Home &amp; Kitchen</t>
        </is>
      </c>
      <c r="E466" s="20" t="inlineStr">
        <is>
          <t>Coffee Maker</t>
        </is>
      </c>
      <c r="F466" s="20" t="inlineStr">
        <is>
          <t>Government</t>
        </is>
      </c>
      <c r="G466" s="20" t="inlineStr">
        <is>
          <t>Delhi NDMC</t>
        </is>
      </c>
      <c r="H466" s="20" t="n">
        <v>18</v>
      </c>
      <c r="I466" s="22" t="n">
        <v>24013.63</v>
      </c>
      <c r="J466" s="23" t="n">
        <v>0.1</v>
      </c>
      <c r="K466" s="24" t="n">
        <v>389020.81</v>
      </c>
      <c r="L466" s="24" t="n">
        <v>252120.57</v>
      </c>
      <c r="M466" s="24" t="n">
        <v>136900.24</v>
      </c>
    </row>
    <row r="467">
      <c r="A467" s="20" t="inlineStr">
        <is>
          <t>ORD-20240466</t>
        </is>
      </c>
      <c r="B467" s="21" t="n">
        <v>45597</v>
      </c>
      <c r="C467" s="20" t="inlineStr">
        <is>
          <t>East</t>
        </is>
      </c>
      <c r="D467" s="20" t="inlineStr">
        <is>
          <t>Furniture</t>
        </is>
      </c>
      <c r="E467" s="20" t="inlineStr">
        <is>
          <t>Ergo Chair</t>
        </is>
      </c>
      <c r="F467" s="20" t="inlineStr">
        <is>
          <t>Government</t>
        </is>
      </c>
      <c r="G467" s="20" t="inlineStr">
        <is>
          <t>Railways Zone W</t>
        </is>
      </c>
      <c r="H467" s="20" t="n">
        <v>17</v>
      </c>
      <c r="I467" s="22" t="n">
        <v>13854.84</v>
      </c>
      <c r="J467" s="23" t="n">
        <v>0</v>
      </c>
      <c r="K467" s="24" t="n">
        <v>235532.28</v>
      </c>
      <c r="L467" s="24" t="n">
        <v>144864.83</v>
      </c>
      <c r="M467" s="24" t="n">
        <v>90667.45</v>
      </c>
    </row>
    <row r="468">
      <c r="A468" s="20" t="inlineStr">
        <is>
          <t>ORD-20240467</t>
        </is>
      </c>
      <c r="B468" s="21" t="n">
        <v>45597</v>
      </c>
      <c r="C468" s="20" t="inlineStr">
        <is>
          <t>East</t>
        </is>
      </c>
      <c r="D468" s="20" t="inlineStr">
        <is>
          <t>Office Supplies</t>
        </is>
      </c>
      <c r="E468" s="20" t="inlineStr">
        <is>
          <t>Notebook Set</t>
        </is>
      </c>
      <c r="F468" s="20" t="inlineStr">
        <is>
          <t>Consumer</t>
        </is>
      </c>
      <c r="G468" s="20" t="inlineStr">
        <is>
          <t>Retail Counter</t>
        </is>
      </c>
      <c r="H468" s="20" t="n">
        <v>16</v>
      </c>
      <c r="I468" s="22" t="n">
        <v>713.3099999999999</v>
      </c>
      <c r="J468" s="23" t="n">
        <v>0.05</v>
      </c>
      <c r="K468" s="24" t="n">
        <v>10842.31</v>
      </c>
      <c r="L468" s="24" t="n">
        <v>7009.51</v>
      </c>
      <c r="M468" s="24" t="n">
        <v>3832.8</v>
      </c>
    </row>
    <row r="469">
      <c r="A469" s="20" t="inlineStr">
        <is>
          <t>ORD-20240468</t>
        </is>
      </c>
      <c r="B469" s="21" t="n">
        <v>45597</v>
      </c>
      <c r="C469" s="20" t="inlineStr">
        <is>
          <t>South</t>
        </is>
      </c>
      <c r="D469" s="20" t="inlineStr">
        <is>
          <t>Office Supplies</t>
        </is>
      </c>
      <c r="E469" s="20" t="inlineStr">
        <is>
          <t>Stapler Heavy</t>
        </is>
      </c>
      <c r="F469" s="20" t="inlineStr">
        <is>
          <t>Enterprise</t>
        </is>
      </c>
      <c r="G469" s="20" t="inlineStr">
        <is>
          <t>L&amp;T Infotech</t>
        </is>
      </c>
      <c r="H469" s="20" t="n">
        <v>18</v>
      </c>
      <c r="I469" s="22" t="n">
        <v>1847.2</v>
      </c>
      <c r="J469" s="23" t="n">
        <v>0.05</v>
      </c>
      <c r="K469" s="24" t="n">
        <v>31587.12</v>
      </c>
      <c r="L469" s="24" t="n">
        <v>21967.44</v>
      </c>
      <c r="M469" s="24" t="n">
        <v>9619.68</v>
      </c>
    </row>
    <row r="470">
      <c r="A470" s="20" t="inlineStr">
        <is>
          <t>ORD-20240469</t>
        </is>
      </c>
      <c r="B470" s="21" t="n">
        <v>45598</v>
      </c>
      <c r="C470" s="20" t="inlineStr">
        <is>
          <t>West</t>
        </is>
      </c>
      <c r="D470" s="20" t="inlineStr">
        <is>
          <t>Furniture</t>
        </is>
      </c>
      <c r="E470" s="20" t="inlineStr">
        <is>
          <t>Ergo Chair</t>
        </is>
      </c>
      <c r="F470" s="20" t="inlineStr">
        <is>
          <t>Enterprise</t>
        </is>
      </c>
      <c r="G470" s="20" t="inlineStr">
        <is>
          <t>L&amp;T Infotech</t>
        </is>
      </c>
      <c r="H470" s="20" t="n">
        <v>23</v>
      </c>
      <c r="I470" s="22" t="n">
        <v>39584.62</v>
      </c>
      <c r="J470" s="23" t="n">
        <v>0.15</v>
      </c>
      <c r="K470" s="24" t="n">
        <v>773879.3199999999</v>
      </c>
      <c r="L470" s="24" t="n">
        <v>535582.67</v>
      </c>
      <c r="M470" s="24" t="n">
        <v>238296.65</v>
      </c>
    </row>
    <row r="471">
      <c r="A471" s="20" t="inlineStr">
        <is>
          <t>ORD-20240470</t>
        </is>
      </c>
      <c r="B471" s="21" t="n">
        <v>45598</v>
      </c>
      <c r="C471" s="20" t="inlineStr">
        <is>
          <t>Central</t>
        </is>
      </c>
      <c r="D471" s="20" t="inlineStr">
        <is>
          <t>Home &amp; Kitchen</t>
        </is>
      </c>
      <c r="E471" s="20" t="inlineStr">
        <is>
          <t>Mixer Grinder</t>
        </is>
      </c>
      <c r="F471" s="20" t="inlineStr">
        <is>
          <t>SMB</t>
        </is>
      </c>
      <c r="G471" s="20" t="inlineStr">
        <is>
          <t>GreenFarm Agro</t>
        </is>
      </c>
      <c r="H471" s="20" t="n">
        <v>24</v>
      </c>
      <c r="I471" s="22" t="n">
        <v>16631.67</v>
      </c>
      <c r="J471" s="23" t="n">
        <v>0</v>
      </c>
      <c r="K471" s="24" t="n">
        <v>399160.08</v>
      </c>
      <c r="L471" s="24" t="n">
        <v>228087.67</v>
      </c>
      <c r="M471" s="24" t="n">
        <v>171072.41</v>
      </c>
    </row>
    <row r="472">
      <c r="A472" s="20" t="inlineStr">
        <is>
          <t>ORD-20240471</t>
        </is>
      </c>
      <c r="B472" s="21" t="n">
        <v>45598</v>
      </c>
      <c r="C472" s="20" t="inlineStr">
        <is>
          <t>South</t>
        </is>
      </c>
      <c r="D472" s="20" t="inlineStr">
        <is>
          <t>Electronics</t>
        </is>
      </c>
      <c r="E472" s="20" t="inlineStr">
        <is>
          <t>Keyboard Mech</t>
        </is>
      </c>
      <c r="F472" s="20" t="inlineStr">
        <is>
          <t>Consumer</t>
        </is>
      </c>
      <c r="G472" s="20" t="inlineStr">
        <is>
          <t>App User North</t>
        </is>
      </c>
      <c r="H472" s="20" t="n">
        <v>17</v>
      </c>
      <c r="I472" s="22" t="n">
        <v>69124.69</v>
      </c>
      <c r="J472" s="23" t="n">
        <v>0.1</v>
      </c>
      <c r="K472" s="24" t="n">
        <v>1057607.76</v>
      </c>
      <c r="L472" s="24" t="n">
        <v>691351.45</v>
      </c>
      <c r="M472" s="24" t="n">
        <v>366256.31</v>
      </c>
    </row>
    <row r="473">
      <c r="A473" s="20" t="inlineStr">
        <is>
          <t>ORD-20240472</t>
        </is>
      </c>
      <c r="B473" s="21" t="n">
        <v>45598</v>
      </c>
      <c r="C473" s="20" t="inlineStr">
        <is>
          <t>South</t>
        </is>
      </c>
      <c r="D473" s="20" t="inlineStr">
        <is>
          <t>Office Supplies</t>
        </is>
      </c>
      <c r="E473" s="20" t="inlineStr">
        <is>
          <t>Stapler Heavy</t>
        </is>
      </c>
      <c r="F473" s="20" t="inlineStr">
        <is>
          <t>SMB</t>
        </is>
      </c>
      <c r="G473" s="20" t="inlineStr">
        <is>
          <t>SwiftPrint</t>
        </is>
      </c>
      <c r="H473" s="20" t="n">
        <v>24</v>
      </c>
      <c r="I473" s="22" t="n">
        <v>1923.78</v>
      </c>
      <c r="J473" s="23" t="n">
        <v>0.05</v>
      </c>
      <c r="K473" s="24" t="n">
        <v>43862.18</v>
      </c>
      <c r="L473" s="24" t="n">
        <v>25484.52</v>
      </c>
      <c r="M473" s="24" t="n">
        <v>18377.66</v>
      </c>
    </row>
    <row r="474">
      <c r="A474" s="20" t="inlineStr">
        <is>
          <t>ORD-20240473</t>
        </is>
      </c>
      <c r="B474" s="21" t="n">
        <v>45599</v>
      </c>
      <c r="C474" s="20" t="inlineStr">
        <is>
          <t>West</t>
        </is>
      </c>
      <c r="D474" s="20" t="inlineStr">
        <is>
          <t>Furniture</t>
        </is>
      </c>
      <c r="E474" s="20" t="inlineStr">
        <is>
          <t>Bookshelf Oak</t>
        </is>
      </c>
      <c r="F474" s="20" t="inlineStr">
        <is>
          <t>Enterprise</t>
        </is>
      </c>
      <c r="G474" s="20" t="inlineStr">
        <is>
          <t>L&amp;T Infotech</t>
        </is>
      </c>
      <c r="H474" s="20" t="n">
        <v>11</v>
      </c>
      <c r="I474" s="22" t="n">
        <v>28984.1</v>
      </c>
      <c r="J474" s="23" t="n">
        <v>0</v>
      </c>
      <c r="K474" s="24" t="n">
        <v>318825.1</v>
      </c>
      <c r="L474" s="24" t="n">
        <v>228133.22</v>
      </c>
      <c r="M474" s="24" t="n">
        <v>90691.88</v>
      </c>
    </row>
    <row r="475">
      <c r="A475" s="20" t="inlineStr">
        <is>
          <t>ORD-20240474</t>
        </is>
      </c>
      <c r="B475" s="21" t="n">
        <v>45599</v>
      </c>
      <c r="C475" s="20" t="inlineStr">
        <is>
          <t>Central</t>
        </is>
      </c>
      <c r="D475" s="20" t="inlineStr">
        <is>
          <t>Office Supplies</t>
        </is>
      </c>
      <c r="E475" s="20" t="inlineStr">
        <is>
          <t>Notebook Set</t>
        </is>
      </c>
      <c r="F475" s="20" t="inlineStr">
        <is>
          <t>Consumer</t>
        </is>
      </c>
      <c r="G475" s="20" t="inlineStr">
        <is>
          <t>Walk-in Mumbai</t>
        </is>
      </c>
      <c r="H475" s="20" t="n">
        <v>10</v>
      </c>
      <c r="I475" s="22" t="n">
        <v>3073.09</v>
      </c>
      <c r="J475" s="23" t="n">
        <v>0.2</v>
      </c>
      <c r="K475" s="24" t="n">
        <v>24584.72</v>
      </c>
      <c r="L475" s="24" t="n">
        <v>18464.35</v>
      </c>
      <c r="M475" s="24" t="n">
        <v>6120.37</v>
      </c>
    </row>
    <row r="476">
      <c r="A476" s="20" t="inlineStr">
        <is>
          <t>ORD-20240475</t>
        </is>
      </c>
      <c r="B476" s="21" t="n">
        <v>45599</v>
      </c>
      <c r="C476" s="20" t="inlineStr">
        <is>
          <t>Central</t>
        </is>
      </c>
      <c r="D476" s="20" t="inlineStr">
        <is>
          <t>Apparel</t>
        </is>
      </c>
      <c r="E476" s="20" t="inlineStr">
        <is>
          <t>Formal Blazer</t>
        </is>
      </c>
      <c r="F476" s="20" t="inlineStr">
        <is>
          <t>Government</t>
        </is>
      </c>
      <c r="G476" s="20" t="inlineStr">
        <is>
          <t>Railways Zone W</t>
        </is>
      </c>
      <c r="H476" s="20" t="n">
        <v>16</v>
      </c>
      <c r="I476" s="22" t="n">
        <v>757.83</v>
      </c>
      <c r="J476" s="23" t="n">
        <v>0.15</v>
      </c>
      <c r="K476" s="24" t="n">
        <v>10306.49</v>
      </c>
      <c r="L476" s="24" t="n">
        <v>7558.28</v>
      </c>
      <c r="M476" s="24" t="n">
        <v>2748.21</v>
      </c>
    </row>
    <row r="477">
      <c r="A477" s="20" t="inlineStr">
        <is>
          <t>ORD-20240476</t>
        </is>
      </c>
      <c r="B477" s="21" t="n">
        <v>45599</v>
      </c>
      <c r="C477" s="20" t="inlineStr">
        <is>
          <t>West</t>
        </is>
      </c>
      <c r="D477" s="20" t="inlineStr">
        <is>
          <t>Furniture</t>
        </is>
      </c>
      <c r="E477" s="20" t="inlineStr">
        <is>
          <t>Conference Table</t>
        </is>
      </c>
      <c r="F477" s="20" t="inlineStr">
        <is>
          <t>SMB</t>
        </is>
      </c>
      <c r="G477" s="20" t="inlineStr">
        <is>
          <t>SwiftPrint</t>
        </is>
      </c>
      <c r="H477" s="20" t="n">
        <v>17</v>
      </c>
      <c r="I477" s="22" t="n">
        <v>25194.26</v>
      </c>
      <c r="J477" s="23" t="n">
        <v>0.1</v>
      </c>
      <c r="K477" s="24" t="n">
        <v>385472.18</v>
      </c>
      <c r="L477" s="24" t="n">
        <v>312929.13</v>
      </c>
      <c r="M477" s="24" t="n">
        <v>72543.05</v>
      </c>
    </row>
    <row r="478">
      <c r="A478" s="20" t="inlineStr">
        <is>
          <t>ORD-20240477</t>
        </is>
      </c>
      <c r="B478" s="21" t="n">
        <v>45599</v>
      </c>
      <c r="C478" s="20" t="inlineStr">
        <is>
          <t>West</t>
        </is>
      </c>
      <c r="D478" s="20" t="inlineStr">
        <is>
          <t>Home &amp; Kitchen</t>
        </is>
      </c>
      <c r="E478" s="20" t="inlineStr">
        <is>
          <t>Water Purifier</t>
        </is>
      </c>
      <c r="F478" s="20" t="inlineStr">
        <is>
          <t>SMB</t>
        </is>
      </c>
      <c r="G478" s="20" t="inlineStr">
        <is>
          <t>Pixel Studio</t>
        </is>
      </c>
      <c r="H478" s="20" t="n">
        <v>3</v>
      </c>
      <c r="I478" s="22" t="n">
        <v>18591.15</v>
      </c>
      <c r="J478" s="23" t="n">
        <v>0.05</v>
      </c>
      <c r="K478" s="24" t="n">
        <v>52984.78</v>
      </c>
      <c r="L478" s="24" t="n">
        <v>37148.86</v>
      </c>
      <c r="M478" s="24" t="n">
        <v>15835.92</v>
      </c>
    </row>
    <row r="479">
      <c r="A479" s="20" t="inlineStr">
        <is>
          <t>ORD-20240478</t>
        </is>
      </c>
      <c r="B479" s="21" t="n">
        <v>45600</v>
      </c>
      <c r="C479" s="20" t="inlineStr">
        <is>
          <t>South</t>
        </is>
      </c>
      <c r="D479" s="20" t="inlineStr">
        <is>
          <t>Apparel</t>
        </is>
      </c>
      <c r="E479" s="20" t="inlineStr">
        <is>
          <t>Cap Embroidered</t>
        </is>
      </c>
      <c r="F479" s="20" t="inlineStr">
        <is>
          <t>Enterprise</t>
        </is>
      </c>
      <c r="G479" s="20" t="inlineStr">
        <is>
          <t>Tech Mahindra</t>
        </is>
      </c>
      <c r="H479" s="20" t="n">
        <v>23</v>
      </c>
      <c r="I479" s="22" t="n">
        <v>4202.69</v>
      </c>
      <c r="J479" s="23" t="n">
        <v>0.05</v>
      </c>
      <c r="K479" s="24" t="n">
        <v>91828.78</v>
      </c>
      <c r="L479" s="24" t="n">
        <v>55429.52</v>
      </c>
      <c r="M479" s="24" t="n">
        <v>36399.26</v>
      </c>
    </row>
    <row r="480">
      <c r="A480" s="20" t="inlineStr">
        <is>
          <t>ORD-20240479</t>
        </is>
      </c>
      <c r="B480" s="21" t="n">
        <v>45601</v>
      </c>
      <c r="C480" s="20" t="inlineStr">
        <is>
          <t>North</t>
        </is>
      </c>
      <c r="D480" s="20" t="inlineStr">
        <is>
          <t>Office Supplies</t>
        </is>
      </c>
      <c r="E480" s="20" t="inlineStr">
        <is>
          <t>Gel Pen Pack</t>
        </is>
      </c>
      <c r="F480" s="20" t="inlineStr">
        <is>
          <t>Consumer</t>
        </is>
      </c>
      <c r="G480" s="20" t="inlineStr">
        <is>
          <t>App User North</t>
        </is>
      </c>
      <c r="H480" s="20" t="n">
        <v>8</v>
      </c>
      <c r="I480" s="22" t="n">
        <v>1591.24</v>
      </c>
      <c r="J480" s="23" t="n">
        <v>0.05</v>
      </c>
      <c r="K480" s="24" t="n">
        <v>12093.42</v>
      </c>
      <c r="L480" s="24" t="n">
        <v>9794.76</v>
      </c>
      <c r="M480" s="24" t="n">
        <v>2298.66</v>
      </c>
    </row>
    <row r="481">
      <c r="A481" s="20" t="inlineStr">
        <is>
          <t>ORD-20240480</t>
        </is>
      </c>
      <c r="B481" s="21" t="n">
        <v>45601</v>
      </c>
      <c r="C481" s="20" t="inlineStr">
        <is>
          <t>North</t>
        </is>
      </c>
      <c r="D481" s="20" t="inlineStr">
        <is>
          <t>Apparel</t>
        </is>
      </c>
      <c r="E481" s="20" t="inlineStr">
        <is>
          <t>Cap Embroidered</t>
        </is>
      </c>
      <c r="F481" s="20" t="inlineStr">
        <is>
          <t>Enterprise</t>
        </is>
      </c>
      <c r="G481" s="20" t="inlineStr">
        <is>
          <t>Wipro Tech</t>
        </is>
      </c>
      <c r="H481" s="20" t="n">
        <v>20</v>
      </c>
      <c r="I481" s="22" t="n">
        <v>375.62</v>
      </c>
      <c r="J481" s="23" t="n">
        <v>0</v>
      </c>
      <c r="K481" s="24" t="n">
        <v>7512.4</v>
      </c>
      <c r="L481" s="24" t="n">
        <v>5848.29</v>
      </c>
      <c r="M481" s="24" t="n">
        <v>1664.11</v>
      </c>
    </row>
    <row r="482">
      <c r="A482" s="20" t="inlineStr">
        <is>
          <t>ORD-20240481</t>
        </is>
      </c>
      <c r="B482" s="21" t="n">
        <v>45601</v>
      </c>
      <c r="C482" s="20" t="inlineStr">
        <is>
          <t>West</t>
        </is>
      </c>
      <c r="D482" s="20" t="inlineStr">
        <is>
          <t>Electronics</t>
        </is>
      </c>
      <c r="E482" s="20" t="inlineStr">
        <is>
          <t>USB-C Hub</t>
        </is>
      </c>
      <c r="F482" s="20" t="inlineStr">
        <is>
          <t>Enterprise</t>
        </is>
      </c>
      <c r="G482" s="20" t="inlineStr">
        <is>
          <t>HCL Services</t>
        </is>
      </c>
      <c r="H482" s="20" t="n">
        <v>8</v>
      </c>
      <c r="I482" s="22" t="n">
        <v>32087.34</v>
      </c>
      <c r="J482" s="23" t="n">
        <v>0.05</v>
      </c>
      <c r="K482" s="24" t="n">
        <v>243863.78</v>
      </c>
      <c r="L482" s="24" t="n">
        <v>153945.35</v>
      </c>
      <c r="M482" s="24" t="n">
        <v>89918.42999999999</v>
      </c>
    </row>
    <row r="483">
      <c r="A483" s="20" t="inlineStr">
        <is>
          <t>ORD-20240482</t>
        </is>
      </c>
      <c r="B483" s="21" t="n">
        <v>45601</v>
      </c>
      <c r="C483" s="20" t="inlineStr">
        <is>
          <t>South</t>
        </is>
      </c>
      <c r="D483" s="20" t="inlineStr">
        <is>
          <t>Apparel</t>
        </is>
      </c>
      <c r="E483" s="20" t="inlineStr">
        <is>
          <t>Hoodie Soft</t>
        </is>
      </c>
      <c r="F483" s="20" t="inlineStr">
        <is>
          <t>SMB</t>
        </is>
      </c>
      <c r="G483" s="20" t="inlineStr">
        <is>
          <t>Nova Logistics</t>
        </is>
      </c>
      <c r="H483" s="20" t="n">
        <v>13</v>
      </c>
      <c r="I483" s="22" t="n">
        <v>1659.48</v>
      </c>
      <c r="J483" s="23" t="n">
        <v>0.15</v>
      </c>
      <c r="K483" s="24" t="n">
        <v>18337.25</v>
      </c>
      <c r="L483" s="24" t="n">
        <v>12074.84</v>
      </c>
      <c r="M483" s="24" t="n">
        <v>6262.41</v>
      </c>
    </row>
    <row r="484">
      <c r="A484" s="20" t="inlineStr">
        <is>
          <t>ORD-20240483</t>
        </is>
      </c>
      <c r="B484" s="21" t="n">
        <v>45602</v>
      </c>
      <c r="C484" s="20" t="inlineStr">
        <is>
          <t>East</t>
        </is>
      </c>
      <c r="D484" s="20" t="inlineStr">
        <is>
          <t>Electronics</t>
        </is>
      </c>
      <c r="E484" s="20" t="inlineStr">
        <is>
          <t>Wireless Mouse</t>
        </is>
      </c>
      <c r="F484" s="20" t="inlineStr">
        <is>
          <t>SMB</t>
        </is>
      </c>
      <c r="G484" s="20" t="inlineStr">
        <is>
          <t>SwiftPrint</t>
        </is>
      </c>
      <c r="H484" s="20" t="n">
        <v>1</v>
      </c>
      <c r="I484" s="22" t="n">
        <v>65249.63</v>
      </c>
      <c r="J484" s="23" t="n">
        <v>0.12</v>
      </c>
      <c r="K484" s="24" t="n">
        <v>57419.67</v>
      </c>
      <c r="L484" s="24" t="n">
        <v>50312.37</v>
      </c>
      <c r="M484" s="24" t="n">
        <v>7107.3</v>
      </c>
    </row>
    <row r="485">
      <c r="A485" s="20" t="inlineStr">
        <is>
          <t>ORD-20240484</t>
        </is>
      </c>
      <c r="B485" s="21" t="n">
        <v>45602</v>
      </c>
      <c r="C485" s="20" t="inlineStr">
        <is>
          <t>West</t>
        </is>
      </c>
      <c r="D485" s="20" t="inlineStr">
        <is>
          <t>Apparel</t>
        </is>
      </c>
      <c r="E485" s="20" t="inlineStr">
        <is>
          <t>Cap Embroidered</t>
        </is>
      </c>
      <c r="F485" s="20" t="inlineStr">
        <is>
          <t>SMB</t>
        </is>
      </c>
      <c r="G485" s="20" t="inlineStr">
        <is>
          <t>BrightRetail Co</t>
        </is>
      </c>
      <c r="H485" s="20" t="n">
        <v>10</v>
      </c>
      <c r="I485" s="22" t="n">
        <v>2447.29</v>
      </c>
      <c r="J485" s="23" t="n">
        <v>0.12</v>
      </c>
      <c r="K485" s="24" t="n">
        <v>21536.15</v>
      </c>
      <c r="L485" s="24" t="n">
        <v>13522.12</v>
      </c>
      <c r="M485" s="24" t="n">
        <v>8014.03</v>
      </c>
    </row>
    <row r="486">
      <c r="A486" s="20" t="inlineStr">
        <is>
          <t>ORD-20240485</t>
        </is>
      </c>
      <c r="B486" s="21" t="n">
        <v>45603</v>
      </c>
      <c r="C486" s="20" t="inlineStr">
        <is>
          <t>Central</t>
        </is>
      </c>
      <c r="D486" s="20" t="inlineStr">
        <is>
          <t>Apparel</t>
        </is>
      </c>
      <c r="E486" s="20" t="inlineStr">
        <is>
          <t>Polo Shirt</t>
        </is>
      </c>
      <c r="F486" s="20" t="inlineStr">
        <is>
          <t>Government</t>
        </is>
      </c>
      <c r="G486" s="20" t="inlineStr">
        <is>
          <t>MH Education Dept</t>
        </is>
      </c>
      <c r="H486" s="20" t="n">
        <v>16</v>
      </c>
      <c r="I486" s="22" t="n">
        <v>809.6</v>
      </c>
      <c r="J486" s="23" t="n">
        <v>0.15</v>
      </c>
      <c r="K486" s="24" t="n">
        <v>11010.56</v>
      </c>
      <c r="L486" s="24" t="n">
        <v>9028.280000000001</v>
      </c>
      <c r="M486" s="24" t="n">
        <v>1982.28</v>
      </c>
    </row>
    <row r="487">
      <c r="A487" s="20" t="inlineStr">
        <is>
          <t>ORD-20240486</t>
        </is>
      </c>
      <c r="B487" s="21" t="n">
        <v>45605</v>
      </c>
      <c r="C487" s="20" t="inlineStr">
        <is>
          <t>North</t>
        </is>
      </c>
      <c r="D487" s="20" t="inlineStr">
        <is>
          <t>Apparel</t>
        </is>
      </c>
      <c r="E487" s="20" t="inlineStr">
        <is>
          <t>Hoodie Soft</t>
        </is>
      </c>
      <c r="F487" s="20" t="inlineStr">
        <is>
          <t>SMB</t>
        </is>
      </c>
      <c r="G487" s="20" t="inlineStr">
        <is>
          <t>Nova Logistics</t>
        </is>
      </c>
      <c r="H487" s="20" t="n">
        <v>7</v>
      </c>
      <c r="I487" s="22" t="n">
        <v>2423.78</v>
      </c>
      <c r="J487" s="23" t="n">
        <v>0.05</v>
      </c>
      <c r="K487" s="24" t="n">
        <v>16118.14</v>
      </c>
      <c r="L487" s="24" t="n">
        <v>10876.47</v>
      </c>
      <c r="M487" s="24" t="n">
        <v>5241.67</v>
      </c>
    </row>
    <row r="488">
      <c r="A488" s="20" t="inlineStr">
        <is>
          <t>ORD-20240487</t>
        </is>
      </c>
      <c r="B488" s="21" t="n">
        <v>45606</v>
      </c>
      <c r="C488" s="20" t="inlineStr">
        <is>
          <t>North</t>
        </is>
      </c>
      <c r="D488" s="20" t="inlineStr">
        <is>
          <t>Furniture</t>
        </is>
      </c>
      <c r="E488" s="20" t="inlineStr">
        <is>
          <t>Bookshelf Oak</t>
        </is>
      </c>
      <c r="F488" s="20" t="inlineStr">
        <is>
          <t>Enterprise</t>
        </is>
      </c>
      <c r="G488" s="20" t="inlineStr">
        <is>
          <t>TCS Digital</t>
        </is>
      </c>
      <c r="H488" s="20" t="n">
        <v>5</v>
      </c>
      <c r="I488" s="22" t="n">
        <v>38914.65</v>
      </c>
      <c r="J488" s="23" t="n">
        <v>0</v>
      </c>
      <c r="K488" s="24" t="n">
        <v>194573.25</v>
      </c>
      <c r="L488" s="24" t="n">
        <v>137806.67</v>
      </c>
      <c r="M488" s="24" t="n">
        <v>56766.58</v>
      </c>
    </row>
    <row r="489">
      <c r="A489" s="20" t="inlineStr">
        <is>
          <t>ORD-20240488</t>
        </is>
      </c>
      <c r="B489" s="21" t="n">
        <v>45607</v>
      </c>
      <c r="C489" s="20" t="inlineStr">
        <is>
          <t>South</t>
        </is>
      </c>
      <c r="D489" s="20" t="inlineStr">
        <is>
          <t>Office Supplies</t>
        </is>
      </c>
      <c r="E489" s="20" t="inlineStr">
        <is>
          <t>Whiteboard Kit</t>
        </is>
      </c>
      <c r="F489" s="20" t="inlineStr">
        <is>
          <t>Government</t>
        </is>
      </c>
      <c r="G489" s="20" t="inlineStr">
        <is>
          <t>Railways Zone W</t>
        </is>
      </c>
      <c r="H489" s="20" t="n">
        <v>13</v>
      </c>
      <c r="I489" s="22" t="n">
        <v>1336.27</v>
      </c>
      <c r="J489" s="23" t="n">
        <v>0.05</v>
      </c>
      <c r="K489" s="24" t="n">
        <v>16502.93</v>
      </c>
      <c r="L489" s="24" t="n">
        <v>10932.44</v>
      </c>
      <c r="M489" s="24" t="n">
        <v>5570.49</v>
      </c>
    </row>
    <row r="490">
      <c r="A490" s="20" t="inlineStr">
        <is>
          <t>ORD-20240489</t>
        </is>
      </c>
      <c r="B490" s="21" t="n">
        <v>45608</v>
      </c>
      <c r="C490" s="20" t="inlineStr">
        <is>
          <t>South</t>
        </is>
      </c>
      <c r="D490" s="20" t="inlineStr">
        <is>
          <t>Apparel</t>
        </is>
      </c>
      <c r="E490" s="20" t="inlineStr">
        <is>
          <t>Hoodie Soft</t>
        </is>
      </c>
      <c r="F490" s="20" t="inlineStr">
        <is>
          <t>SMB</t>
        </is>
      </c>
      <c r="G490" s="20" t="inlineStr">
        <is>
          <t>SwiftPrint</t>
        </is>
      </c>
      <c r="H490" s="20" t="n">
        <v>5</v>
      </c>
      <c r="I490" s="22" t="n">
        <v>3029.84</v>
      </c>
      <c r="J490" s="23" t="n">
        <v>0.05</v>
      </c>
      <c r="K490" s="24" t="n">
        <v>14391.74</v>
      </c>
      <c r="L490" s="24" t="n">
        <v>11337.59</v>
      </c>
      <c r="M490" s="24" t="n">
        <v>3054.15</v>
      </c>
    </row>
    <row r="491">
      <c r="A491" s="20" t="inlineStr">
        <is>
          <t>ORD-20240490</t>
        </is>
      </c>
      <c r="B491" s="21" t="n">
        <v>45608</v>
      </c>
      <c r="C491" s="20" t="inlineStr">
        <is>
          <t>West</t>
        </is>
      </c>
      <c r="D491" s="20" t="inlineStr">
        <is>
          <t>Furniture</t>
        </is>
      </c>
      <c r="E491" s="20" t="inlineStr">
        <is>
          <t>Conference Table</t>
        </is>
      </c>
      <c r="F491" s="20" t="inlineStr">
        <is>
          <t>SMB</t>
        </is>
      </c>
      <c r="G491" s="20" t="inlineStr">
        <is>
          <t>CityCare Clinics</t>
        </is>
      </c>
      <c r="H491" s="20" t="n">
        <v>10</v>
      </c>
      <c r="I491" s="22" t="n">
        <v>8699.5</v>
      </c>
      <c r="J491" s="23" t="n">
        <v>0</v>
      </c>
      <c r="K491" s="24" t="n">
        <v>86995</v>
      </c>
      <c r="L491" s="24" t="n">
        <v>59830.16</v>
      </c>
      <c r="M491" s="24" t="n">
        <v>27164.84</v>
      </c>
    </row>
    <row r="492">
      <c r="A492" s="20" t="inlineStr">
        <is>
          <t>ORD-20240491</t>
        </is>
      </c>
      <c r="B492" s="21" t="n">
        <v>45609</v>
      </c>
      <c r="C492" s="20" t="inlineStr">
        <is>
          <t>Central</t>
        </is>
      </c>
      <c r="D492" s="20" t="inlineStr">
        <is>
          <t>Office Supplies</t>
        </is>
      </c>
      <c r="E492" s="20" t="inlineStr">
        <is>
          <t>Gel Pen Pack</t>
        </is>
      </c>
      <c r="F492" s="20" t="inlineStr">
        <is>
          <t>Enterprise</t>
        </is>
      </c>
      <c r="G492" s="20" t="inlineStr">
        <is>
          <t>HCL Services</t>
        </is>
      </c>
      <c r="H492" s="20" t="n">
        <v>19</v>
      </c>
      <c r="I492" s="22" t="n">
        <v>504.69</v>
      </c>
      <c r="J492" s="23" t="n">
        <v>0.15</v>
      </c>
      <c r="K492" s="24" t="n">
        <v>8150.74</v>
      </c>
      <c r="L492" s="24" t="n">
        <v>5488.52</v>
      </c>
      <c r="M492" s="24" t="n">
        <v>2662.22</v>
      </c>
    </row>
    <row r="493">
      <c r="A493" s="20" t="inlineStr">
        <is>
          <t>ORD-20240492</t>
        </is>
      </c>
      <c r="B493" s="21" t="n">
        <v>45609</v>
      </c>
      <c r="C493" s="20" t="inlineStr">
        <is>
          <t>Central</t>
        </is>
      </c>
      <c r="D493" s="20" t="inlineStr">
        <is>
          <t>Furniture</t>
        </is>
      </c>
      <c r="E493" s="20" t="inlineStr">
        <is>
          <t>Bookshelf Oak</t>
        </is>
      </c>
      <c r="F493" s="20" t="inlineStr">
        <is>
          <t>SMB</t>
        </is>
      </c>
      <c r="G493" s="20" t="inlineStr">
        <is>
          <t>GreenFarm Agro</t>
        </is>
      </c>
      <c r="H493" s="20" t="n">
        <v>8</v>
      </c>
      <c r="I493" s="22" t="n">
        <v>7326.24</v>
      </c>
      <c r="J493" s="23" t="n">
        <v>0.05</v>
      </c>
      <c r="K493" s="24" t="n">
        <v>55679.42</v>
      </c>
      <c r="L493" s="24" t="n">
        <v>32608.92</v>
      </c>
      <c r="M493" s="24" t="n">
        <v>23070.5</v>
      </c>
    </row>
    <row r="494">
      <c r="A494" s="20" t="inlineStr">
        <is>
          <t>ORD-20240493</t>
        </is>
      </c>
      <c r="B494" s="21" t="n">
        <v>45609</v>
      </c>
      <c r="C494" s="20" t="inlineStr">
        <is>
          <t>West</t>
        </is>
      </c>
      <c r="D494" s="20" t="inlineStr">
        <is>
          <t>Furniture</t>
        </is>
      </c>
      <c r="E494" s="20" t="inlineStr">
        <is>
          <t>Conference Table</t>
        </is>
      </c>
      <c r="F494" s="20" t="inlineStr">
        <is>
          <t>Consumer</t>
        </is>
      </c>
      <c r="G494" s="20" t="inlineStr">
        <is>
          <t>Walk-in Mumbai</t>
        </is>
      </c>
      <c r="H494" s="20" t="n">
        <v>4</v>
      </c>
      <c r="I494" s="22" t="n">
        <v>15188.23</v>
      </c>
      <c r="J494" s="23" t="n">
        <v>0.12</v>
      </c>
      <c r="K494" s="24" t="n">
        <v>53462.57</v>
      </c>
      <c r="L494" s="24" t="n">
        <v>43696.81</v>
      </c>
      <c r="M494" s="24" t="n">
        <v>9765.76</v>
      </c>
    </row>
    <row r="495">
      <c r="A495" s="20" t="inlineStr">
        <is>
          <t>ORD-20240494</t>
        </is>
      </c>
      <c r="B495" s="21" t="n">
        <v>45610</v>
      </c>
      <c r="C495" s="20" t="inlineStr">
        <is>
          <t>South</t>
        </is>
      </c>
      <c r="D495" s="20" t="inlineStr">
        <is>
          <t>Home &amp; Kitchen</t>
        </is>
      </c>
      <c r="E495" s="20" t="inlineStr">
        <is>
          <t>Coffee Maker</t>
        </is>
      </c>
      <c r="F495" s="20" t="inlineStr">
        <is>
          <t>Enterprise</t>
        </is>
      </c>
      <c r="G495" s="20" t="inlineStr">
        <is>
          <t>HCL Services</t>
        </is>
      </c>
      <c r="H495" s="20" t="n">
        <v>13</v>
      </c>
      <c r="I495" s="22" t="n">
        <v>20269</v>
      </c>
      <c r="J495" s="23" t="n">
        <v>0.2</v>
      </c>
      <c r="K495" s="24" t="n">
        <v>210797.6</v>
      </c>
      <c r="L495" s="24" t="n">
        <v>151943.51</v>
      </c>
      <c r="M495" s="24" t="n">
        <v>58854.09</v>
      </c>
    </row>
    <row r="496">
      <c r="A496" s="20" t="inlineStr">
        <is>
          <t>ORD-20240495</t>
        </is>
      </c>
      <c r="B496" s="21" t="n">
        <v>45610</v>
      </c>
      <c r="C496" s="20" t="inlineStr">
        <is>
          <t>West</t>
        </is>
      </c>
      <c r="D496" s="20" t="inlineStr">
        <is>
          <t>Furniture</t>
        </is>
      </c>
      <c r="E496" s="20" t="inlineStr">
        <is>
          <t>Filing Cabinet</t>
        </is>
      </c>
      <c r="F496" s="20" t="inlineStr">
        <is>
          <t>SMB</t>
        </is>
      </c>
      <c r="G496" s="20" t="inlineStr">
        <is>
          <t>Nova Logistics</t>
        </is>
      </c>
      <c r="H496" s="20" t="n">
        <v>22</v>
      </c>
      <c r="I496" s="22" t="n">
        <v>29685.9</v>
      </c>
      <c r="J496" s="23" t="n">
        <v>0</v>
      </c>
      <c r="K496" s="24" t="n">
        <v>653089.8</v>
      </c>
      <c r="L496" s="24" t="n">
        <v>404396.61</v>
      </c>
      <c r="M496" s="24" t="n">
        <v>248693.19</v>
      </c>
    </row>
    <row r="497">
      <c r="A497" s="20" t="inlineStr">
        <is>
          <t>ORD-20240496</t>
        </is>
      </c>
      <c r="B497" s="21" t="n">
        <v>45611</v>
      </c>
      <c r="C497" s="20" t="inlineStr">
        <is>
          <t>West</t>
        </is>
      </c>
      <c r="D497" s="20" t="inlineStr">
        <is>
          <t>Electronics</t>
        </is>
      </c>
      <c r="E497" s="20" t="inlineStr">
        <is>
          <t>Laptop Pro 14</t>
        </is>
      </c>
      <c r="F497" s="20" t="inlineStr">
        <is>
          <t>Enterprise</t>
        </is>
      </c>
      <c r="G497" s="20" t="inlineStr">
        <is>
          <t>Infosys Ltd</t>
        </is>
      </c>
      <c r="H497" s="20" t="n">
        <v>14</v>
      </c>
      <c r="I497" s="22" t="n">
        <v>33799.39</v>
      </c>
      <c r="J497" s="23" t="n">
        <v>0.15</v>
      </c>
      <c r="K497" s="24" t="n">
        <v>402212.74</v>
      </c>
      <c r="L497" s="24" t="n">
        <v>327331.39</v>
      </c>
      <c r="M497" s="24" t="n">
        <v>74881.35000000001</v>
      </c>
    </row>
    <row r="498">
      <c r="A498" s="20" t="inlineStr">
        <is>
          <t>ORD-20240497</t>
        </is>
      </c>
      <c r="B498" s="21" t="n">
        <v>45611</v>
      </c>
      <c r="C498" s="20" t="inlineStr">
        <is>
          <t>North</t>
        </is>
      </c>
      <c r="D498" s="20" t="inlineStr">
        <is>
          <t>Office Supplies</t>
        </is>
      </c>
      <c r="E498" s="20" t="inlineStr">
        <is>
          <t>Notebook Set</t>
        </is>
      </c>
      <c r="F498" s="20" t="inlineStr">
        <is>
          <t>Enterprise</t>
        </is>
      </c>
      <c r="G498" s="20" t="inlineStr">
        <is>
          <t>Wipro Tech</t>
        </is>
      </c>
      <c r="H498" s="20" t="n">
        <v>16</v>
      </c>
      <c r="I498" s="22" t="n">
        <v>449.24</v>
      </c>
      <c r="J498" s="23" t="n">
        <v>0.05</v>
      </c>
      <c r="K498" s="24" t="n">
        <v>6828.45</v>
      </c>
      <c r="L498" s="24" t="n">
        <v>4708.74</v>
      </c>
      <c r="M498" s="24" t="n">
        <v>2119.71</v>
      </c>
    </row>
    <row r="499">
      <c r="A499" s="20" t="inlineStr">
        <is>
          <t>ORD-20240498</t>
        </is>
      </c>
      <c r="B499" s="21" t="n">
        <v>45611</v>
      </c>
      <c r="C499" s="20" t="inlineStr">
        <is>
          <t>North</t>
        </is>
      </c>
      <c r="D499" s="20" t="inlineStr">
        <is>
          <t>Furniture</t>
        </is>
      </c>
      <c r="E499" s="20" t="inlineStr">
        <is>
          <t>Conference Table</t>
        </is>
      </c>
      <c r="F499" s="20" t="inlineStr">
        <is>
          <t>Consumer</t>
        </is>
      </c>
      <c r="G499" s="20" t="inlineStr">
        <is>
          <t>Walk-in Mumbai</t>
        </is>
      </c>
      <c r="H499" s="20" t="n">
        <v>19</v>
      </c>
      <c r="I499" s="22" t="n">
        <v>34868.11</v>
      </c>
      <c r="J499" s="23" t="n">
        <v>0.2</v>
      </c>
      <c r="K499" s="24" t="n">
        <v>529995.27</v>
      </c>
      <c r="L499" s="24" t="n">
        <v>495178.25</v>
      </c>
      <c r="M499" s="24" t="n">
        <v>34817.02</v>
      </c>
    </row>
    <row r="500">
      <c r="A500" s="20" t="inlineStr">
        <is>
          <t>ORD-20240499</t>
        </is>
      </c>
      <c r="B500" s="21" t="n">
        <v>45612</v>
      </c>
      <c r="C500" s="20" t="inlineStr">
        <is>
          <t>West</t>
        </is>
      </c>
      <c r="D500" s="20" t="inlineStr">
        <is>
          <t>Office Supplies</t>
        </is>
      </c>
      <c r="E500" s="20" t="inlineStr">
        <is>
          <t>Notebook Set</t>
        </is>
      </c>
      <c r="F500" s="20" t="inlineStr">
        <is>
          <t>SMB</t>
        </is>
      </c>
      <c r="G500" s="20" t="inlineStr">
        <is>
          <t>GreenFarm Agro</t>
        </is>
      </c>
      <c r="H500" s="20" t="n">
        <v>14</v>
      </c>
      <c r="I500" s="22" t="n">
        <v>381.35</v>
      </c>
      <c r="J500" s="23" t="n">
        <v>0.2</v>
      </c>
      <c r="K500" s="24" t="n">
        <v>4271.12</v>
      </c>
      <c r="L500" s="24" t="n">
        <v>3479.03</v>
      </c>
      <c r="M500" s="24" t="n">
        <v>792.09</v>
      </c>
    </row>
    <row r="501">
      <c r="A501" s="20" t="inlineStr">
        <is>
          <t>ORD-20240500</t>
        </is>
      </c>
      <c r="B501" s="21" t="n">
        <v>45613</v>
      </c>
      <c r="C501" s="20" t="inlineStr">
        <is>
          <t>South</t>
        </is>
      </c>
      <c r="D501" s="20" t="inlineStr">
        <is>
          <t>Furniture</t>
        </is>
      </c>
      <c r="E501" s="20" t="inlineStr">
        <is>
          <t>Ergo Chair</t>
        </is>
      </c>
      <c r="F501" s="20" t="inlineStr">
        <is>
          <t>SMB</t>
        </is>
      </c>
      <c r="G501" s="20" t="inlineStr">
        <is>
          <t>CityCare Clinics</t>
        </is>
      </c>
      <c r="H501" s="20" t="n">
        <v>4</v>
      </c>
      <c r="I501" s="22" t="n">
        <v>9104.950000000001</v>
      </c>
      <c r="J501" s="23" t="n">
        <v>0</v>
      </c>
      <c r="K501" s="24" t="n">
        <v>36419.8</v>
      </c>
      <c r="L501" s="24" t="n">
        <v>23796.71</v>
      </c>
      <c r="M501" s="24" t="n">
        <v>12623.09</v>
      </c>
    </row>
    <row r="502">
      <c r="A502" s="20" t="inlineStr">
        <is>
          <t>ORD-20240501</t>
        </is>
      </c>
      <c r="B502" s="21" t="n">
        <v>45613</v>
      </c>
      <c r="C502" s="20" t="inlineStr">
        <is>
          <t>North</t>
        </is>
      </c>
      <c r="D502" s="20" t="inlineStr">
        <is>
          <t>Furniture</t>
        </is>
      </c>
      <c r="E502" s="20" t="inlineStr">
        <is>
          <t>Filing Cabinet</t>
        </is>
      </c>
      <c r="F502" s="20" t="inlineStr">
        <is>
          <t>Consumer</t>
        </is>
      </c>
      <c r="G502" s="20" t="inlineStr">
        <is>
          <t>App User North</t>
        </is>
      </c>
      <c r="H502" s="20" t="n">
        <v>13</v>
      </c>
      <c r="I502" s="22" t="n">
        <v>40145.77</v>
      </c>
      <c r="J502" s="23" t="n">
        <v>0.2</v>
      </c>
      <c r="K502" s="24" t="n">
        <v>417516.01</v>
      </c>
      <c r="L502" s="24" t="n">
        <v>391899.14</v>
      </c>
      <c r="M502" s="24" t="n">
        <v>25616.87</v>
      </c>
    </row>
    <row r="503">
      <c r="A503" s="20" t="inlineStr">
        <is>
          <t>ORD-20240502</t>
        </is>
      </c>
      <c r="B503" s="21" t="n">
        <v>45613</v>
      </c>
      <c r="C503" s="20" t="inlineStr">
        <is>
          <t>North</t>
        </is>
      </c>
      <c r="D503" s="20" t="inlineStr">
        <is>
          <t>Electronics</t>
        </is>
      </c>
      <c r="E503" s="20" t="inlineStr">
        <is>
          <t>Wireless Mouse</t>
        </is>
      </c>
      <c r="F503" s="20" t="inlineStr">
        <is>
          <t>SMB</t>
        </is>
      </c>
      <c r="G503" s="20" t="inlineStr">
        <is>
          <t>CityCare Clinics</t>
        </is>
      </c>
      <c r="H503" s="20" t="n">
        <v>23</v>
      </c>
      <c r="I503" s="22" t="n">
        <v>15950.74</v>
      </c>
      <c r="J503" s="23" t="n">
        <v>0.2</v>
      </c>
      <c r="K503" s="24" t="n">
        <v>293493.62</v>
      </c>
      <c r="L503" s="24" t="n">
        <v>239514.11</v>
      </c>
      <c r="M503" s="24" t="n">
        <v>53979.51</v>
      </c>
    </row>
    <row r="504">
      <c r="A504" s="20" t="inlineStr">
        <is>
          <t>ORD-20240503</t>
        </is>
      </c>
      <c r="B504" s="21" t="n">
        <v>45614</v>
      </c>
      <c r="C504" s="20" t="inlineStr">
        <is>
          <t>North</t>
        </is>
      </c>
      <c r="D504" s="20" t="inlineStr">
        <is>
          <t>Furniture</t>
        </is>
      </c>
      <c r="E504" s="20" t="inlineStr">
        <is>
          <t>Ergo Chair</t>
        </is>
      </c>
      <c r="F504" s="20" t="inlineStr">
        <is>
          <t>SMB</t>
        </is>
      </c>
      <c r="G504" s="20" t="inlineStr">
        <is>
          <t>BrightRetail Co</t>
        </is>
      </c>
      <c r="H504" s="20" t="n">
        <v>19</v>
      </c>
      <c r="I504" s="22" t="n">
        <v>33525.39</v>
      </c>
      <c r="J504" s="23" t="n">
        <v>0.1</v>
      </c>
      <c r="K504" s="24" t="n">
        <v>573284.17</v>
      </c>
      <c r="L504" s="24" t="n">
        <v>491462</v>
      </c>
      <c r="M504" s="24" t="n">
        <v>81822.17</v>
      </c>
    </row>
    <row r="505">
      <c r="A505" s="20" t="inlineStr">
        <is>
          <t>ORD-20240504</t>
        </is>
      </c>
      <c r="B505" s="21" t="n">
        <v>45614</v>
      </c>
      <c r="C505" s="20" t="inlineStr">
        <is>
          <t>Central</t>
        </is>
      </c>
      <c r="D505" s="20" t="inlineStr">
        <is>
          <t>Home &amp; Kitchen</t>
        </is>
      </c>
      <c r="E505" s="20" t="inlineStr">
        <is>
          <t>Coffee Maker</t>
        </is>
      </c>
      <c r="F505" s="20" t="inlineStr">
        <is>
          <t>Government</t>
        </is>
      </c>
      <c r="G505" s="20" t="inlineStr">
        <is>
          <t>MH Education Dept</t>
        </is>
      </c>
      <c r="H505" s="20" t="n">
        <v>20</v>
      </c>
      <c r="I505" s="22" t="n">
        <v>4153.92</v>
      </c>
      <c r="J505" s="23" t="n">
        <v>0.05</v>
      </c>
      <c r="K505" s="24" t="n">
        <v>78924.48</v>
      </c>
      <c r="L505" s="24" t="n">
        <v>59169.37</v>
      </c>
      <c r="M505" s="24" t="n">
        <v>19755.11</v>
      </c>
    </row>
    <row r="506">
      <c r="A506" s="20" t="inlineStr">
        <is>
          <t>ORD-20240505</t>
        </is>
      </c>
      <c r="B506" s="21" t="n">
        <v>45614</v>
      </c>
      <c r="C506" s="20" t="inlineStr">
        <is>
          <t>East</t>
        </is>
      </c>
      <c r="D506" s="20" t="inlineStr">
        <is>
          <t>Electronics</t>
        </is>
      </c>
      <c r="E506" s="20" t="inlineStr">
        <is>
          <t>Wireless Mouse</t>
        </is>
      </c>
      <c r="F506" s="20" t="inlineStr">
        <is>
          <t>Enterprise</t>
        </is>
      </c>
      <c r="G506" s="20" t="inlineStr">
        <is>
          <t>Tech Mahindra</t>
        </is>
      </c>
      <c r="H506" s="20" t="n">
        <v>19</v>
      </c>
      <c r="I506" s="22" t="n">
        <v>4578.44</v>
      </c>
      <c r="J506" s="23" t="n">
        <v>0.15</v>
      </c>
      <c r="K506" s="24" t="n">
        <v>73941.81</v>
      </c>
      <c r="L506" s="24" t="n">
        <v>48758.67</v>
      </c>
      <c r="M506" s="24" t="n">
        <v>25183.14</v>
      </c>
    </row>
    <row r="507">
      <c r="A507" s="20" t="inlineStr">
        <is>
          <t>ORD-20240506</t>
        </is>
      </c>
      <c r="B507" s="21" t="n">
        <v>45615</v>
      </c>
      <c r="C507" s="20" t="inlineStr">
        <is>
          <t>West</t>
        </is>
      </c>
      <c r="D507" s="20" t="inlineStr">
        <is>
          <t>Electronics</t>
        </is>
      </c>
      <c r="E507" s="20" t="inlineStr">
        <is>
          <t>Keyboard Mech</t>
        </is>
      </c>
      <c r="F507" s="20" t="inlineStr">
        <is>
          <t>Enterprise</t>
        </is>
      </c>
      <c r="G507" s="20" t="inlineStr">
        <is>
          <t>Wipro Tech</t>
        </is>
      </c>
      <c r="H507" s="20" t="n">
        <v>7</v>
      </c>
      <c r="I507" s="22" t="n">
        <v>4488.49</v>
      </c>
      <c r="J507" s="23" t="n">
        <v>0.05</v>
      </c>
      <c r="K507" s="24" t="n">
        <v>29848.46</v>
      </c>
      <c r="L507" s="24" t="n">
        <v>23681.82</v>
      </c>
      <c r="M507" s="24" t="n">
        <v>6166.64</v>
      </c>
    </row>
    <row r="508">
      <c r="A508" s="20" t="inlineStr">
        <is>
          <t>ORD-20240507</t>
        </is>
      </c>
      <c r="B508" s="21" t="n">
        <v>45615</v>
      </c>
      <c r="C508" s="20" t="inlineStr">
        <is>
          <t>Central</t>
        </is>
      </c>
      <c r="D508" s="20" t="inlineStr">
        <is>
          <t>Home &amp; Kitchen</t>
        </is>
      </c>
      <c r="E508" s="20" t="inlineStr">
        <is>
          <t>Air Fryer</t>
        </is>
      </c>
      <c r="F508" s="20" t="inlineStr">
        <is>
          <t>SMB</t>
        </is>
      </c>
      <c r="G508" s="20" t="inlineStr">
        <is>
          <t>SwiftPrint</t>
        </is>
      </c>
      <c r="H508" s="20" t="n">
        <v>6</v>
      </c>
      <c r="I508" s="22" t="n">
        <v>21646.38</v>
      </c>
      <c r="J508" s="23" t="n">
        <v>0</v>
      </c>
      <c r="K508" s="24" t="n">
        <v>129878.28</v>
      </c>
      <c r="L508" s="24" t="n">
        <v>87674.83</v>
      </c>
      <c r="M508" s="24" t="n">
        <v>42203.45</v>
      </c>
    </row>
    <row r="509">
      <c r="A509" s="20" t="inlineStr">
        <is>
          <t>ORD-20240508</t>
        </is>
      </c>
      <c r="B509" s="21" t="n">
        <v>45616</v>
      </c>
      <c r="C509" s="20" t="inlineStr">
        <is>
          <t>North</t>
        </is>
      </c>
      <c r="D509" s="20" t="inlineStr">
        <is>
          <t>Furniture</t>
        </is>
      </c>
      <c r="E509" s="20" t="inlineStr">
        <is>
          <t>Ergo Chair</t>
        </is>
      </c>
      <c r="F509" s="20" t="inlineStr">
        <is>
          <t>Consumer</t>
        </is>
      </c>
      <c r="G509" s="20" t="inlineStr">
        <is>
          <t>Walk-in Mumbai</t>
        </is>
      </c>
      <c r="H509" s="20" t="n">
        <v>13</v>
      </c>
      <c r="I509" s="22" t="n">
        <v>32746.28</v>
      </c>
      <c r="J509" s="23" t="n">
        <v>0</v>
      </c>
      <c r="K509" s="24" t="n">
        <v>425701.64</v>
      </c>
      <c r="L509" s="24" t="n">
        <v>306556.57</v>
      </c>
      <c r="M509" s="24" t="n">
        <v>119145.07</v>
      </c>
    </row>
    <row r="510">
      <c r="A510" s="20" t="inlineStr">
        <is>
          <t>ORD-20240509</t>
        </is>
      </c>
      <c r="B510" s="21" t="n">
        <v>45616</v>
      </c>
      <c r="C510" s="20" t="inlineStr">
        <is>
          <t>East</t>
        </is>
      </c>
      <c r="D510" s="20" t="inlineStr">
        <is>
          <t>Electronics</t>
        </is>
      </c>
      <c r="E510" s="20" t="inlineStr">
        <is>
          <t>Laptop Pro 14</t>
        </is>
      </c>
      <c r="F510" s="20" t="inlineStr">
        <is>
          <t>SMB</t>
        </is>
      </c>
      <c r="G510" s="20" t="inlineStr">
        <is>
          <t>SwiftPrint</t>
        </is>
      </c>
      <c r="H510" s="20" t="n">
        <v>18</v>
      </c>
      <c r="I510" s="22" t="n">
        <v>67441.46000000001</v>
      </c>
      <c r="J510" s="23" t="n">
        <v>0</v>
      </c>
      <c r="K510" s="24" t="n">
        <v>1213946.28</v>
      </c>
      <c r="L510" s="24" t="n">
        <v>803879.92</v>
      </c>
      <c r="M510" s="24" t="n">
        <v>410066.36</v>
      </c>
    </row>
    <row r="511">
      <c r="A511" s="20" t="inlineStr">
        <is>
          <t>ORD-20240510</t>
        </is>
      </c>
      <c r="B511" s="21" t="n">
        <v>45617</v>
      </c>
      <c r="C511" s="20" t="inlineStr">
        <is>
          <t>South</t>
        </is>
      </c>
      <c r="D511" s="20" t="inlineStr">
        <is>
          <t>Office Supplies</t>
        </is>
      </c>
      <c r="E511" s="20" t="inlineStr">
        <is>
          <t>Gel Pen Pack</t>
        </is>
      </c>
      <c r="F511" s="20" t="inlineStr">
        <is>
          <t>Enterprise</t>
        </is>
      </c>
      <c r="G511" s="20" t="inlineStr">
        <is>
          <t>L&amp;T Infotech</t>
        </is>
      </c>
      <c r="H511" s="20" t="n">
        <v>19</v>
      </c>
      <c r="I511" s="22" t="n">
        <v>1401.02</v>
      </c>
      <c r="J511" s="23" t="n">
        <v>0</v>
      </c>
      <c r="K511" s="24" t="n">
        <v>26619.38</v>
      </c>
      <c r="L511" s="24" t="n">
        <v>15755.45</v>
      </c>
      <c r="M511" s="24" t="n">
        <v>10863.93</v>
      </c>
    </row>
    <row r="512">
      <c r="A512" s="20" t="inlineStr">
        <is>
          <t>ORD-20240511</t>
        </is>
      </c>
      <c r="B512" s="21" t="n">
        <v>45617</v>
      </c>
      <c r="C512" s="20" t="inlineStr">
        <is>
          <t>Central</t>
        </is>
      </c>
      <c r="D512" s="20" t="inlineStr">
        <is>
          <t>Home &amp; Kitchen</t>
        </is>
      </c>
      <c r="E512" s="20" t="inlineStr">
        <is>
          <t>Air Fryer</t>
        </is>
      </c>
      <c r="F512" s="20" t="inlineStr">
        <is>
          <t>Consumer</t>
        </is>
      </c>
      <c r="G512" s="20" t="inlineStr">
        <is>
          <t>App User North</t>
        </is>
      </c>
      <c r="H512" s="20" t="n">
        <v>19</v>
      </c>
      <c r="I512" s="22" t="n">
        <v>15853.88</v>
      </c>
      <c r="J512" s="23" t="n">
        <v>0</v>
      </c>
      <c r="K512" s="24" t="n">
        <v>301223.72</v>
      </c>
      <c r="L512" s="24" t="n">
        <v>219991.89</v>
      </c>
      <c r="M512" s="24" t="n">
        <v>81231.83</v>
      </c>
    </row>
    <row r="513">
      <c r="A513" s="20" t="inlineStr">
        <is>
          <t>ORD-20240512</t>
        </is>
      </c>
      <c r="B513" s="21" t="n">
        <v>45617</v>
      </c>
      <c r="C513" s="20" t="inlineStr">
        <is>
          <t>North</t>
        </is>
      </c>
      <c r="D513" s="20" t="inlineStr">
        <is>
          <t>Apparel</t>
        </is>
      </c>
      <c r="E513" s="20" t="inlineStr">
        <is>
          <t>Polo Shirt</t>
        </is>
      </c>
      <c r="F513" s="20" t="inlineStr">
        <is>
          <t>SMB</t>
        </is>
      </c>
      <c r="G513" s="20" t="inlineStr">
        <is>
          <t>Nova Logistics</t>
        </is>
      </c>
      <c r="H513" s="20" t="n">
        <v>7</v>
      </c>
      <c r="I513" s="22" t="n">
        <v>1199.9</v>
      </c>
      <c r="J513" s="23" t="n">
        <v>0.12</v>
      </c>
      <c r="K513" s="24" t="n">
        <v>7391.38</v>
      </c>
      <c r="L513" s="24" t="n">
        <v>5960.99</v>
      </c>
      <c r="M513" s="24" t="n">
        <v>1430.39</v>
      </c>
    </row>
    <row r="514">
      <c r="A514" s="20" t="inlineStr">
        <is>
          <t>ORD-20240513</t>
        </is>
      </c>
      <c r="B514" s="21" t="n">
        <v>45617</v>
      </c>
      <c r="C514" s="20" t="inlineStr">
        <is>
          <t>Central</t>
        </is>
      </c>
      <c r="D514" s="20" t="inlineStr">
        <is>
          <t>Apparel</t>
        </is>
      </c>
      <c r="E514" s="20" t="inlineStr">
        <is>
          <t>Polo Shirt</t>
        </is>
      </c>
      <c r="F514" s="20" t="inlineStr">
        <is>
          <t>Government</t>
        </is>
      </c>
      <c r="G514" s="20" t="inlineStr">
        <is>
          <t>MH Education Dept</t>
        </is>
      </c>
      <c r="H514" s="20" t="n">
        <v>21</v>
      </c>
      <c r="I514" s="22" t="n">
        <v>2133.93</v>
      </c>
      <c r="J514" s="23" t="n">
        <v>0</v>
      </c>
      <c r="K514" s="24" t="n">
        <v>44812.53</v>
      </c>
      <c r="L514" s="24" t="n">
        <v>28801.79</v>
      </c>
      <c r="M514" s="24" t="n">
        <v>16010.74</v>
      </c>
    </row>
    <row r="515">
      <c r="A515" s="20" t="inlineStr">
        <is>
          <t>ORD-20240514</t>
        </is>
      </c>
      <c r="B515" s="21" t="n">
        <v>45618</v>
      </c>
      <c r="C515" s="20" t="inlineStr">
        <is>
          <t>Central</t>
        </is>
      </c>
      <c r="D515" s="20" t="inlineStr">
        <is>
          <t>Office Supplies</t>
        </is>
      </c>
      <c r="E515" s="20" t="inlineStr">
        <is>
          <t>A4 Paper Ream</t>
        </is>
      </c>
      <c r="F515" s="20" t="inlineStr">
        <is>
          <t>Consumer</t>
        </is>
      </c>
      <c r="G515" s="20" t="inlineStr">
        <is>
          <t>Walk-in Mumbai</t>
        </is>
      </c>
      <c r="H515" s="20" t="n">
        <v>11</v>
      </c>
      <c r="I515" s="22" t="n">
        <v>741.92</v>
      </c>
      <c r="J515" s="23" t="n">
        <v>0.05</v>
      </c>
      <c r="K515" s="24" t="n">
        <v>7753.06</v>
      </c>
      <c r="L515" s="24" t="n">
        <v>5007.9</v>
      </c>
      <c r="M515" s="24" t="n">
        <v>2745.16</v>
      </c>
    </row>
    <row r="516">
      <c r="A516" s="20" t="inlineStr">
        <is>
          <t>ORD-20240515</t>
        </is>
      </c>
      <c r="B516" s="21" t="n">
        <v>45619</v>
      </c>
      <c r="C516" s="20" t="inlineStr">
        <is>
          <t>Central</t>
        </is>
      </c>
      <c r="D516" s="20" t="inlineStr">
        <is>
          <t>Home &amp; Kitchen</t>
        </is>
      </c>
      <c r="E516" s="20" t="inlineStr">
        <is>
          <t>Coffee Maker</t>
        </is>
      </c>
      <c r="F516" s="20" t="inlineStr">
        <is>
          <t>Enterprise</t>
        </is>
      </c>
      <c r="G516" s="20" t="inlineStr">
        <is>
          <t>HCL Services</t>
        </is>
      </c>
      <c r="H516" s="20" t="n">
        <v>5</v>
      </c>
      <c r="I516" s="22" t="n">
        <v>9940.879999999999</v>
      </c>
      <c r="J516" s="23" t="n">
        <v>0</v>
      </c>
      <c r="K516" s="24" t="n">
        <v>49704.4</v>
      </c>
      <c r="L516" s="24" t="n">
        <v>30058.19</v>
      </c>
      <c r="M516" s="24" t="n">
        <v>19646.21</v>
      </c>
    </row>
    <row r="517">
      <c r="A517" s="20" t="inlineStr">
        <is>
          <t>ORD-20240516</t>
        </is>
      </c>
      <c r="B517" s="21" t="n">
        <v>45622</v>
      </c>
      <c r="C517" s="20" t="inlineStr">
        <is>
          <t>North</t>
        </is>
      </c>
      <c r="D517" s="20" t="inlineStr">
        <is>
          <t>Home &amp; Kitchen</t>
        </is>
      </c>
      <c r="E517" s="20" t="inlineStr">
        <is>
          <t>Vacuum Robot</t>
        </is>
      </c>
      <c r="F517" s="20" t="inlineStr">
        <is>
          <t>Consumer</t>
        </is>
      </c>
      <c r="G517" s="20" t="inlineStr">
        <is>
          <t>App User North</t>
        </is>
      </c>
      <c r="H517" s="20" t="n">
        <v>23</v>
      </c>
      <c r="I517" s="22" t="n">
        <v>26312.29</v>
      </c>
      <c r="J517" s="23" t="n">
        <v>0</v>
      </c>
      <c r="K517" s="24" t="n">
        <v>605182.67</v>
      </c>
      <c r="L517" s="24" t="n">
        <v>354244.75</v>
      </c>
      <c r="M517" s="24" t="n">
        <v>250937.92</v>
      </c>
    </row>
    <row r="518">
      <c r="A518" s="20" t="inlineStr">
        <is>
          <t>ORD-20240517</t>
        </is>
      </c>
      <c r="B518" s="21" t="n">
        <v>45622</v>
      </c>
      <c r="C518" s="20" t="inlineStr">
        <is>
          <t>East</t>
        </is>
      </c>
      <c r="D518" s="20" t="inlineStr">
        <is>
          <t>Home &amp; Kitchen</t>
        </is>
      </c>
      <c r="E518" s="20" t="inlineStr">
        <is>
          <t>Mixer Grinder</t>
        </is>
      </c>
      <c r="F518" s="20" t="inlineStr">
        <is>
          <t>Government</t>
        </is>
      </c>
      <c r="G518" s="20" t="inlineStr">
        <is>
          <t>Delhi NDMC</t>
        </is>
      </c>
      <c r="H518" s="20" t="n">
        <v>14</v>
      </c>
      <c r="I518" s="22" t="n">
        <v>18305.73</v>
      </c>
      <c r="J518" s="23" t="n">
        <v>0</v>
      </c>
      <c r="K518" s="24" t="n">
        <v>256280.22</v>
      </c>
      <c r="L518" s="24" t="n">
        <v>191284.42</v>
      </c>
      <c r="M518" s="24" t="n">
        <v>64995.8</v>
      </c>
    </row>
    <row r="519">
      <c r="A519" s="20" t="inlineStr">
        <is>
          <t>ORD-20240518</t>
        </is>
      </c>
      <c r="B519" s="21" t="n">
        <v>45623</v>
      </c>
      <c r="C519" s="20" t="inlineStr">
        <is>
          <t>Central</t>
        </is>
      </c>
      <c r="D519" s="20" t="inlineStr">
        <is>
          <t>Apparel</t>
        </is>
      </c>
      <c r="E519" s="20" t="inlineStr">
        <is>
          <t>Cap Embroidered</t>
        </is>
      </c>
      <c r="F519" s="20" t="inlineStr">
        <is>
          <t>Consumer</t>
        </is>
      </c>
      <c r="G519" s="20" t="inlineStr">
        <is>
          <t>Retail Counter</t>
        </is>
      </c>
      <c r="H519" s="20" t="n">
        <v>23</v>
      </c>
      <c r="I519" s="22" t="n">
        <v>2602.43</v>
      </c>
      <c r="J519" s="23" t="n">
        <v>0</v>
      </c>
      <c r="K519" s="24" t="n">
        <v>59855.89</v>
      </c>
      <c r="L519" s="24" t="n">
        <v>40404.68</v>
      </c>
      <c r="M519" s="24" t="n">
        <v>19451.21</v>
      </c>
    </row>
    <row r="520">
      <c r="A520" s="20" t="inlineStr">
        <is>
          <t>ORD-20240519</t>
        </is>
      </c>
      <c r="B520" s="21" t="n">
        <v>45623</v>
      </c>
      <c r="C520" s="20" t="inlineStr">
        <is>
          <t>Central</t>
        </is>
      </c>
      <c r="D520" s="20" t="inlineStr">
        <is>
          <t>Office Supplies</t>
        </is>
      </c>
      <c r="E520" s="20" t="inlineStr">
        <is>
          <t>Stapler Heavy</t>
        </is>
      </c>
      <c r="F520" s="20" t="inlineStr">
        <is>
          <t>Consumer</t>
        </is>
      </c>
      <c r="G520" s="20" t="inlineStr">
        <is>
          <t>Online Guest</t>
        </is>
      </c>
      <c r="H520" s="20" t="n">
        <v>14</v>
      </c>
      <c r="I520" s="22" t="n">
        <v>2686.44</v>
      </c>
      <c r="J520" s="23" t="n">
        <v>0.12</v>
      </c>
      <c r="K520" s="24" t="n">
        <v>33096.94</v>
      </c>
      <c r="L520" s="24" t="n">
        <v>27832.11</v>
      </c>
      <c r="M520" s="24" t="n">
        <v>5264.83</v>
      </c>
    </row>
    <row r="521">
      <c r="A521" s="20" t="inlineStr">
        <is>
          <t>ORD-20240520</t>
        </is>
      </c>
      <c r="B521" s="21" t="n">
        <v>45623</v>
      </c>
      <c r="C521" s="20" t="inlineStr">
        <is>
          <t>East</t>
        </is>
      </c>
      <c r="D521" s="20" t="inlineStr">
        <is>
          <t>Electronics</t>
        </is>
      </c>
      <c r="E521" s="20" t="inlineStr">
        <is>
          <t>Webcam HD</t>
        </is>
      </c>
      <c r="F521" s="20" t="inlineStr">
        <is>
          <t>Consumer</t>
        </is>
      </c>
      <c r="G521" s="20" t="inlineStr">
        <is>
          <t>Walk-in Mumbai</t>
        </is>
      </c>
      <c r="H521" s="20" t="n">
        <v>23</v>
      </c>
      <c r="I521" s="22" t="n">
        <v>72896.44</v>
      </c>
      <c r="J521" s="23" t="n">
        <v>0.12</v>
      </c>
      <c r="K521" s="24" t="n">
        <v>1475423.95</v>
      </c>
      <c r="L521" s="24" t="n">
        <v>959668.55</v>
      </c>
      <c r="M521" s="24" t="n">
        <v>515755.4</v>
      </c>
    </row>
    <row r="522">
      <c r="A522" s="20" t="inlineStr">
        <is>
          <t>ORD-20240521</t>
        </is>
      </c>
      <c r="B522" s="21" t="n">
        <v>45624</v>
      </c>
      <c r="C522" s="20" t="inlineStr">
        <is>
          <t>Central</t>
        </is>
      </c>
      <c r="D522" s="20" t="inlineStr">
        <is>
          <t>Electronics</t>
        </is>
      </c>
      <c r="E522" s="20" t="inlineStr">
        <is>
          <t>Laptop Pro 14</t>
        </is>
      </c>
      <c r="F522" s="20" t="inlineStr">
        <is>
          <t>SMB</t>
        </is>
      </c>
      <c r="G522" s="20" t="inlineStr">
        <is>
          <t>GreenFarm Agro</t>
        </is>
      </c>
      <c r="H522" s="20" t="n">
        <v>14</v>
      </c>
      <c r="I522" s="22" t="n">
        <v>38996.98</v>
      </c>
      <c r="J522" s="23" t="n">
        <v>0</v>
      </c>
      <c r="K522" s="24" t="n">
        <v>545957.72</v>
      </c>
      <c r="L522" s="24" t="n">
        <v>346744.41</v>
      </c>
      <c r="M522" s="24" t="n">
        <v>199213.31</v>
      </c>
    </row>
    <row r="523">
      <c r="A523" s="20" t="inlineStr">
        <is>
          <t>ORD-20240522</t>
        </is>
      </c>
      <c r="B523" s="21" t="n">
        <v>45624</v>
      </c>
      <c r="C523" s="20" t="inlineStr">
        <is>
          <t>South</t>
        </is>
      </c>
      <c r="D523" s="20" t="inlineStr">
        <is>
          <t>Home &amp; Kitchen</t>
        </is>
      </c>
      <c r="E523" s="20" t="inlineStr">
        <is>
          <t>Coffee Maker</t>
        </is>
      </c>
      <c r="F523" s="20" t="inlineStr">
        <is>
          <t>Consumer</t>
        </is>
      </c>
      <c r="G523" s="20" t="inlineStr">
        <is>
          <t>Online Guest</t>
        </is>
      </c>
      <c r="H523" s="20" t="n">
        <v>3</v>
      </c>
      <c r="I523" s="22" t="n">
        <v>16402.72</v>
      </c>
      <c r="J523" s="23" t="n">
        <v>0.05</v>
      </c>
      <c r="K523" s="24" t="n">
        <v>46747.75</v>
      </c>
      <c r="L523" s="24" t="n">
        <v>35374.82</v>
      </c>
      <c r="M523" s="24" t="n">
        <v>11372.93</v>
      </c>
    </row>
    <row r="524">
      <c r="A524" s="20" t="inlineStr">
        <is>
          <t>ORD-20240523</t>
        </is>
      </c>
      <c r="B524" s="21" t="n">
        <v>45625</v>
      </c>
      <c r="C524" s="20" t="inlineStr">
        <is>
          <t>South</t>
        </is>
      </c>
      <c r="D524" s="20" t="inlineStr">
        <is>
          <t>Office Supplies</t>
        </is>
      </c>
      <c r="E524" s="20" t="inlineStr">
        <is>
          <t>Whiteboard Kit</t>
        </is>
      </c>
      <c r="F524" s="20" t="inlineStr">
        <is>
          <t>SMB</t>
        </is>
      </c>
      <c r="G524" s="20" t="inlineStr">
        <is>
          <t>CityCare Clinics</t>
        </is>
      </c>
      <c r="H524" s="20" t="n">
        <v>6</v>
      </c>
      <c r="I524" s="22" t="n">
        <v>148.57</v>
      </c>
      <c r="J524" s="23" t="n">
        <v>0.1</v>
      </c>
      <c r="K524" s="24" t="n">
        <v>802.28</v>
      </c>
      <c r="L524" s="24" t="n">
        <v>666.6799999999999</v>
      </c>
      <c r="M524" s="24" t="n">
        <v>135.6</v>
      </c>
    </row>
    <row r="525">
      <c r="A525" s="20" t="inlineStr">
        <is>
          <t>ORD-20240524</t>
        </is>
      </c>
      <c r="B525" s="21" t="n">
        <v>45625</v>
      </c>
      <c r="C525" s="20" t="inlineStr">
        <is>
          <t>West</t>
        </is>
      </c>
      <c r="D525" s="20" t="inlineStr">
        <is>
          <t>Home &amp; Kitchen</t>
        </is>
      </c>
      <c r="E525" s="20" t="inlineStr">
        <is>
          <t>Vacuum Robot</t>
        </is>
      </c>
      <c r="F525" s="20" t="inlineStr">
        <is>
          <t>SMB</t>
        </is>
      </c>
      <c r="G525" s="20" t="inlineStr">
        <is>
          <t>SwiftPrint</t>
        </is>
      </c>
      <c r="H525" s="20" t="n">
        <v>22</v>
      </c>
      <c r="I525" s="22" t="n">
        <v>25255.96</v>
      </c>
      <c r="J525" s="23" t="n">
        <v>0.05</v>
      </c>
      <c r="K525" s="24" t="n">
        <v>527849.5600000001</v>
      </c>
      <c r="L525" s="24" t="n">
        <v>405146.38</v>
      </c>
      <c r="M525" s="24" t="n">
        <v>122703.18</v>
      </c>
    </row>
    <row r="526">
      <c r="A526" s="20" t="inlineStr">
        <is>
          <t>ORD-20240525</t>
        </is>
      </c>
      <c r="B526" s="21" t="n">
        <v>45628</v>
      </c>
      <c r="C526" s="20" t="inlineStr">
        <is>
          <t>North</t>
        </is>
      </c>
      <c r="D526" s="20" t="inlineStr">
        <is>
          <t>Apparel</t>
        </is>
      </c>
      <c r="E526" s="20" t="inlineStr">
        <is>
          <t>Formal Blazer</t>
        </is>
      </c>
      <c r="F526" s="20" t="inlineStr">
        <is>
          <t>Government</t>
        </is>
      </c>
      <c r="G526" s="20" t="inlineStr">
        <is>
          <t>Railways Zone W</t>
        </is>
      </c>
      <c r="H526" s="20" t="n">
        <v>11</v>
      </c>
      <c r="I526" s="22" t="n">
        <v>3228.32</v>
      </c>
      <c r="J526" s="23" t="n">
        <v>0.12</v>
      </c>
      <c r="K526" s="24" t="n">
        <v>31250.14</v>
      </c>
      <c r="L526" s="24" t="n">
        <v>24838.97</v>
      </c>
      <c r="M526" s="24" t="n">
        <v>6411.17</v>
      </c>
    </row>
    <row r="527">
      <c r="A527" s="20" t="inlineStr">
        <is>
          <t>ORD-20240526</t>
        </is>
      </c>
      <c r="B527" s="21" t="n">
        <v>45628</v>
      </c>
      <c r="C527" s="20" t="inlineStr">
        <is>
          <t>North</t>
        </is>
      </c>
      <c r="D527" s="20" t="inlineStr">
        <is>
          <t>Furniture</t>
        </is>
      </c>
      <c r="E527" s="20" t="inlineStr">
        <is>
          <t>Standing Desk</t>
        </is>
      </c>
      <c r="F527" s="20" t="inlineStr">
        <is>
          <t>Consumer</t>
        </is>
      </c>
      <c r="G527" s="20" t="inlineStr">
        <is>
          <t>Retail Counter</t>
        </is>
      </c>
      <c r="H527" s="20" t="n">
        <v>3</v>
      </c>
      <c r="I527" s="22" t="n">
        <v>40755.04</v>
      </c>
      <c r="J527" s="23" t="n">
        <v>0.1</v>
      </c>
      <c r="K527" s="24" t="n">
        <v>110038.61</v>
      </c>
      <c r="L527" s="24" t="n">
        <v>80908.71000000001</v>
      </c>
      <c r="M527" s="24" t="n">
        <v>29129.9</v>
      </c>
    </row>
    <row r="528">
      <c r="A528" s="20" t="inlineStr">
        <is>
          <t>ORD-20240527</t>
        </is>
      </c>
      <c r="B528" s="21" t="n">
        <v>45628</v>
      </c>
      <c r="C528" s="20" t="inlineStr">
        <is>
          <t>East</t>
        </is>
      </c>
      <c r="D528" s="20" t="inlineStr">
        <is>
          <t>Office Supplies</t>
        </is>
      </c>
      <c r="E528" s="20" t="inlineStr">
        <is>
          <t>Whiteboard Kit</t>
        </is>
      </c>
      <c r="F528" s="20" t="inlineStr">
        <is>
          <t>SMB</t>
        </is>
      </c>
      <c r="G528" s="20" t="inlineStr">
        <is>
          <t>SwiftPrint</t>
        </is>
      </c>
      <c r="H528" s="20" t="n">
        <v>11</v>
      </c>
      <c r="I528" s="22" t="n">
        <v>1228.62</v>
      </c>
      <c r="J528" s="23" t="n">
        <v>0.15</v>
      </c>
      <c r="K528" s="24" t="n">
        <v>11487.6</v>
      </c>
      <c r="L528" s="24" t="n">
        <v>10414.09</v>
      </c>
      <c r="M528" s="24" t="n">
        <v>1073.51</v>
      </c>
    </row>
    <row r="529">
      <c r="A529" s="20" t="inlineStr">
        <is>
          <t>ORD-20240528</t>
        </is>
      </c>
      <c r="B529" s="21" t="n">
        <v>45629</v>
      </c>
      <c r="C529" s="20" t="inlineStr">
        <is>
          <t>North</t>
        </is>
      </c>
      <c r="D529" s="20" t="inlineStr">
        <is>
          <t>Apparel</t>
        </is>
      </c>
      <c r="E529" s="20" t="inlineStr">
        <is>
          <t>Cap Embroidered</t>
        </is>
      </c>
      <c r="F529" s="20" t="inlineStr">
        <is>
          <t>Government</t>
        </is>
      </c>
      <c r="G529" s="20" t="inlineStr">
        <is>
          <t>Railways Zone W</t>
        </is>
      </c>
      <c r="H529" s="20" t="n">
        <v>14</v>
      </c>
      <c r="I529" s="22" t="n">
        <v>1865.55</v>
      </c>
      <c r="J529" s="23" t="n">
        <v>0</v>
      </c>
      <c r="K529" s="24" t="n">
        <v>26117.7</v>
      </c>
      <c r="L529" s="24" t="n">
        <v>19517.2</v>
      </c>
      <c r="M529" s="24" t="n">
        <v>6600.5</v>
      </c>
    </row>
    <row r="530">
      <c r="A530" s="20" t="inlineStr">
        <is>
          <t>ORD-20240529</t>
        </is>
      </c>
      <c r="B530" s="21" t="n">
        <v>45629</v>
      </c>
      <c r="C530" s="20" t="inlineStr">
        <is>
          <t>South</t>
        </is>
      </c>
      <c r="D530" s="20" t="inlineStr">
        <is>
          <t>Home &amp; Kitchen</t>
        </is>
      </c>
      <c r="E530" s="20" t="inlineStr">
        <is>
          <t>Mixer Grinder</t>
        </is>
      </c>
      <c r="F530" s="20" t="inlineStr">
        <is>
          <t>Government</t>
        </is>
      </c>
      <c r="G530" s="20" t="inlineStr">
        <is>
          <t>MH Education Dept</t>
        </is>
      </c>
      <c r="H530" s="20" t="n">
        <v>19</v>
      </c>
      <c r="I530" s="22" t="n">
        <v>5123.38</v>
      </c>
      <c r="J530" s="23" t="n">
        <v>0.05</v>
      </c>
      <c r="K530" s="24" t="n">
        <v>92477.00999999999</v>
      </c>
      <c r="L530" s="24" t="n">
        <v>73907.53999999999</v>
      </c>
      <c r="M530" s="24" t="n">
        <v>18569.47</v>
      </c>
    </row>
    <row r="531">
      <c r="A531" s="20" t="inlineStr">
        <is>
          <t>ORD-20240530</t>
        </is>
      </c>
      <c r="B531" s="21" t="n">
        <v>45629</v>
      </c>
      <c r="C531" s="20" t="inlineStr">
        <is>
          <t>North</t>
        </is>
      </c>
      <c r="D531" s="20" t="inlineStr">
        <is>
          <t>Home &amp; Kitchen</t>
        </is>
      </c>
      <c r="E531" s="20" t="inlineStr">
        <is>
          <t>Air Fryer</t>
        </is>
      </c>
      <c r="F531" s="20" t="inlineStr">
        <is>
          <t>Consumer</t>
        </is>
      </c>
      <c r="G531" s="20" t="inlineStr">
        <is>
          <t>Walk-in Delhi</t>
        </is>
      </c>
      <c r="H531" s="20" t="n">
        <v>4</v>
      </c>
      <c r="I531" s="22" t="n">
        <v>2295.14</v>
      </c>
      <c r="J531" s="23" t="n">
        <v>0.05</v>
      </c>
      <c r="K531" s="24" t="n">
        <v>8721.530000000001</v>
      </c>
      <c r="L531" s="24" t="n">
        <v>5207.76</v>
      </c>
      <c r="M531" s="24" t="n">
        <v>3513.77</v>
      </c>
    </row>
    <row r="532">
      <c r="A532" s="20" t="inlineStr">
        <is>
          <t>ORD-20240531</t>
        </is>
      </c>
      <c r="B532" s="21" t="n">
        <v>45631</v>
      </c>
      <c r="C532" s="20" t="inlineStr">
        <is>
          <t>North</t>
        </is>
      </c>
      <c r="D532" s="20" t="inlineStr">
        <is>
          <t>Apparel</t>
        </is>
      </c>
      <c r="E532" s="20" t="inlineStr">
        <is>
          <t>Polo Shirt</t>
        </is>
      </c>
      <c r="F532" s="20" t="inlineStr">
        <is>
          <t>Enterprise</t>
        </is>
      </c>
      <c r="G532" s="20" t="inlineStr">
        <is>
          <t>TCS Digital</t>
        </is>
      </c>
      <c r="H532" s="20" t="n">
        <v>20</v>
      </c>
      <c r="I532" s="22" t="n">
        <v>1327.4</v>
      </c>
      <c r="J532" s="23" t="n">
        <v>0.2</v>
      </c>
      <c r="K532" s="24" t="n">
        <v>21238.4</v>
      </c>
      <c r="L532" s="24" t="n">
        <v>17520.02</v>
      </c>
      <c r="M532" s="24" t="n">
        <v>3718.38</v>
      </c>
    </row>
    <row r="533">
      <c r="A533" s="20" t="inlineStr">
        <is>
          <t>ORD-20240532</t>
        </is>
      </c>
      <c r="B533" s="21" t="n">
        <v>45631</v>
      </c>
      <c r="C533" s="20" t="inlineStr">
        <is>
          <t>East</t>
        </is>
      </c>
      <c r="D533" s="20" t="inlineStr">
        <is>
          <t>Electronics</t>
        </is>
      </c>
      <c r="E533" s="20" t="inlineStr">
        <is>
          <t>Wireless Mouse</t>
        </is>
      </c>
      <c r="F533" s="20" t="inlineStr">
        <is>
          <t>Government</t>
        </is>
      </c>
      <c r="G533" s="20" t="inlineStr">
        <is>
          <t>MH Education Dept</t>
        </is>
      </c>
      <c r="H533" s="20" t="n">
        <v>20</v>
      </c>
      <c r="I533" s="22" t="n">
        <v>52048.77</v>
      </c>
      <c r="J533" s="23" t="n">
        <v>0.12</v>
      </c>
      <c r="K533" s="24" t="n">
        <v>916058.35</v>
      </c>
      <c r="L533" s="24" t="n">
        <v>581821.95</v>
      </c>
      <c r="M533" s="24" t="n">
        <v>334236.4</v>
      </c>
    </row>
    <row r="534">
      <c r="A534" s="20" t="inlineStr">
        <is>
          <t>ORD-20240533</t>
        </is>
      </c>
      <c r="B534" s="21" t="n">
        <v>45631</v>
      </c>
      <c r="C534" s="20" t="inlineStr">
        <is>
          <t>East</t>
        </is>
      </c>
      <c r="D534" s="20" t="inlineStr">
        <is>
          <t>Home &amp; Kitchen</t>
        </is>
      </c>
      <c r="E534" s="20" t="inlineStr">
        <is>
          <t>Coffee Maker</t>
        </is>
      </c>
      <c r="F534" s="20" t="inlineStr">
        <is>
          <t>Enterprise</t>
        </is>
      </c>
      <c r="G534" s="20" t="inlineStr">
        <is>
          <t>TCS Digital</t>
        </is>
      </c>
      <c r="H534" s="20" t="n">
        <v>12</v>
      </c>
      <c r="I534" s="22" t="n">
        <v>7029.08</v>
      </c>
      <c r="J534" s="23" t="n">
        <v>0.05</v>
      </c>
      <c r="K534" s="24" t="n">
        <v>80131.50999999999</v>
      </c>
      <c r="L534" s="24" t="n">
        <v>54549.21</v>
      </c>
      <c r="M534" s="24" t="n">
        <v>25582.3</v>
      </c>
    </row>
    <row r="535">
      <c r="A535" s="20" t="inlineStr">
        <is>
          <t>ORD-20240534</t>
        </is>
      </c>
      <c r="B535" s="21" t="n">
        <v>45631</v>
      </c>
      <c r="C535" s="20" t="inlineStr">
        <is>
          <t>Central</t>
        </is>
      </c>
      <c r="D535" s="20" t="inlineStr">
        <is>
          <t>Electronics</t>
        </is>
      </c>
      <c r="E535" s="20" t="inlineStr">
        <is>
          <t>Wireless Mouse</t>
        </is>
      </c>
      <c r="F535" s="20" t="inlineStr">
        <is>
          <t>Government</t>
        </is>
      </c>
      <c r="G535" s="20" t="inlineStr">
        <is>
          <t>Delhi NDMC</t>
        </is>
      </c>
      <c r="H535" s="20" t="n">
        <v>24</v>
      </c>
      <c r="I535" s="22" t="n">
        <v>58564.87</v>
      </c>
      <c r="J535" s="23" t="n">
        <v>0</v>
      </c>
      <c r="K535" s="24" t="n">
        <v>1405556.88</v>
      </c>
      <c r="L535" s="24" t="n">
        <v>921513.74</v>
      </c>
      <c r="M535" s="24" t="n">
        <v>484043.14</v>
      </c>
    </row>
    <row r="536">
      <c r="A536" s="20" t="inlineStr">
        <is>
          <t>ORD-20240535</t>
        </is>
      </c>
      <c r="B536" s="21" t="n">
        <v>45631</v>
      </c>
      <c r="C536" s="20" t="inlineStr">
        <is>
          <t>South</t>
        </is>
      </c>
      <c r="D536" s="20" t="inlineStr">
        <is>
          <t>Apparel</t>
        </is>
      </c>
      <c r="E536" s="20" t="inlineStr">
        <is>
          <t>Cap Embroidered</t>
        </is>
      </c>
      <c r="F536" s="20" t="inlineStr">
        <is>
          <t>Government</t>
        </is>
      </c>
      <c r="G536" s="20" t="inlineStr">
        <is>
          <t>Railways Zone W</t>
        </is>
      </c>
      <c r="H536" s="20" t="n">
        <v>5</v>
      </c>
      <c r="I536" s="22" t="n">
        <v>319.18</v>
      </c>
      <c r="J536" s="23" t="n">
        <v>0.2</v>
      </c>
      <c r="K536" s="24" t="n">
        <v>1276.72</v>
      </c>
      <c r="L536" s="24" t="n">
        <v>1235.85</v>
      </c>
      <c r="M536" s="24" t="n">
        <v>40.87</v>
      </c>
    </row>
    <row r="537">
      <c r="A537" s="20" t="inlineStr">
        <is>
          <t>ORD-20240536</t>
        </is>
      </c>
      <c r="B537" s="21" t="n">
        <v>45631</v>
      </c>
      <c r="C537" s="20" t="inlineStr">
        <is>
          <t>North</t>
        </is>
      </c>
      <c r="D537" s="20" t="inlineStr">
        <is>
          <t>Apparel</t>
        </is>
      </c>
      <c r="E537" s="20" t="inlineStr">
        <is>
          <t>Formal Blazer</t>
        </is>
      </c>
      <c r="F537" s="20" t="inlineStr">
        <is>
          <t>SMB</t>
        </is>
      </c>
      <c r="G537" s="20" t="inlineStr">
        <is>
          <t>SwiftPrint</t>
        </is>
      </c>
      <c r="H537" s="20" t="n">
        <v>8</v>
      </c>
      <c r="I537" s="22" t="n">
        <v>2491.72</v>
      </c>
      <c r="J537" s="23" t="n">
        <v>0.05</v>
      </c>
      <c r="K537" s="24" t="n">
        <v>18937.07</v>
      </c>
      <c r="L537" s="24" t="n">
        <v>12059.41</v>
      </c>
      <c r="M537" s="24" t="n">
        <v>6877.66</v>
      </c>
    </row>
    <row r="538">
      <c r="A538" s="20" t="inlineStr">
        <is>
          <t>ORD-20240537</t>
        </is>
      </c>
      <c r="B538" s="21" t="n">
        <v>45632</v>
      </c>
      <c r="C538" s="20" t="inlineStr">
        <is>
          <t>North</t>
        </is>
      </c>
      <c r="D538" s="20" t="inlineStr">
        <is>
          <t>Electronics</t>
        </is>
      </c>
      <c r="E538" s="20" t="inlineStr">
        <is>
          <t>USB-C Hub</t>
        </is>
      </c>
      <c r="F538" s="20" t="inlineStr">
        <is>
          <t>Consumer</t>
        </is>
      </c>
      <c r="G538" s="20" t="inlineStr">
        <is>
          <t>Walk-in Mumbai</t>
        </is>
      </c>
      <c r="H538" s="20" t="n">
        <v>24</v>
      </c>
      <c r="I538" s="22" t="n">
        <v>56128.19</v>
      </c>
      <c r="J538" s="23" t="n">
        <v>0</v>
      </c>
      <c r="K538" s="24" t="n">
        <v>1347076.56</v>
      </c>
      <c r="L538" s="24" t="n">
        <v>979924.53</v>
      </c>
      <c r="M538" s="24" t="n">
        <v>367152.03</v>
      </c>
    </row>
    <row r="539">
      <c r="A539" s="20" t="inlineStr">
        <is>
          <t>ORD-20240538</t>
        </is>
      </c>
      <c r="B539" s="21" t="n">
        <v>45632</v>
      </c>
      <c r="C539" s="20" t="inlineStr">
        <is>
          <t>Central</t>
        </is>
      </c>
      <c r="D539" s="20" t="inlineStr">
        <is>
          <t>Apparel</t>
        </is>
      </c>
      <c r="E539" s="20" t="inlineStr">
        <is>
          <t>Hoodie Soft</t>
        </is>
      </c>
      <c r="F539" s="20" t="inlineStr">
        <is>
          <t>SMB</t>
        </is>
      </c>
      <c r="G539" s="20" t="inlineStr">
        <is>
          <t>GreenFarm Agro</t>
        </is>
      </c>
      <c r="H539" s="20" t="n">
        <v>4</v>
      </c>
      <c r="I539" s="22" t="n">
        <v>935.8</v>
      </c>
      <c r="J539" s="23" t="n">
        <v>0</v>
      </c>
      <c r="K539" s="24" t="n">
        <v>3743.2</v>
      </c>
      <c r="L539" s="24" t="n">
        <v>2875.64</v>
      </c>
      <c r="M539" s="24" t="n">
        <v>867.5599999999999</v>
      </c>
    </row>
    <row r="540">
      <c r="A540" s="20" t="inlineStr">
        <is>
          <t>ORD-20240539</t>
        </is>
      </c>
      <c r="B540" s="21" t="n">
        <v>45633</v>
      </c>
      <c r="C540" s="20" t="inlineStr">
        <is>
          <t>West</t>
        </is>
      </c>
      <c r="D540" s="20" t="inlineStr">
        <is>
          <t>Office Supplies</t>
        </is>
      </c>
      <c r="E540" s="20" t="inlineStr">
        <is>
          <t>Notebook Set</t>
        </is>
      </c>
      <c r="F540" s="20" t="inlineStr">
        <is>
          <t>Consumer</t>
        </is>
      </c>
      <c r="G540" s="20" t="inlineStr">
        <is>
          <t>Walk-in Delhi</t>
        </is>
      </c>
      <c r="H540" s="20" t="n">
        <v>3</v>
      </c>
      <c r="I540" s="22" t="n">
        <v>2238.28</v>
      </c>
      <c r="J540" s="23" t="n">
        <v>0.05</v>
      </c>
      <c r="K540" s="24" t="n">
        <v>6379.1</v>
      </c>
      <c r="L540" s="24" t="n">
        <v>3761.25</v>
      </c>
      <c r="M540" s="24" t="n">
        <v>2617.85</v>
      </c>
    </row>
    <row r="541">
      <c r="A541" s="20" t="inlineStr">
        <is>
          <t>ORD-20240540</t>
        </is>
      </c>
      <c r="B541" s="21" t="n">
        <v>45633</v>
      </c>
      <c r="C541" s="20" t="inlineStr">
        <is>
          <t>North</t>
        </is>
      </c>
      <c r="D541" s="20" t="inlineStr">
        <is>
          <t>Office Supplies</t>
        </is>
      </c>
      <c r="E541" s="20" t="inlineStr">
        <is>
          <t>Stapler Heavy</t>
        </is>
      </c>
      <c r="F541" s="20" t="inlineStr">
        <is>
          <t>Consumer</t>
        </is>
      </c>
      <c r="G541" s="20" t="inlineStr">
        <is>
          <t>Online Guest</t>
        </is>
      </c>
      <c r="H541" s="20" t="n">
        <v>17</v>
      </c>
      <c r="I541" s="22" t="n">
        <v>1947.48</v>
      </c>
      <c r="J541" s="23" t="n">
        <v>0</v>
      </c>
      <c r="K541" s="24" t="n">
        <v>33107.16</v>
      </c>
      <c r="L541" s="24" t="n">
        <v>19075.76</v>
      </c>
      <c r="M541" s="24" t="n">
        <v>14031.4</v>
      </c>
    </row>
    <row r="542">
      <c r="A542" s="20" t="inlineStr">
        <is>
          <t>ORD-20240541</t>
        </is>
      </c>
      <c r="B542" s="21" t="n">
        <v>45633</v>
      </c>
      <c r="C542" s="20" t="inlineStr">
        <is>
          <t>East</t>
        </is>
      </c>
      <c r="D542" s="20" t="inlineStr">
        <is>
          <t>Home &amp; Kitchen</t>
        </is>
      </c>
      <c r="E542" s="20" t="inlineStr">
        <is>
          <t>Air Fryer</t>
        </is>
      </c>
      <c r="F542" s="20" t="inlineStr">
        <is>
          <t>Government</t>
        </is>
      </c>
      <c r="G542" s="20" t="inlineStr">
        <is>
          <t>MH Education Dept</t>
        </is>
      </c>
      <c r="H542" s="20" t="n">
        <v>16</v>
      </c>
      <c r="I542" s="22" t="n">
        <v>8869.66</v>
      </c>
      <c r="J542" s="23" t="n">
        <v>0.12</v>
      </c>
      <c r="K542" s="24" t="n">
        <v>124884.81</v>
      </c>
      <c r="L542" s="24" t="n">
        <v>79972.67</v>
      </c>
      <c r="M542" s="24" t="n">
        <v>44912.14</v>
      </c>
    </row>
    <row r="543">
      <c r="A543" s="20" t="inlineStr">
        <is>
          <t>ORD-20240542</t>
        </is>
      </c>
      <c r="B543" s="21" t="n">
        <v>45636</v>
      </c>
      <c r="C543" s="20" t="inlineStr">
        <is>
          <t>Central</t>
        </is>
      </c>
      <c r="D543" s="20" t="inlineStr">
        <is>
          <t>Home &amp; Kitchen</t>
        </is>
      </c>
      <c r="E543" s="20" t="inlineStr">
        <is>
          <t>Mixer Grinder</t>
        </is>
      </c>
      <c r="F543" s="20" t="inlineStr">
        <is>
          <t>SMB</t>
        </is>
      </c>
      <c r="G543" s="20" t="inlineStr">
        <is>
          <t>GreenFarm Agro</t>
        </is>
      </c>
      <c r="H543" s="20" t="n">
        <v>8</v>
      </c>
      <c r="I543" s="22" t="n">
        <v>8368.530000000001</v>
      </c>
      <c r="J543" s="23" t="n">
        <v>0.15</v>
      </c>
      <c r="K543" s="24" t="n">
        <v>56906</v>
      </c>
      <c r="L543" s="24" t="n">
        <v>37268.46</v>
      </c>
      <c r="M543" s="24" t="n">
        <v>19637.54</v>
      </c>
    </row>
    <row r="544">
      <c r="A544" s="20" t="inlineStr">
        <is>
          <t>ORD-20240543</t>
        </is>
      </c>
      <c r="B544" s="21" t="n">
        <v>45636</v>
      </c>
      <c r="C544" s="20" t="inlineStr">
        <is>
          <t>East</t>
        </is>
      </c>
      <c r="D544" s="20" t="inlineStr">
        <is>
          <t>Electronics</t>
        </is>
      </c>
      <c r="E544" s="20" t="inlineStr">
        <is>
          <t>Webcam HD</t>
        </is>
      </c>
      <c r="F544" s="20" t="inlineStr">
        <is>
          <t>Enterprise</t>
        </is>
      </c>
      <c r="G544" s="20" t="inlineStr">
        <is>
          <t>Wipro Tech</t>
        </is>
      </c>
      <c r="H544" s="20" t="n">
        <v>23</v>
      </c>
      <c r="I544" s="22" t="n">
        <v>80109.92999999999</v>
      </c>
      <c r="J544" s="23" t="n">
        <v>0.12</v>
      </c>
      <c r="K544" s="24" t="n">
        <v>1621424.98</v>
      </c>
      <c r="L544" s="24" t="n">
        <v>1261733.65</v>
      </c>
      <c r="M544" s="24" t="n">
        <v>359691.33</v>
      </c>
    </row>
    <row r="545">
      <c r="A545" s="20" t="inlineStr">
        <is>
          <t>ORD-20240544</t>
        </is>
      </c>
      <c r="B545" s="21" t="n">
        <v>45637</v>
      </c>
      <c r="C545" s="20" t="inlineStr">
        <is>
          <t>West</t>
        </is>
      </c>
      <c r="D545" s="20" t="inlineStr">
        <is>
          <t>Furniture</t>
        </is>
      </c>
      <c r="E545" s="20" t="inlineStr">
        <is>
          <t>Standing Desk</t>
        </is>
      </c>
      <c r="F545" s="20" t="inlineStr">
        <is>
          <t>SMB</t>
        </is>
      </c>
      <c r="G545" s="20" t="inlineStr">
        <is>
          <t>SwiftPrint</t>
        </is>
      </c>
      <c r="H545" s="20" t="n">
        <v>17</v>
      </c>
      <c r="I545" s="22" t="n">
        <v>32188.97</v>
      </c>
      <c r="J545" s="23" t="n">
        <v>0.05</v>
      </c>
      <c r="K545" s="24" t="n">
        <v>519851.87</v>
      </c>
      <c r="L545" s="24" t="n">
        <v>360143.76</v>
      </c>
      <c r="M545" s="24" t="n">
        <v>159708.11</v>
      </c>
    </row>
    <row r="546">
      <c r="A546" s="20" t="inlineStr">
        <is>
          <t>ORD-20240545</t>
        </is>
      </c>
      <c r="B546" s="21" t="n">
        <v>45640</v>
      </c>
      <c r="C546" s="20" t="inlineStr">
        <is>
          <t>East</t>
        </is>
      </c>
      <c r="D546" s="20" t="inlineStr">
        <is>
          <t>Home &amp; Kitchen</t>
        </is>
      </c>
      <c r="E546" s="20" t="inlineStr">
        <is>
          <t>Air Fryer</t>
        </is>
      </c>
      <c r="F546" s="20" t="inlineStr">
        <is>
          <t>SMB</t>
        </is>
      </c>
      <c r="G546" s="20" t="inlineStr">
        <is>
          <t>GreenFarm Agro</t>
        </is>
      </c>
      <c r="H546" s="20" t="n">
        <v>17</v>
      </c>
      <c r="I546" s="22" t="n">
        <v>3873.66</v>
      </c>
      <c r="J546" s="23" t="n">
        <v>0</v>
      </c>
      <c r="K546" s="24" t="n">
        <v>65852.22</v>
      </c>
      <c r="L546" s="24" t="n">
        <v>43839.73</v>
      </c>
      <c r="M546" s="24" t="n">
        <v>22012.49</v>
      </c>
    </row>
    <row r="547">
      <c r="A547" s="20" t="inlineStr">
        <is>
          <t>ORD-20240546</t>
        </is>
      </c>
      <c r="B547" s="21" t="n">
        <v>45641</v>
      </c>
      <c r="C547" s="20" t="inlineStr">
        <is>
          <t>South</t>
        </is>
      </c>
      <c r="D547" s="20" t="inlineStr">
        <is>
          <t>Furniture</t>
        </is>
      </c>
      <c r="E547" s="20" t="inlineStr">
        <is>
          <t>Standing Desk</t>
        </is>
      </c>
      <c r="F547" s="20" t="inlineStr">
        <is>
          <t>SMB</t>
        </is>
      </c>
      <c r="G547" s="20" t="inlineStr">
        <is>
          <t>CityCare Clinics</t>
        </is>
      </c>
      <c r="H547" s="20" t="n">
        <v>17</v>
      </c>
      <c r="I547" s="22" t="n">
        <v>44671.85</v>
      </c>
      <c r="J547" s="23" t="n">
        <v>0.2</v>
      </c>
      <c r="K547" s="24" t="n">
        <v>607537.16</v>
      </c>
      <c r="L547" s="24" t="n">
        <v>580161.73</v>
      </c>
      <c r="M547" s="24" t="n">
        <v>27375.43</v>
      </c>
    </row>
    <row r="548">
      <c r="A548" s="20" t="inlineStr">
        <is>
          <t>ORD-20240547</t>
        </is>
      </c>
      <c r="B548" s="21" t="n">
        <v>45642</v>
      </c>
      <c r="C548" s="20" t="inlineStr">
        <is>
          <t>East</t>
        </is>
      </c>
      <c r="D548" s="20" t="inlineStr">
        <is>
          <t>Office Supplies</t>
        </is>
      </c>
      <c r="E548" s="20" t="inlineStr">
        <is>
          <t>Whiteboard Kit</t>
        </is>
      </c>
      <c r="F548" s="20" t="inlineStr">
        <is>
          <t>Enterprise</t>
        </is>
      </c>
      <c r="G548" s="20" t="inlineStr">
        <is>
          <t>L&amp;T Infotech</t>
        </is>
      </c>
      <c r="H548" s="20" t="n">
        <v>9</v>
      </c>
      <c r="I548" s="22" t="n">
        <v>906.49</v>
      </c>
      <c r="J548" s="23" t="n">
        <v>0</v>
      </c>
      <c r="K548" s="24" t="n">
        <v>8158.41</v>
      </c>
      <c r="L548" s="24" t="n">
        <v>5235.69</v>
      </c>
      <c r="M548" s="24" t="n">
        <v>2922.72</v>
      </c>
    </row>
    <row r="549">
      <c r="A549" s="20" t="inlineStr">
        <is>
          <t>ORD-20240548</t>
        </is>
      </c>
      <c r="B549" s="21" t="n">
        <v>45642</v>
      </c>
      <c r="C549" s="20" t="inlineStr">
        <is>
          <t>East</t>
        </is>
      </c>
      <c r="D549" s="20" t="inlineStr">
        <is>
          <t>Apparel</t>
        </is>
      </c>
      <c r="E549" s="20" t="inlineStr">
        <is>
          <t>Polo Shirt</t>
        </is>
      </c>
      <c r="F549" s="20" t="inlineStr">
        <is>
          <t>SMB</t>
        </is>
      </c>
      <c r="G549" s="20" t="inlineStr">
        <is>
          <t>SwiftPrint</t>
        </is>
      </c>
      <c r="H549" s="20" t="n">
        <v>19</v>
      </c>
      <c r="I549" s="22" t="n">
        <v>2325.4</v>
      </c>
      <c r="J549" s="23" t="n">
        <v>0.12</v>
      </c>
      <c r="K549" s="24" t="n">
        <v>38880.69</v>
      </c>
      <c r="L549" s="24" t="n">
        <v>30064.43</v>
      </c>
      <c r="M549" s="24" t="n">
        <v>8816.26</v>
      </c>
    </row>
    <row r="550">
      <c r="A550" s="20" t="inlineStr">
        <is>
          <t>ORD-20240549</t>
        </is>
      </c>
      <c r="B550" s="21" t="n">
        <v>45642</v>
      </c>
      <c r="C550" s="20" t="inlineStr">
        <is>
          <t>East</t>
        </is>
      </c>
      <c r="D550" s="20" t="inlineStr">
        <is>
          <t>Apparel</t>
        </is>
      </c>
      <c r="E550" s="20" t="inlineStr">
        <is>
          <t>Safety Vest</t>
        </is>
      </c>
      <c r="F550" s="20" t="inlineStr">
        <is>
          <t>Consumer</t>
        </is>
      </c>
      <c r="G550" s="20" t="inlineStr">
        <is>
          <t>Walk-in Mumbai</t>
        </is>
      </c>
      <c r="H550" s="20" t="n">
        <v>15</v>
      </c>
      <c r="I550" s="22" t="n">
        <v>4480.71</v>
      </c>
      <c r="J550" s="23" t="n">
        <v>0.2</v>
      </c>
      <c r="K550" s="24" t="n">
        <v>53768.52</v>
      </c>
      <c r="L550" s="24" t="n">
        <v>48769.77</v>
      </c>
      <c r="M550" s="24" t="n">
        <v>4998.75</v>
      </c>
    </row>
    <row r="551">
      <c r="A551" s="20" t="inlineStr">
        <is>
          <t>ORD-20240550</t>
        </is>
      </c>
      <c r="B551" s="21" t="n">
        <v>45642</v>
      </c>
      <c r="C551" s="20" t="inlineStr">
        <is>
          <t>Central</t>
        </is>
      </c>
      <c r="D551" s="20" t="inlineStr">
        <is>
          <t>Electronics</t>
        </is>
      </c>
      <c r="E551" s="20" t="inlineStr">
        <is>
          <t>Wireless Mouse</t>
        </is>
      </c>
      <c r="F551" s="20" t="inlineStr">
        <is>
          <t>Consumer</t>
        </is>
      </c>
      <c r="G551" s="20" t="inlineStr">
        <is>
          <t>App User North</t>
        </is>
      </c>
      <c r="H551" s="20" t="n">
        <v>7</v>
      </c>
      <c r="I551" s="22" t="n">
        <v>52199.5</v>
      </c>
      <c r="J551" s="23" t="n">
        <v>0.1</v>
      </c>
      <c r="K551" s="24" t="n">
        <v>328856.85</v>
      </c>
      <c r="L551" s="24" t="n">
        <v>275254.74</v>
      </c>
      <c r="M551" s="24" t="n">
        <v>53602.11</v>
      </c>
    </row>
    <row r="552">
      <c r="A552" s="20" t="inlineStr">
        <is>
          <t>ORD-20240551</t>
        </is>
      </c>
      <c r="B552" s="21" t="n">
        <v>45643</v>
      </c>
      <c r="C552" s="20" t="inlineStr">
        <is>
          <t>Central</t>
        </is>
      </c>
      <c r="D552" s="20" t="inlineStr">
        <is>
          <t>Furniture</t>
        </is>
      </c>
      <c r="E552" s="20" t="inlineStr">
        <is>
          <t>Bookshelf Oak</t>
        </is>
      </c>
      <c r="F552" s="20" t="inlineStr">
        <is>
          <t>Government</t>
        </is>
      </c>
      <c r="G552" s="20" t="inlineStr">
        <is>
          <t>Municipal Corp Hyd</t>
        </is>
      </c>
      <c r="H552" s="20" t="n">
        <v>5</v>
      </c>
      <c r="I552" s="22" t="n">
        <v>43203.2</v>
      </c>
      <c r="J552" s="23" t="n">
        <v>0.15</v>
      </c>
      <c r="K552" s="24" t="n">
        <v>183613.6</v>
      </c>
      <c r="L552" s="24" t="n">
        <v>123951.15</v>
      </c>
      <c r="M552" s="24" t="n">
        <v>59662.45</v>
      </c>
    </row>
    <row r="553">
      <c r="A553" s="20" t="inlineStr">
        <is>
          <t>ORD-20240552</t>
        </is>
      </c>
      <c r="B553" s="21" t="n">
        <v>45643</v>
      </c>
      <c r="C553" s="20" t="inlineStr">
        <is>
          <t>East</t>
        </is>
      </c>
      <c r="D553" s="20" t="inlineStr">
        <is>
          <t>Apparel</t>
        </is>
      </c>
      <c r="E553" s="20" t="inlineStr">
        <is>
          <t>Polo Shirt</t>
        </is>
      </c>
      <c r="F553" s="20" t="inlineStr">
        <is>
          <t>Government</t>
        </is>
      </c>
      <c r="G553" s="20" t="inlineStr">
        <is>
          <t>Delhi NDMC</t>
        </is>
      </c>
      <c r="H553" s="20" t="n">
        <v>4</v>
      </c>
      <c r="I553" s="22" t="n">
        <v>4206.19</v>
      </c>
      <c r="J553" s="23" t="n">
        <v>0</v>
      </c>
      <c r="K553" s="24" t="n">
        <v>16824.76</v>
      </c>
      <c r="L553" s="24" t="n">
        <v>10601.54</v>
      </c>
      <c r="M553" s="24" t="n">
        <v>6223.22</v>
      </c>
    </row>
    <row r="554">
      <c r="A554" s="20" t="inlineStr">
        <is>
          <t>ORD-20240553</t>
        </is>
      </c>
      <c r="B554" s="21" t="n">
        <v>45643</v>
      </c>
      <c r="C554" s="20" t="inlineStr">
        <is>
          <t>West</t>
        </is>
      </c>
      <c r="D554" s="20" t="inlineStr">
        <is>
          <t>Furniture</t>
        </is>
      </c>
      <c r="E554" s="20" t="inlineStr">
        <is>
          <t>Ergo Chair</t>
        </is>
      </c>
      <c r="F554" s="20" t="inlineStr">
        <is>
          <t>Consumer</t>
        </is>
      </c>
      <c r="G554" s="20" t="inlineStr">
        <is>
          <t>Retail Counter</t>
        </is>
      </c>
      <c r="H554" s="20" t="n">
        <v>13</v>
      </c>
      <c r="I554" s="22" t="n">
        <v>20293.25</v>
      </c>
      <c r="J554" s="23" t="n">
        <v>0.05</v>
      </c>
      <c r="K554" s="24" t="n">
        <v>250621.64</v>
      </c>
      <c r="L554" s="24" t="n">
        <v>161697.66</v>
      </c>
      <c r="M554" s="24" t="n">
        <v>88923.98</v>
      </c>
    </row>
    <row r="555">
      <c r="A555" s="20" t="inlineStr">
        <is>
          <t>ORD-20240554</t>
        </is>
      </c>
      <c r="B555" s="21" t="n">
        <v>45643</v>
      </c>
      <c r="C555" s="20" t="inlineStr">
        <is>
          <t>West</t>
        </is>
      </c>
      <c r="D555" s="20" t="inlineStr">
        <is>
          <t>Home &amp; Kitchen</t>
        </is>
      </c>
      <c r="E555" s="20" t="inlineStr">
        <is>
          <t>Water Purifier</t>
        </is>
      </c>
      <c r="F555" s="20" t="inlineStr">
        <is>
          <t>SMB</t>
        </is>
      </c>
      <c r="G555" s="20" t="inlineStr">
        <is>
          <t>Pixel Studio</t>
        </is>
      </c>
      <c r="H555" s="20" t="n">
        <v>22</v>
      </c>
      <c r="I555" s="22" t="n">
        <v>14442.77</v>
      </c>
      <c r="J555" s="23" t="n">
        <v>0.2</v>
      </c>
      <c r="K555" s="24" t="n">
        <v>254192.75</v>
      </c>
      <c r="L555" s="24" t="n">
        <v>193880.12</v>
      </c>
      <c r="M555" s="24" t="n">
        <v>60312.63</v>
      </c>
    </row>
    <row r="556">
      <c r="A556" s="20" t="inlineStr">
        <is>
          <t>ORD-20240555</t>
        </is>
      </c>
      <c r="B556" s="21" t="n">
        <v>45644</v>
      </c>
      <c r="C556" s="20" t="inlineStr">
        <is>
          <t>Central</t>
        </is>
      </c>
      <c r="D556" s="20" t="inlineStr">
        <is>
          <t>Office Supplies</t>
        </is>
      </c>
      <c r="E556" s="20" t="inlineStr">
        <is>
          <t>A4 Paper Ream</t>
        </is>
      </c>
      <c r="F556" s="20" t="inlineStr">
        <is>
          <t>SMB</t>
        </is>
      </c>
      <c r="G556" s="20" t="inlineStr">
        <is>
          <t>SwiftPrint</t>
        </is>
      </c>
      <c r="H556" s="20" t="n">
        <v>22</v>
      </c>
      <c r="I556" s="22" t="n">
        <v>1523.84</v>
      </c>
      <c r="J556" s="23" t="n">
        <v>0.15</v>
      </c>
      <c r="K556" s="24" t="n">
        <v>28495.81</v>
      </c>
      <c r="L556" s="24" t="n">
        <v>18799.97</v>
      </c>
      <c r="M556" s="24" t="n">
        <v>9695.84</v>
      </c>
    </row>
    <row r="557">
      <c r="A557" s="20" t="inlineStr">
        <is>
          <t>ORD-20240556</t>
        </is>
      </c>
      <c r="B557" s="21" t="n">
        <v>45647</v>
      </c>
      <c r="C557" s="20" t="inlineStr">
        <is>
          <t>East</t>
        </is>
      </c>
      <c r="D557" s="20" t="inlineStr">
        <is>
          <t>Home &amp; Kitchen</t>
        </is>
      </c>
      <c r="E557" s="20" t="inlineStr">
        <is>
          <t>Air Fryer</t>
        </is>
      </c>
      <c r="F557" s="20" t="inlineStr">
        <is>
          <t>SMB</t>
        </is>
      </c>
      <c r="G557" s="20" t="inlineStr">
        <is>
          <t>BrightRetail Co</t>
        </is>
      </c>
      <c r="H557" s="20" t="n">
        <v>1</v>
      </c>
      <c r="I557" s="22" t="n">
        <v>20113.02</v>
      </c>
      <c r="J557" s="23" t="n">
        <v>0</v>
      </c>
      <c r="K557" s="24" t="n">
        <v>20113.02</v>
      </c>
      <c r="L557" s="24" t="n">
        <v>11820.05</v>
      </c>
      <c r="M557" s="24" t="n">
        <v>8292.969999999999</v>
      </c>
    </row>
    <row r="558">
      <c r="A558" s="20" t="inlineStr">
        <is>
          <t>ORD-20240557</t>
        </is>
      </c>
      <c r="B558" s="21" t="n">
        <v>45648</v>
      </c>
      <c r="C558" s="20" t="inlineStr">
        <is>
          <t>West</t>
        </is>
      </c>
      <c r="D558" s="20" t="inlineStr">
        <is>
          <t>Apparel</t>
        </is>
      </c>
      <c r="E558" s="20" t="inlineStr">
        <is>
          <t>Cap Embroidered</t>
        </is>
      </c>
      <c r="F558" s="20" t="inlineStr">
        <is>
          <t>Enterprise</t>
        </is>
      </c>
      <c r="G558" s="20" t="inlineStr">
        <is>
          <t>L&amp;T Infotech</t>
        </is>
      </c>
      <c r="H558" s="20" t="n">
        <v>22</v>
      </c>
      <c r="I558" s="22" t="n">
        <v>4409.4</v>
      </c>
      <c r="J558" s="23" t="n">
        <v>0</v>
      </c>
      <c r="K558" s="24" t="n">
        <v>97006.8</v>
      </c>
      <c r="L558" s="24" t="n">
        <v>67935.11</v>
      </c>
      <c r="M558" s="24" t="n">
        <v>29071.69</v>
      </c>
    </row>
    <row r="559">
      <c r="A559" s="20" t="inlineStr">
        <is>
          <t>ORD-20240558</t>
        </is>
      </c>
      <c r="B559" s="21" t="n">
        <v>45648</v>
      </c>
      <c r="C559" s="20" t="inlineStr">
        <is>
          <t>North</t>
        </is>
      </c>
      <c r="D559" s="20" t="inlineStr">
        <is>
          <t>Electronics</t>
        </is>
      </c>
      <c r="E559" s="20" t="inlineStr">
        <is>
          <t>Monitor 27in</t>
        </is>
      </c>
      <c r="F559" s="20" t="inlineStr">
        <is>
          <t>Enterprise</t>
        </is>
      </c>
      <c r="G559" s="20" t="inlineStr">
        <is>
          <t>HCL Services</t>
        </is>
      </c>
      <c r="H559" s="20" t="n">
        <v>19</v>
      </c>
      <c r="I559" s="22" t="n">
        <v>14470.91</v>
      </c>
      <c r="J559" s="23" t="n">
        <v>0.12</v>
      </c>
      <c r="K559" s="24" t="n">
        <v>241953.62</v>
      </c>
      <c r="L559" s="24" t="n">
        <v>211745.78</v>
      </c>
      <c r="M559" s="24" t="n">
        <v>30207.84</v>
      </c>
    </row>
    <row r="560">
      <c r="A560" s="20" t="inlineStr">
        <is>
          <t>ORD-20240559</t>
        </is>
      </c>
      <c r="B560" s="21" t="n">
        <v>45649</v>
      </c>
      <c r="C560" s="20" t="inlineStr">
        <is>
          <t>Central</t>
        </is>
      </c>
      <c r="D560" s="20" t="inlineStr">
        <is>
          <t>Office Supplies</t>
        </is>
      </c>
      <c r="E560" s="20" t="inlineStr">
        <is>
          <t>Whiteboard Kit</t>
        </is>
      </c>
      <c r="F560" s="20" t="inlineStr">
        <is>
          <t>SMB</t>
        </is>
      </c>
      <c r="G560" s="20" t="inlineStr">
        <is>
          <t>GreenFarm Agro</t>
        </is>
      </c>
      <c r="H560" s="20" t="n">
        <v>3</v>
      </c>
      <c r="I560" s="22" t="n">
        <v>3315.13</v>
      </c>
      <c r="J560" s="23" t="n">
        <v>0.05</v>
      </c>
      <c r="K560" s="24" t="n">
        <v>9448.120000000001</v>
      </c>
      <c r="L560" s="24" t="n">
        <v>7338.12</v>
      </c>
      <c r="M560" s="24" t="n">
        <v>2110</v>
      </c>
    </row>
    <row r="561">
      <c r="A561" s="20" t="inlineStr">
        <is>
          <t>ORD-20240560</t>
        </is>
      </c>
      <c r="B561" s="21" t="n">
        <v>45649</v>
      </c>
      <c r="C561" s="20" t="inlineStr">
        <is>
          <t>South</t>
        </is>
      </c>
      <c r="D561" s="20" t="inlineStr">
        <is>
          <t>Home &amp; Kitchen</t>
        </is>
      </c>
      <c r="E561" s="20" t="inlineStr">
        <is>
          <t>Coffee Maker</t>
        </is>
      </c>
      <c r="F561" s="20" t="inlineStr">
        <is>
          <t>Enterprise</t>
        </is>
      </c>
      <c r="G561" s="20" t="inlineStr">
        <is>
          <t>Tech Mahindra</t>
        </is>
      </c>
      <c r="H561" s="20" t="n">
        <v>6</v>
      </c>
      <c r="I561" s="22" t="n">
        <v>12229.56</v>
      </c>
      <c r="J561" s="23" t="n">
        <v>0.2</v>
      </c>
      <c r="K561" s="24" t="n">
        <v>58701.89</v>
      </c>
      <c r="L561" s="24" t="n">
        <v>47165.93</v>
      </c>
      <c r="M561" s="24" t="n">
        <v>11535.96</v>
      </c>
    </row>
    <row r="562">
      <c r="A562" s="20" t="inlineStr">
        <is>
          <t>ORD-20240561</t>
        </is>
      </c>
      <c r="B562" s="21" t="n">
        <v>45649</v>
      </c>
      <c r="C562" s="20" t="inlineStr">
        <is>
          <t>North</t>
        </is>
      </c>
      <c r="D562" s="20" t="inlineStr">
        <is>
          <t>Apparel</t>
        </is>
      </c>
      <c r="E562" s="20" t="inlineStr">
        <is>
          <t>Polo Shirt</t>
        </is>
      </c>
      <c r="F562" s="20" t="inlineStr">
        <is>
          <t>SMB</t>
        </is>
      </c>
      <c r="G562" s="20" t="inlineStr">
        <is>
          <t>CityCare Clinics</t>
        </is>
      </c>
      <c r="H562" s="20" t="n">
        <v>24</v>
      </c>
      <c r="I562" s="22" t="n">
        <v>4413.91</v>
      </c>
      <c r="J562" s="23" t="n">
        <v>0.15</v>
      </c>
      <c r="K562" s="24" t="n">
        <v>90043.75999999999</v>
      </c>
      <c r="L562" s="24" t="n">
        <v>60591.44</v>
      </c>
      <c r="M562" s="24" t="n">
        <v>29452.32</v>
      </c>
    </row>
    <row r="563">
      <c r="A563" s="20" t="inlineStr">
        <is>
          <t>ORD-20240562</t>
        </is>
      </c>
      <c r="B563" s="21" t="n">
        <v>45651</v>
      </c>
      <c r="C563" s="20" t="inlineStr">
        <is>
          <t>West</t>
        </is>
      </c>
      <c r="D563" s="20" t="inlineStr">
        <is>
          <t>Electronics</t>
        </is>
      </c>
      <c r="E563" s="20" t="inlineStr">
        <is>
          <t>Laptop Pro 14</t>
        </is>
      </c>
      <c r="F563" s="20" t="inlineStr">
        <is>
          <t>Government</t>
        </is>
      </c>
      <c r="G563" s="20" t="inlineStr">
        <is>
          <t>State Health UP</t>
        </is>
      </c>
      <c r="H563" s="20" t="n">
        <v>6</v>
      </c>
      <c r="I563" s="22" t="n">
        <v>75279.28</v>
      </c>
      <c r="J563" s="23" t="n">
        <v>0.15</v>
      </c>
      <c r="K563" s="24" t="n">
        <v>383924.33</v>
      </c>
      <c r="L563" s="24" t="n">
        <v>340024.73</v>
      </c>
      <c r="M563" s="24" t="n">
        <v>43899.6</v>
      </c>
    </row>
    <row r="564">
      <c r="A564" s="20" t="inlineStr">
        <is>
          <t>ORD-20240563</t>
        </is>
      </c>
      <c r="B564" s="21" t="n">
        <v>45652</v>
      </c>
      <c r="C564" s="20" t="inlineStr">
        <is>
          <t>West</t>
        </is>
      </c>
      <c r="D564" s="20" t="inlineStr">
        <is>
          <t>Office Supplies</t>
        </is>
      </c>
      <c r="E564" s="20" t="inlineStr">
        <is>
          <t>Gel Pen Pack</t>
        </is>
      </c>
      <c r="F564" s="20" t="inlineStr">
        <is>
          <t>Enterprise</t>
        </is>
      </c>
      <c r="G564" s="20" t="inlineStr">
        <is>
          <t>HCL Services</t>
        </is>
      </c>
      <c r="H564" s="20" t="n">
        <v>15</v>
      </c>
      <c r="I564" s="22" t="n">
        <v>2228.28</v>
      </c>
      <c r="J564" s="23" t="n">
        <v>0.05</v>
      </c>
      <c r="K564" s="24" t="n">
        <v>31752.99</v>
      </c>
      <c r="L564" s="24" t="n">
        <v>22929.89</v>
      </c>
      <c r="M564" s="24" t="n">
        <v>8823.1</v>
      </c>
    </row>
    <row r="565">
      <c r="A565" s="20" t="inlineStr">
        <is>
          <t>ORD-20240564</t>
        </is>
      </c>
      <c r="B565" s="21" t="n">
        <v>45652</v>
      </c>
      <c r="C565" s="20" t="inlineStr">
        <is>
          <t>East</t>
        </is>
      </c>
      <c r="D565" s="20" t="inlineStr">
        <is>
          <t>Apparel</t>
        </is>
      </c>
      <c r="E565" s="20" t="inlineStr">
        <is>
          <t>Hoodie Soft</t>
        </is>
      </c>
      <c r="F565" s="20" t="inlineStr">
        <is>
          <t>Consumer</t>
        </is>
      </c>
      <c r="G565" s="20" t="inlineStr">
        <is>
          <t>App User North</t>
        </is>
      </c>
      <c r="H565" s="20" t="n">
        <v>24</v>
      </c>
      <c r="I565" s="22" t="n">
        <v>3314.96</v>
      </c>
      <c r="J565" s="23" t="n">
        <v>0.15</v>
      </c>
      <c r="K565" s="24" t="n">
        <v>67625.17999999999</v>
      </c>
      <c r="L565" s="24" t="n">
        <v>52189.99</v>
      </c>
      <c r="M565" s="24" t="n">
        <v>15435.19</v>
      </c>
    </row>
    <row r="566">
      <c r="A566" s="20" t="inlineStr">
        <is>
          <t>ORD-20240565</t>
        </is>
      </c>
      <c r="B566" s="21" t="n">
        <v>45652</v>
      </c>
      <c r="C566" s="20" t="inlineStr">
        <is>
          <t>Central</t>
        </is>
      </c>
      <c r="D566" s="20" t="inlineStr">
        <is>
          <t>Home &amp; Kitchen</t>
        </is>
      </c>
      <c r="E566" s="20" t="inlineStr">
        <is>
          <t>Vacuum Robot</t>
        </is>
      </c>
      <c r="F566" s="20" t="inlineStr">
        <is>
          <t>Government</t>
        </is>
      </c>
      <c r="G566" s="20" t="inlineStr">
        <is>
          <t>MH Education Dept</t>
        </is>
      </c>
      <c r="H566" s="20" t="n">
        <v>19</v>
      </c>
      <c r="I566" s="22" t="n">
        <v>14241.45</v>
      </c>
      <c r="J566" s="23" t="n">
        <v>0.1</v>
      </c>
      <c r="K566" s="24" t="n">
        <v>243528.79</v>
      </c>
      <c r="L566" s="24" t="n">
        <v>181351.36</v>
      </c>
      <c r="M566" s="24" t="n">
        <v>62177.43</v>
      </c>
    </row>
    <row r="567">
      <c r="A567" s="20" t="inlineStr">
        <is>
          <t>ORD-20240566</t>
        </is>
      </c>
      <c r="B567" s="21" t="n">
        <v>45652</v>
      </c>
      <c r="C567" s="20" t="inlineStr">
        <is>
          <t>East</t>
        </is>
      </c>
      <c r="D567" s="20" t="inlineStr">
        <is>
          <t>Electronics</t>
        </is>
      </c>
      <c r="E567" s="20" t="inlineStr">
        <is>
          <t>USB-C Hub</t>
        </is>
      </c>
      <c r="F567" s="20" t="inlineStr">
        <is>
          <t>Enterprise</t>
        </is>
      </c>
      <c r="G567" s="20" t="inlineStr">
        <is>
          <t>L&amp;T Infotech</t>
        </is>
      </c>
      <c r="H567" s="20" t="n">
        <v>16</v>
      </c>
      <c r="I567" s="22" t="n">
        <v>55438.36</v>
      </c>
      <c r="J567" s="23" t="n">
        <v>0.15</v>
      </c>
      <c r="K567" s="24" t="n">
        <v>753961.7</v>
      </c>
      <c r="L567" s="24" t="n">
        <v>572329.98</v>
      </c>
      <c r="M567" s="24" t="n">
        <v>181631.72</v>
      </c>
    </row>
    <row r="568">
      <c r="A568" s="20" t="inlineStr">
        <is>
          <t>ORD-20240567</t>
        </is>
      </c>
      <c r="B568" s="21" t="n">
        <v>45655</v>
      </c>
      <c r="C568" s="20" t="inlineStr">
        <is>
          <t>South</t>
        </is>
      </c>
      <c r="D568" s="20" t="inlineStr">
        <is>
          <t>Office Supplies</t>
        </is>
      </c>
      <c r="E568" s="20" t="inlineStr">
        <is>
          <t>Gel Pen Pack</t>
        </is>
      </c>
      <c r="F568" s="20" t="inlineStr">
        <is>
          <t>Government</t>
        </is>
      </c>
      <c r="G568" s="20" t="inlineStr">
        <is>
          <t>Municipal Corp Hyd</t>
        </is>
      </c>
      <c r="H568" s="20" t="n">
        <v>3</v>
      </c>
      <c r="I568" s="22" t="n">
        <v>1053.27</v>
      </c>
      <c r="J568" s="23" t="n">
        <v>0</v>
      </c>
      <c r="K568" s="24" t="n">
        <v>3159.81</v>
      </c>
      <c r="L568" s="24" t="n">
        <v>2081.78</v>
      </c>
      <c r="M568" s="24" t="n">
        <v>1078.03</v>
      </c>
    </row>
    <row r="569">
      <c r="A569" s="20" t="inlineStr">
        <is>
          <t>ORD-20240568</t>
        </is>
      </c>
      <c r="B569" s="21" t="n">
        <v>45656</v>
      </c>
      <c r="C569" s="20" t="inlineStr">
        <is>
          <t>Central</t>
        </is>
      </c>
      <c r="D569" s="20" t="inlineStr">
        <is>
          <t>Electronics</t>
        </is>
      </c>
      <c r="E569" s="20" t="inlineStr">
        <is>
          <t>USB-C Hub</t>
        </is>
      </c>
      <c r="F569" s="20" t="inlineStr">
        <is>
          <t>Government</t>
        </is>
      </c>
      <c r="G569" s="20" t="inlineStr">
        <is>
          <t>Railways Zone W</t>
        </is>
      </c>
      <c r="H569" s="20" t="n">
        <v>1</v>
      </c>
      <c r="I569" s="22" t="n">
        <v>54193.15</v>
      </c>
      <c r="J569" s="23" t="n">
        <v>0.15</v>
      </c>
      <c r="K569" s="24" t="n">
        <v>46064.18</v>
      </c>
      <c r="L569" s="24" t="n">
        <v>35921.32</v>
      </c>
      <c r="M569" s="24" t="n">
        <v>10142.86</v>
      </c>
    </row>
    <row r="570">
      <c r="A570" s="20" t="inlineStr">
        <is>
          <t>ORD-20240569</t>
        </is>
      </c>
      <c r="B570" s="21" t="n">
        <v>45656</v>
      </c>
      <c r="C570" s="20" t="inlineStr">
        <is>
          <t>North</t>
        </is>
      </c>
      <c r="D570" s="20" t="inlineStr">
        <is>
          <t>Electronics</t>
        </is>
      </c>
      <c r="E570" s="20" t="inlineStr">
        <is>
          <t>USB-C Hub</t>
        </is>
      </c>
      <c r="F570" s="20" t="inlineStr">
        <is>
          <t>Consumer</t>
        </is>
      </c>
      <c r="G570" s="20" t="inlineStr">
        <is>
          <t>Online Guest</t>
        </is>
      </c>
      <c r="H570" s="20" t="n">
        <v>13</v>
      </c>
      <c r="I570" s="22" t="n">
        <v>42918.19</v>
      </c>
      <c r="J570" s="23" t="n">
        <v>0.1</v>
      </c>
      <c r="K570" s="24" t="n">
        <v>502142.82</v>
      </c>
      <c r="L570" s="24" t="n">
        <v>403345.51</v>
      </c>
      <c r="M570" s="24" t="n">
        <v>98797.31</v>
      </c>
    </row>
    <row r="571">
      <c r="A571" s="20" t="inlineStr">
        <is>
          <t>ORD-20240570</t>
        </is>
      </c>
      <c r="B571" s="21" t="n">
        <v>45657</v>
      </c>
      <c r="C571" s="20" t="inlineStr">
        <is>
          <t>North</t>
        </is>
      </c>
      <c r="D571" s="20" t="inlineStr">
        <is>
          <t>Apparel</t>
        </is>
      </c>
      <c r="E571" s="20" t="inlineStr">
        <is>
          <t>Hoodie Soft</t>
        </is>
      </c>
      <c r="F571" s="20" t="inlineStr">
        <is>
          <t>Consumer</t>
        </is>
      </c>
      <c r="G571" s="20" t="inlineStr">
        <is>
          <t>Walk-in Delhi</t>
        </is>
      </c>
      <c r="H571" s="20" t="n">
        <v>9</v>
      </c>
      <c r="I571" s="22" t="n">
        <v>760.55</v>
      </c>
      <c r="J571" s="23" t="n">
        <v>0.15</v>
      </c>
      <c r="K571" s="24" t="n">
        <v>5818.21</v>
      </c>
      <c r="L571" s="24" t="n">
        <v>5262.77</v>
      </c>
      <c r="M571" s="24" t="n">
        <v>555.4400000000001</v>
      </c>
    </row>
    <row r="572">
      <c r="A572" s="20" t="inlineStr">
        <is>
          <t>ORD-20240571</t>
        </is>
      </c>
      <c r="B572" s="21" t="n">
        <v>45658</v>
      </c>
      <c r="C572" s="20" t="inlineStr">
        <is>
          <t>East</t>
        </is>
      </c>
      <c r="D572" s="20" t="inlineStr">
        <is>
          <t>Home &amp; Kitchen</t>
        </is>
      </c>
      <c r="E572" s="20" t="inlineStr">
        <is>
          <t>Mixer Grinder</t>
        </is>
      </c>
      <c r="F572" s="20" t="inlineStr">
        <is>
          <t>Enterprise</t>
        </is>
      </c>
      <c r="G572" s="20" t="inlineStr">
        <is>
          <t>TCS Digital</t>
        </is>
      </c>
      <c r="H572" s="20" t="n">
        <v>10</v>
      </c>
      <c r="I572" s="22" t="n">
        <v>25901.3</v>
      </c>
      <c r="J572" s="23" t="n">
        <v>0.05</v>
      </c>
      <c r="K572" s="24" t="n">
        <v>246062.35</v>
      </c>
      <c r="L572" s="24" t="n">
        <v>165716.02</v>
      </c>
      <c r="M572" s="24" t="n">
        <v>80346.33</v>
      </c>
    </row>
    <row r="573">
      <c r="A573" s="20" t="inlineStr">
        <is>
          <t>ORD-20240572</t>
        </is>
      </c>
      <c r="B573" s="21" t="n">
        <v>45659</v>
      </c>
      <c r="C573" s="20" t="inlineStr">
        <is>
          <t>East</t>
        </is>
      </c>
      <c r="D573" s="20" t="inlineStr">
        <is>
          <t>Apparel</t>
        </is>
      </c>
      <c r="E573" s="20" t="inlineStr">
        <is>
          <t>Safety Vest</t>
        </is>
      </c>
      <c r="F573" s="20" t="inlineStr">
        <is>
          <t>SMB</t>
        </is>
      </c>
      <c r="G573" s="20" t="inlineStr">
        <is>
          <t>Nova Logistics</t>
        </is>
      </c>
      <c r="H573" s="20" t="n">
        <v>25</v>
      </c>
      <c r="I573" s="22" t="n">
        <v>1880.99</v>
      </c>
      <c r="J573" s="23" t="n">
        <v>0</v>
      </c>
      <c r="K573" s="24" t="n">
        <v>47024.75</v>
      </c>
      <c r="L573" s="24" t="n">
        <v>29972.79</v>
      </c>
      <c r="M573" s="24" t="n">
        <v>17051.96</v>
      </c>
    </row>
    <row r="574">
      <c r="A574" s="20" t="inlineStr">
        <is>
          <t>ORD-20240573</t>
        </is>
      </c>
      <c r="B574" s="21" t="n">
        <v>45659</v>
      </c>
      <c r="C574" s="20" t="inlineStr">
        <is>
          <t>West</t>
        </is>
      </c>
      <c r="D574" s="20" t="inlineStr">
        <is>
          <t>Home &amp; Kitchen</t>
        </is>
      </c>
      <c r="E574" s="20" t="inlineStr">
        <is>
          <t>Air Fryer</t>
        </is>
      </c>
      <c r="F574" s="20" t="inlineStr">
        <is>
          <t>SMB</t>
        </is>
      </c>
      <c r="G574" s="20" t="inlineStr">
        <is>
          <t>Pixel Studio</t>
        </is>
      </c>
      <c r="H574" s="20" t="n">
        <v>23</v>
      </c>
      <c r="I574" s="22" t="n">
        <v>11532.22</v>
      </c>
      <c r="J574" s="23" t="n">
        <v>0</v>
      </c>
      <c r="K574" s="24" t="n">
        <v>265241.06</v>
      </c>
      <c r="L574" s="24" t="n">
        <v>184353.66</v>
      </c>
      <c r="M574" s="24" t="n">
        <v>80887.39999999999</v>
      </c>
    </row>
    <row r="575">
      <c r="A575" s="20" t="inlineStr">
        <is>
          <t>ORD-20240574</t>
        </is>
      </c>
      <c r="B575" s="21" t="n">
        <v>45660</v>
      </c>
      <c r="C575" s="20" t="inlineStr">
        <is>
          <t>West</t>
        </is>
      </c>
      <c r="D575" s="20" t="inlineStr">
        <is>
          <t>Apparel</t>
        </is>
      </c>
      <c r="E575" s="20" t="inlineStr">
        <is>
          <t>Hoodie Soft</t>
        </is>
      </c>
      <c r="F575" s="20" t="inlineStr">
        <is>
          <t>Government</t>
        </is>
      </c>
      <c r="G575" s="20" t="inlineStr">
        <is>
          <t>Municipal Corp Hyd</t>
        </is>
      </c>
      <c r="H575" s="20" t="n">
        <v>17</v>
      </c>
      <c r="I575" s="22" t="n">
        <v>4639.43</v>
      </c>
      <c r="J575" s="23" t="n">
        <v>0.12</v>
      </c>
      <c r="K575" s="24" t="n">
        <v>69405.87</v>
      </c>
      <c r="L575" s="24" t="n">
        <v>53240.49</v>
      </c>
      <c r="M575" s="24" t="n">
        <v>16165.38</v>
      </c>
    </row>
    <row r="576">
      <c r="A576" s="20" t="inlineStr">
        <is>
          <t>ORD-20240575</t>
        </is>
      </c>
      <c r="B576" s="21" t="n">
        <v>45660</v>
      </c>
      <c r="C576" s="20" t="inlineStr">
        <is>
          <t>West</t>
        </is>
      </c>
      <c r="D576" s="20" t="inlineStr">
        <is>
          <t>Apparel</t>
        </is>
      </c>
      <c r="E576" s="20" t="inlineStr">
        <is>
          <t>Hoodie Soft</t>
        </is>
      </c>
      <c r="F576" s="20" t="inlineStr">
        <is>
          <t>SMB</t>
        </is>
      </c>
      <c r="G576" s="20" t="inlineStr">
        <is>
          <t>BrightRetail Co</t>
        </is>
      </c>
      <c r="H576" s="20" t="n">
        <v>21</v>
      </c>
      <c r="I576" s="22" t="n">
        <v>4799.47</v>
      </c>
      <c r="J576" s="23" t="n">
        <v>0.1</v>
      </c>
      <c r="K576" s="24" t="n">
        <v>90709.98</v>
      </c>
      <c r="L576" s="24" t="n">
        <v>55819.39</v>
      </c>
      <c r="M576" s="24" t="n">
        <v>34890.59</v>
      </c>
    </row>
    <row r="577">
      <c r="A577" s="20" t="inlineStr">
        <is>
          <t>ORD-20240576</t>
        </is>
      </c>
      <c r="B577" s="21" t="n">
        <v>45661</v>
      </c>
      <c r="C577" s="20" t="inlineStr">
        <is>
          <t>North</t>
        </is>
      </c>
      <c r="D577" s="20" t="inlineStr">
        <is>
          <t>Office Supplies</t>
        </is>
      </c>
      <c r="E577" s="20" t="inlineStr">
        <is>
          <t>Whiteboard Kit</t>
        </is>
      </c>
      <c r="F577" s="20" t="inlineStr">
        <is>
          <t>Consumer</t>
        </is>
      </c>
      <c r="G577" s="20" t="inlineStr">
        <is>
          <t>Walk-in Mumbai</t>
        </is>
      </c>
      <c r="H577" s="20" t="n">
        <v>19</v>
      </c>
      <c r="I577" s="22" t="n">
        <v>1487.16</v>
      </c>
      <c r="J577" s="23" t="n">
        <v>0</v>
      </c>
      <c r="K577" s="24" t="n">
        <v>28256.04</v>
      </c>
      <c r="L577" s="24" t="n">
        <v>18942.89</v>
      </c>
      <c r="M577" s="24" t="n">
        <v>9313.15</v>
      </c>
    </row>
    <row r="578">
      <c r="A578" s="20" t="inlineStr">
        <is>
          <t>ORD-20240577</t>
        </is>
      </c>
      <c r="B578" s="21" t="n">
        <v>45661</v>
      </c>
      <c r="C578" s="20" t="inlineStr">
        <is>
          <t>East</t>
        </is>
      </c>
      <c r="D578" s="20" t="inlineStr">
        <is>
          <t>Furniture</t>
        </is>
      </c>
      <c r="E578" s="20" t="inlineStr">
        <is>
          <t>Ergo Chair</t>
        </is>
      </c>
      <c r="F578" s="20" t="inlineStr">
        <is>
          <t>Consumer</t>
        </is>
      </c>
      <c r="G578" s="20" t="inlineStr">
        <is>
          <t>Walk-in Mumbai</t>
        </is>
      </c>
      <c r="H578" s="20" t="n">
        <v>2</v>
      </c>
      <c r="I578" s="22" t="n">
        <v>30914.89</v>
      </c>
      <c r="J578" s="23" t="n">
        <v>0.2</v>
      </c>
      <c r="K578" s="24" t="n">
        <v>49463.82</v>
      </c>
      <c r="L578" s="24" t="n">
        <v>46915.02</v>
      </c>
      <c r="M578" s="24" t="n">
        <v>2548.8</v>
      </c>
    </row>
    <row r="579">
      <c r="A579" s="20" t="inlineStr">
        <is>
          <t>ORD-20240578</t>
        </is>
      </c>
      <c r="B579" s="21" t="n">
        <v>45661</v>
      </c>
      <c r="C579" s="20" t="inlineStr">
        <is>
          <t>North</t>
        </is>
      </c>
      <c r="D579" s="20" t="inlineStr">
        <is>
          <t>Furniture</t>
        </is>
      </c>
      <c r="E579" s="20" t="inlineStr">
        <is>
          <t>Conference Table</t>
        </is>
      </c>
      <c r="F579" s="20" t="inlineStr">
        <is>
          <t>Consumer</t>
        </is>
      </c>
      <c r="G579" s="20" t="inlineStr">
        <is>
          <t>Walk-in Delhi</t>
        </is>
      </c>
      <c r="H579" s="20" t="n">
        <v>15</v>
      </c>
      <c r="I579" s="22" t="n">
        <v>7188.44</v>
      </c>
      <c r="J579" s="23" t="n">
        <v>0</v>
      </c>
      <c r="K579" s="24" t="n">
        <v>107826.6</v>
      </c>
      <c r="L579" s="24" t="n">
        <v>71600.92999999999</v>
      </c>
      <c r="M579" s="24" t="n">
        <v>36225.67</v>
      </c>
    </row>
    <row r="580">
      <c r="A580" s="20" t="inlineStr">
        <is>
          <t>ORD-20240579</t>
        </is>
      </c>
      <c r="B580" s="21" t="n">
        <v>45662</v>
      </c>
      <c r="C580" s="20" t="inlineStr">
        <is>
          <t>South</t>
        </is>
      </c>
      <c r="D580" s="20" t="inlineStr">
        <is>
          <t>Apparel</t>
        </is>
      </c>
      <c r="E580" s="20" t="inlineStr">
        <is>
          <t>Formal Blazer</t>
        </is>
      </c>
      <c r="F580" s="20" t="inlineStr">
        <is>
          <t>Enterprise</t>
        </is>
      </c>
      <c r="G580" s="20" t="inlineStr">
        <is>
          <t>Tech Mahindra</t>
        </is>
      </c>
      <c r="H580" s="20" t="n">
        <v>21</v>
      </c>
      <c r="I580" s="22" t="n">
        <v>1618.8</v>
      </c>
      <c r="J580" s="23" t="n">
        <v>0</v>
      </c>
      <c r="K580" s="24" t="n">
        <v>33994.8</v>
      </c>
      <c r="L580" s="24" t="n">
        <v>20158.52</v>
      </c>
      <c r="M580" s="24" t="n">
        <v>13836.28</v>
      </c>
    </row>
    <row r="581">
      <c r="A581" s="20" t="inlineStr">
        <is>
          <t>ORD-20240580</t>
        </is>
      </c>
      <c r="B581" s="21" t="n">
        <v>45664</v>
      </c>
      <c r="C581" s="20" t="inlineStr">
        <is>
          <t>Central</t>
        </is>
      </c>
      <c r="D581" s="20" t="inlineStr">
        <is>
          <t>Electronics</t>
        </is>
      </c>
      <c r="E581" s="20" t="inlineStr">
        <is>
          <t>Webcam HD</t>
        </is>
      </c>
      <c r="F581" s="20" t="inlineStr">
        <is>
          <t>Consumer</t>
        </is>
      </c>
      <c r="G581" s="20" t="inlineStr">
        <is>
          <t>Retail Counter</t>
        </is>
      </c>
      <c r="H581" s="20" t="n">
        <v>18</v>
      </c>
      <c r="I581" s="22" t="n">
        <v>18216.88</v>
      </c>
      <c r="J581" s="23" t="n">
        <v>0.15</v>
      </c>
      <c r="K581" s="24" t="n">
        <v>278718.26</v>
      </c>
      <c r="L581" s="24" t="n">
        <v>252020.88</v>
      </c>
      <c r="M581" s="24" t="n">
        <v>26697.38</v>
      </c>
    </row>
    <row r="582">
      <c r="A582" s="20" t="inlineStr">
        <is>
          <t>ORD-20240581</t>
        </is>
      </c>
      <c r="B582" s="21" t="n">
        <v>45664</v>
      </c>
      <c r="C582" s="20" t="inlineStr">
        <is>
          <t>West</t>
        </is>
      </c>
      <c r="D582" s="20" t="inlineStr">
        <is>
          <t>Electronics</t>
        </is>
      </c>
      <c r="E582" s="20" t="inlineStr">
        <is>
          <t>Wireless Mouse</t>
        </is>
      </c>
      <c r="F582" s="20" t="inlineStr">
        <is>
          <t>Consumer</t>
        </is>
      </c>
      <c r="G582" s="20" t="inlineStr">
        <is>
          <t>Retail Counter</t>
        </is>
      </c>
      <c r="H582" s="20" t="n">
        <v>25</v>
      </c>
      <c r="I582" s="22" t="n">
        <v>52983.62</v>
      </c>
      <c r="J582" s="23" t="n">
        <v>0.15</v>
      </c>
      <c r="K582" s="24" t="n">
        <v>1125901.93</v>
      </c>
      <c r="L582" s="24" t="n">
        <v>946858.8199999999</v>
      </c>
      <c r="M582" s="24" t="n">
        <v>179043.11</v>
      </c>
    </row>
    <row r="583">
      <c r="A583" s="20" t="inlineStr">
        <is>
          <t>ORD-20240582</t>
        </is>
      </c>
      <c r="B583" s="21" t="n">
        <v>45664</v>
      </c>
      <c r="C583" s="20" t="inlineStr">
        <is>
          <t>West</t>
        </is>
      </c>
      <c r="D583" s="20" t="inlineStr">
        <is>
          <t>Electronics</t>
        </is>
      </c>
      <c r="E583" s="20" t="inlineStr">
        <is>
          <t>Wireless Mouse</t>
        </is>
      </c>
      <c r="F583" s="20" t="inlineStr">
        <is>
          <t>Government</t>
        </is>
      </c>
      <c r="G583" s="20" t="inlineStr">
        <is>
          <t>MH Education Dept</t>
        </is>
      </c>
      <c r="H583" s="20" t="n">
        <v>6</v>
      </c>
      <c r="I583" s="22" t="n">
        <v>57226.01</v>
      </c>
      <c r="J583" s="23" t="n">
        <v>0</v>
      </c>
      <c r="K583" s="24" t="n">
        <v>343356.06</v>
      </c>
      <c r="L583" s="24" t="n">
        <v>193112.5</v>
      </c>
      <c r="M583" s="24" t="n">
        <v>150243.56</v>
      </c>
    </row>
    <row r="584">
      <c r="A584" s="20" t="inlineStr">
        <is>
          <t>ORD-20240583</t>
        </is>
      </c>
      <c r="B584" s="21" t="n">
        <v>45664</v>
      </c>
      <c r="C584" s="20" t="inlineStr">
        <is>
          <t>East</t>
        </is>
      </c>
      <c r="D584" s="20" t="inlineStr">
        <is>
          <t>Office Supplies</t>
        </is>
      </c>
      <c r="E584" s="20" t="inlineStr">
        <is>
          <t>Gel Pen Pack</t>
        </is>
      </c>
      <c r="F584" s="20" t="inlineStr">
        <is>
          <t>Government</t>
        </is>
      </c>
      <c r="G584" s="20" t="inlineStr">
        <is>
          <t>Municipal Corp Hyd</t>
        </is>
      </c>
      <c r="H584" s="20" t="n">
        <v>16</v>
      </c>
      <c r="I584" s="22" t="n">
        <v>2577.3</v>
      </c>
      <c r="J584" s="23" t="n">
        <v>0</v>
      </c>
      <c r="K584" s="24" t="n">
        <v>41236.8</v>
      </c>
      <c r="L584" s="24" t="n">
        <v>24143.65</v>
      </c>
      <c r="M584" s="24" t="n">
        <v>17093.15</v>
      </c>
    </row>
    <row r="585">
      <c r="A585" s="20" t="inlineStr">
        <is>
          <t>ORD-20240584</t>
        </is>
      </c>
      <c r="B585" s="21" t="n">
        <v>45664</v>
      </c>
      <c r="C585" s="20" t="inlineStr">
        <is>
          <t>South</t>
        </is>
      </c>
      <c r="D585" s="20" t="inlineStr">
        <is>
          <t>Home &amp; Kitchen</t>
        </is>
      </c>
      <c r="E585" s="20" t="inlineStr">
        <is>
          <t>Water Purifier</t>
        </is>
      </c>
      <c r="F585" s="20" t="inlineStr">
        <is>
          <t>Consumer</t>
        </is>
      </c>
      <c r="G585" s="20" t="inlineStr">
        <is>
          <t>Walk-in Mumbai</t>
        </is>
      </c>
      <c r="H585" s="20" t="n">
        <v>7</v>
      </c>
      <c r="I585" s="22" t="n">
        <v>27237.07</v>
      </c>
      <c r="J585" s="23" t="n">
        <v>0</v>
      </c>
      <c r="K585" s="24" t="n">
        <v>190659.49</v>
      </c>
      <c r="L585" s="24" t="n">
        <v>121099.09</v>
      </c>
      <c r="M585" s="24" t="n">
        <v>69560.39999999999</v>
      </c>
    </row>
    <row r="586">
      <c r="A586" s="20" t="inlineStr">
        <is>
          <t>ORD-20240585</t>
        </is>
      </c>
      <c r="B586" s="21" t="n">
        <v>45665</v>
      </c>
      <c r="C586" s="20" t="inlineStr">
        <is>
          <t>North</t>
        </is>
      </c>
      <c r="D586" s="20" t="inlineStr">
        <is>
          <t>Furniture</t>
        </is>
      </c>
      <c r="E586" s="20" t="inlineStr">
        <is>
          <t>Filing Cabinet</t>
        </is>
      </c>
      <c r="F586" s="20" t="inlineStr">
        <is>
          <t>Consumer</t>
        </is>
      </c>
      <c r="G586" s="20" t="inlineStr">
        <is>
          <t>Retail Counter</t>
        </is>
      </c>
      <c r="H586" s="20" t="n">
        <v>18</v>
      </c>
      <c r="I586" s="22" t="n">
        <v>8793.99</v>
      </c>
      <c r="J586" s="23" t="n">
        <v>0</v>
      </c>
      <c r="K586" s="24" t="n">
        <v>158291.82</v>
      </c>
      <c r="L586" s="24" t="n">
        <v>88583.37</v>
      </c>
      <c r="M586" s="24" t="n">
        <v>69708.45</v>
      </c>
    </row>
    <row r="587">
      <c r="A587" s="20" t="inlineStr">
        <is>
          <t>ORD-20240586</t>
        </is>
      </c>
      <c r="B587" s="21" t="n">
        <v>45665</v>
      </c>
      <c r="C587" s="20" t="inlineStr">
        <is>
          <t>South</t>
        </is>
      </c>
      <c r="D587" s="20" t="inlineStr">
        <is>
          <t>Office Supplies</t>
        </is>
      </c>
      <c r="E587" s="20" t="inlineStr">
        <is>
          <t>A4 Paper Ream</t>
        </is>
      </c>
      <c r="F587" s="20" t="inlineStr">
        <is>
          <t>Enterprise</t>
        </is>
      </c>
      <c r="G587" s="20" t="inlineStr">
        <is>
          <t>Tech Mahindra</t>
        </is>
      </c>
      <c r="H587" s="20" t="n">
        <v>1</v>
      </c>
      <c r="I587" s="22" t="n">
        <v>1837.08</v>
      </c>
      <c r="J587" s="23" t="n">
        <v>0</v>
      </c>
      <c r="K587" s="24" t="n">
        <v>1837.08</v>
      </c>
      <c r="L587" s="24" t="n">
        <v>1101.79</v>
      </c>
      <c r="M587" s="24" t="n">
        <v>735.29</v>
      </c>
    </row>
    <row r="588">
      <c r="A588" s="20" t="inlineStr">
        <is>
          <t>ORD-20240587</t>
        </is>
      </c>
      <c r="B588" s="21" t="n">
        <v>45666</v>
      </c>
      <c r="C588" s="20" t="inlineStr">
        <is>
          <t>West</t>
        </is>
      </c>
      <c r="D588" s="20" t="inlineStr">
        <is>
          <t>Apparel</t>
        </is>
      </c>
      <c r="E588" s="20" t="inlineStr">
        <is>
          <t>Hoodie Soft</t>
        </is>
      </c>
      <c r="F588" s="20" t="inlineStr">
        <is>
          <t>Consumer</t>
        </is>
      </c>
      <c r="G588" s="20" t="inlineStr">
        <is>
          <t>Online Guest</t>
        </is>
      </c>
      <c r="H588" s="20" t="n">
        <v>16</v>
      </c>
      <c r="I588" s="22" t="n">
        <v>2835.44</v>
      </c>
      <c r="J588" s="23" t="n">
        <v>0</v>
      </c>
      <c r="K588" s="24" t="n">
        <v>45367.04</v>
      </c>
      <c r="L588" s="24" t="n">
        <v>29562.43</v>
      </c>
      <c r="M588" s="24" t="n">
        <v>15804.61</v>
      </c>
    </row>
    <row r="589">
      <c r="A589" s="20" t="inlineStr">
        <is>
          <t>ORD-20240588</t>
        </is>
      </c>
      <c r="B589" s="21" t="n">
        <v>45666</v>
      </c>
      <c r="C589" s="20" t="inlineStr">
        <is>
          <t>South</t>
        </is>
      </c>
      <c r="D589" s="20" t="inlineStr">
        <is>
          <t>Electronics</t>
        </is>
      </c>
      <c r="E589" s="20" t="inlineStr">
        <is>
          <t>Wireless Mouse</t>
        </is>
      </c>
      <c r="F589" s="20" t="inlineStr">
        <is>
          <t>Government</t>
        </is>
      </c>
      <c r="G589" s="20" t="inlineStr">
        <is>
          <t>Municipal Corp Hyd</t>
        </is>
      </c>
      <c r="H589" s="20" t="n">
        <v>23</v>
      </c>
      <c r="I589" s="22" t="n">
        <v>22062.65</v>
      </c>
      <c r="J589" s="23" t="n">
        <v>0.2</v>
      </c>
      <c r="K589" s="24" t="n">
        <v>405952.76</v>
      </c>
      <c r="L589" s="24" t="n">
        <v>392900.88</v>
      </c>
      <c r="M589" s="24" t="n">
        <v>13051.88</v>
      </c>
    </row>
    <row r="590">
      <c r="A590" s="20" t="inlineStr">
        <is>
          <t>ORD-20240589</t>
        </is>
      </c>
      <c r="B590" s="21" t="n">
        <v>45667</v>
      </c>
      <c r="C590" s="20" t="inlineStr">
        <is>
          <t>Central</t>
        </is>
      </c>
      <c r="D590" s="20" t="inlineStr">
        <is>
          <t>Home &amp; Kitchen</t>
        </is>
      </c>
      <c r="E590" s="20" t="inlineStr">
        <is>
          <t>Mixer Grinder</t>
        </is>
      </c>
      <c r="F590" s="20" t="inlineStr">
        <is>
          <t>SMB</t>
        </is>
      </c>
      <c r="G590" s="20" t="inlineStr">
        <is>
          <t>BrightRetail Co</t>
        </is>
      </c>
      <c r="H590" s="20" t="n">
        <v>2</v>
      </c>
      <c r="I590" s="22" t="n">
        <v>13429.45</v>
      </c>
      <c r="J590" s="23" t="n">
        <v>0</v>
      </c>
      <c r="K590" s="24" t="n">
        <v>26858.9</v>
      </c>
      <c r="L590" s="24" t="n">
        <v>15627.42</v>
      </c>
      <c r="M590" s="24" t="n">
        <v>11231.48</v>
      </c>
    </row>
    <row r="591">
      <c r="A591" s="20" t="inlineStr">
        <is>
          <t>ORD-20240590</t>
        </is>
      </c>
      <c r="B591" s="21" t="n">
        <v>45667</v>
      </c>
      <c r="C591" s="20" t="inlineStr">
        <is>
          <t>East</t>
        </is>
      </c>
      <c r="D591" s="20" t="inlineStr">
        <is>
          <t>Apparel</t>
        </is>
      </c>
      <c r="E591" s="20" t="inlineStr">
        <is>
          <t>Hoodie Soft</t>
        </is>
      </c>
      <c r="F591" s="20" t="inlineStr">
        <is>
          <t>Consumer</t>
        </is>
      </c>
      <c r="G591" s="20" t="inlineStr">
        <is>
          <t>Online Guest</t>
        </is>
      </c>
      <c r="H591" s="20" t="n">
        <v>2</v>
      </c>
      <c r="I591" s="22" t="n">
        <v>431.29</v>
      </c>
      <c r="J591" s="23" t="n">
        <v>0</v>
      </c>
      <c r="K591" s="24" t="n">
        <v>862.58</v>
      </c>
      <c r="L591" s="24" t="n">
        <v>499.85</v>
      </c>
      <c r="M591" s="24" t="n">
        <v>362.73</v>
      </c>
    </row>
    <row r="592">
      <c r="A592" s="20" t="inlineStr">
        <is>
          <t>ORD-20240591</t>
        </is>
      </c>
      <c r="B592" s="21" t="n">
        <v>45668</v>
      </c>
      <c r="C592" s="20" t="inlineStr">
        <is>
          <t>West</t>
        </is>
      </c>
      <c r="D592" s="20" t="inlineStr">
        <is>
          <t>Apparel</t>
        </is>
      </c>
      <c r="E592" s="20" t="inlineStr">
        <is>
          <t>Formal Blazer</t>
        </is>
      </c>
      <c r="F592" s="20" t="inlineStr">
        <is>
          <t>Enterprise</t>
        </is>
      </c>
      <c r="G592" s="20" t="inlineStr">
        <is>
          <t>TCS Digital</t>
        </is>
      </c>
      <c r="H592" s="20" t="n">
        <v>13</v>
      </c>
      <c r="I592" s="22" t="n">
        <v>718.86</v>
      </c>
      <c r="J592" s="23" t="n">
        <v>0</v>
      </c>
      <c r="K592" s="24" t="n">
        <v>9345.18</v>
      </c>
      <c r="L592" s="24" t="n">
        <v>5361.67</v>
      </c>
      <c r="M592" s="24" t="n">
        <v>3983.51</v>
      </c>
    </row>
    <row r="593">
      <c r="A593" s="20" t="inlineStr">
        <is>
          <t>ORD-20240592</t>
        </is>
      </c>
      <c r="B593" s="21" t="n">
        <v>45668</v>
      </c>
      <c r="C593" s="20" t="inlineStr">
        <is>
          <t>South</t>
        </is>
      </c>
      <c r="D593" s="20" t="inlineStr">
        <is>
          <t>Furniture</t>
        </is>
      </c>
      <c r="E593" s="20" t="inlineStr">
        <is>
          <t>Bookshelf Oak</t>
        </is>
      </c>
      <c r="F593" s="20" t="inlineStr">
        <is>
          <t>Enterprise</t>
        </is>
      </c>
      <c r="G593" s="20" t="inlineStr">
        <is>
          <t>HCL Services</t>
        </is>
      </c>
      <c r="H593" s="20" t="n">
        <v>20</v>
      </c>
      <c r="I593" s="22" t="n">
        <v>20728.39</v>
      </c>
      <c r="J593" s="23" t="n">
        <v>0.05</v>
      </c>
      <c r="K593" s="24" t="n">
        <v>393839.41</v>
      </c>
      <c r="L593" s="24" t="n">
        <v>242243.48</v>
      </c>
      <c r="M593" s="24" t="n">
        <v>151595.93</v>
      </c>
    </row>
    <row r="594">
      <c r="A594" s="20" t="inlineStr">
        <is>
          <t>ORD-20240593</t>
        </is>
      </c>
      <c r="B594" s="21" t="n">
        <v>45669</v>
      </c>
      <c r="C594" s="20" t="inlineStr">
        <is>
          <t>North</t>
        </is>
      </c>
      <c r="D594" s="20" t="inlineStr">
        <is>
          <t>Apparel</t>
        </is>
      </c>
      <c r="E594" s="20" t="inlineStr">
        <is>
          <t>Polo Shirt</t>
        </is>
      </c>
      <c r="F594" s="20" t="inlineStr">
        <is>
          <t>Consumer</t>
        </is>
      </c>
      <c r="G594" s="20" t="inlineStr">
        <is>
          <t>Walk-in Mumbai</t>
        </is>
      </c>
      <c r="H594" s="20" t="n">
        <v>13</v>
      </c>
      <c r="I594" s="22" t="n">
        <v>3550.4</v>
      </c>
      <c r="J594" s="23" t="n">
        <v>0.05</v>
      </c>
      <c r="K594" s="24" t="n">
        <v>43847.44</v>
      </c>
      <c r="L594" s="24" t="n">
        <v>32433.76</v>
      </c>
      <c r="M594" s="24" t="n">
        <v>11413.68</v>
      </c>
    </row>
    <row r="595">
      <c r="A595" s="20" t="inlineStr">
        <is>
          <t>ORD-20240594</t>
        </is>
      </c>
      <c r="B595" s="21" t="n">
        <v>45669</v>
      </c>
      <c r="C595" s="20" t="inlineStr">
        <is>
          <t>South</t>
        </is>
      </c>
      <c r="D595" s="20" t="inlineStr">
        <is>
          <t>Electronics</t>
        </is>
      </c>
      <c r="E595" s="20" t="inlineStr">
        <is>
          <t>Keyboard Mech</t>
        </is>
      </c>
      <c r="F595" s="20" t="inlineStr">
        <is>
          <t>SMB</t>
        </is>
      </c>
      <c r="G595" s="20" t="inlineStr">
        <is>
          <t>CityCare Clinics</t>
        </is>
      </c>
      <c r="H595" s="20" t="n">
        <v>4</v>
      </c>
      <c r="I595" s="22" t="n">
        <v>917.88</v>
      </c>
      <c r="J595" s="23" t="n">
        <v>0.1</v>
      </c>
      <c r="K595" s="24" t="n">
        <v>3304.37</v>
      </c>
      <c r="L595" s="24" t="n">
        <v>2553.6</v>
      </c>
      <c r="M595" s="24" t="n">
        <v>750.77</v>
      </c>
    </row>
    <row r="596">
      <c r="A596" s="20" t="inlineStr">
        <is>
          <t>ORD-20240595</t>
        </is>
      </c>
      <c r="B596" s="21" t="n">
        <v>45669</v>
      </c>
      <c r="C596" s="20" t="inlineStr">
        <is>
          <t>North</t>
        </is>
      </c>
      <c r="D596" s="20" t="inlineStr">
        <is>
          <t>Electronics</t>
        </is>
      </c>
      <c r="E596" s="20" t="inlineStr">
        <is>
          <t>Wireless Mouse</t>
        </is>
      </c>
      <c r="F596" s="20" t="inlineStr">
        <is>
          <t>Consumer</t>
        </is>
      </c>
      <c r="G596" s="20" t="inlineStr">
        <is>
          <t>App User North</t>
        </is>
      </c>
      <c r="H596" s="20" t="n">
        <v>8</v>
      </c>
      <c r="I596" s="22" t="n">
        <v>15130.12</v>
      </c>
      <c r="J596" s="23" t="n">
        <v>0.05</v>
      </c>
      <c r="K596" s="24" t="n">
        <v>114988.91</v>
      </c>
      <c r="L596" s="24" t="n">
        <v>86731.27</v>
      </c>
      <c r="M596" s="24" t="n">
        <v>28257.64</v>
      </c>
    </row>
    <row r="597">
      <c r="A597" s="20" t="inlineStr">
        <is>
          <t>ORD-20240596</t>
        </is>
      </c>
      <c r="B597" s="21" t="n">
        <v>45671</v>
      </c>
      <c r="C597" s="20" t="inlineStr">
        <is>
          <t>West</t>
        </is>
      </c>
      <c r="D597" s="20" t="inlineStr">
        <is>
          <t>Office Supplies</t>
        </is>
      </c>
      <c r="E597" s="20" t="inlineStr">
        <is>
          <t>Gel Pen Pack</t>
        </is>
      </c>
      <c r="F597" s="20" t="inlineStr">
        <is>
          <t>Enterprise</t>
        </is>
      </c>
      <c r="G597" s="20" t="inlineStr">
        <is>
          <t>HCL Services</t>
        </is>
      </c>
      <c r="H597" s="20" t="n">
        <v>15</v>
      </c>
      <c r="I597" s="22" t="n">
        <v>2712.83</v>
      </c>
      <c r="J597" s="23" t="n">
        <v>0.12</v>
      </c>
      <c r="K597" s="24" t="n">
        <v>35809.36</v>
      </c>
      <c r="L597" s="24" t="n">
        <v>24111.8</v>
      </c>
      <c r="M597" s="24" t="n">
        <v>11697.56</v>
      </c>
    </row>
    <row r="598">
      <c r="A598" s="20" t="inlineStr">
        <is>
          <t>ORD-20240597</t>
        </is>
      </c>
      <c r="B598" s="21" t="n">
        <v>45671</v>
      </c>
      <c r="C598" s="20" t="inlineStr">
        <is>
          <t>East</t>
        </is>
      </c>
      <c r="D598" s="20" t="inlineStr">
        <is>
          <t>Apparel</t>
        </is>
      </c>
      <c r="E598" s="20" t="inlineStr">
        <is>
          <t>Polo Shirt</t>
        </is>
      </c>
      <c r="F598" s="20" t="inlineStr">
        <is>
          <t>Government</t>
        </is>
      </c>
      <c r="G598" s="20" t="inlineStr">
        <is>
          <t>Municipal Corp Hyd</t>
        </is>
      </c>
      <c r="H598" s="20" t="n">
        <v>12</v>
      </c>
      <c r="I598" s="22" t="n">
        <v>2116.73</v>
      </c>
      <c r="J598" s="23" t="n">
        <v>0</v>
      </c>
      <c r="K598" s="24" t="n">
        <v>25400.76</v>
      </c>
      <c r="L598" s="24" t="n">
        <v>14699.31</v>
      </c>
      <c r="M598" s="24" t="n">
        <v>10701.45</v>
      </c>
    </row>
    <row r="599">
      <c r="A599" s="20" t="inlineStr">
        <is>
          <t>ORD-20240598</t>
        </is>
      </c>
      <c r="B599" s="21" t="n">
        <v>45672</v>
      </c>
      <c r="C599" s="20" t="inlineStr">
        <is>
          <t>North</t>
        </is>
      </c>
      <c r="D599" s="20" t="inlineStr">
        <is>
          <t>Home &amp; Kitchen</t>
        </is>
      </c>
      <c r="E599" s="20" t="inlineStr">
        <is>
          <t>Water Purifier</t>
        </is>
      </c>
      <c r="F599" s="20" t="inlineStr">
        <is>
          <t>Enterprise</t>
        </is>
      </c>
      <c r="G599" s="20" t="inlineStr">
        <is>
          <t>Wipro Tech</t>
        </is>
      </c>
      <c r="H599" s="20" t="n">
        <v>19</v>
      </c>
      <c r="I599" s="22" t="n">
        <v>8818.24</v>
      </c>
      <c r="J599" s="23" t="n">
        <v>0.2</v>
      </c>
      <c r="K599" s="24" t="n">
        <v>134037.25</v>
      </c>
      <c r="L599" s="24" t="n">
        <v>98058.31</v>
      </c>
      <c r="M599" s="24" t="n">
        <v>35978.94</v>
      </c>
    </row>
    <row r="600">
      <c r="A600" s="20" t="inlineStr">
        <is>
          <t>ORD-20240599</t>
        </is>
      </c>
      <c r="B600" s="21" t="n">
        <v>45672</v>
      </c>
      <c r="C600" s="20" t="inlineStr">
        <is>
          <t>East</t>
        </is>
      </c>
      <c r="D600" s="20" t="inlineStr">
        <is>
          <t>Electronics</t>
        </is>
      </c>
      <c r="E600" s="20" t="inlineStr">
        <is>
          <t>Wireless Mouse</t>
        </is>
      </c>
      <c r="F600" s="20" t="inlineStr">
        <is>
          <t>Government</t>
        </is>
      </c>
      <c r="G600" s="20" t="inlineStr">
        <is>
          <t>MH Education Dept</t>
        </is>
      </c>
      <c r="H600" s="20" t="n">
        <v>12</v>
      </c>
      <c r="I600" s="22" t="n">
        <v>21455.79</v>
      </c>
      <c r="J600" s="23" t="n">
        <v>0.05</v>
      </c>
      <c r="K600" s="24" t="n">
        <v>244596.01</v>
      </c>
      <c r="L600" s="24" t="n">
        <v>180511.74</v>
      </c>
      <c r="M600" s="24" t="n">
        <v>64084.27</v>
      </c>
    </row>
    <row r="601">
      <c r="A601" s="20" t="inlineStr">
        <is>
          <t>ORD-20240600</t>
        </is>
      </c>
      <c r="B601" s="21" t="n">
        <v>45673</v>
      </c>
      <c r="C601" s="20" t="inlineStr">
        <is>
          <t>West</t>
        </is>
      </c>
      <c r="D601" s="20" t="inlineStr">
        <is>
          <t>Furniture</t>
        </is>
      </c>
      <c r="E601" s="20" t="inlineStr">
        <is>
          <t>Bookshelf Oak</t>
        </is>
      </c>
      <c r="F601" s="20" t="inlineStr">
        <is>
          <t>Consumer</t>
        </is>
      </c>
      <c r="G601" s="20" t="inlineStr">
        <is>
          <t>Online Guest</t>
        </is>
      </c>
      <c r="H601" s="20" t="n">
        <v>6</v>
      </c>
      <c r="I601" s="22" t="n">
        <v>23697.73</v>
      </c>
      <c r="J601" s="23" t="n">
        <v>0.05</v>
      </c>
      <c r="K601" s="24" t="n">
        <v>135077.06</v>
      </c>
      <c r="L601" s="24" t="n">
        <v>91908.05</v>
      </c>
      <c r="M601" s="24" t="n">
        <v>43169.01</v>
      </c>
    </row>
    <row r="602">
      <c r="A602" s="20" t="inlineStr">
        <is>
          <t>ORD-20240601</t>
        </is>
      </c>
      <c r="B602" s="21" t="n">
        <v>45673</v>
      </c>
      <c r="C602" s="20" t="inlineStr">
        <is>
          <t>East</t>
        </is>
      </c>
      <c r="D602" s="20" t="inlineStr">
        <is>
          <t>Furniture</t>
        </is>
      </c>
      <c r="E602" s="20" t="inlineStr">
        <is>
          <t>Standing Desk</t>
        </is>
      </c>
      <c r="F602" s="20" t="inlineStr">
        <is>
          <t>Consumer</t>
        </is>
      </c>
      <c r="G602" s="20" t="inlineStr">
        <is>
          <t>Online Guest</t>
        </is>
      </c>
      <c r="H602" s="20" t="n">
        <v>17</v>
      </c>
      <c r="I602" s="22" t="n">
        <v>31409.64</v>
      </c>
      <c r="J602" s="23" t="n">
        <v>0.05</v>
      </c>
      <c r="K602" s="24" t="n">
        <v>507265.69</v>
      </c>
      <c r="L602" s="24" t="n">
        <v>300368.46</v>
      </c>
      <c r="M602" s="24" t="n">
        <v>206897.23</v>
      </c>
    </row>
    <row r="603">
      <c r="A603" s="20" t="inlineStr">
        <is>
          <t>ORD-20240602</t>
        </is>
      </c>
      <c r="B603" s="21" t="n">
        <v>45674</v>
      </c>
      <c r="C603" s="20" t="inlineStr">
        <is>
          <t>North</t>
        </is>
      </c>
      <c r="D603" s="20" t="inlineStr">
        <is>
          <t>Apparel</t>
        </is>
      </c>
      <c r="E603" s="20" t="inlineStr">
        <is>
          <t>Polo Shirt</t>
        </is>
      </c>
      <c r="F603" s="20" t="inlineStr">
        <is>
          <t>SMB</t>
        </is>
      </c>
      <c r="G603" s="20" t="inlineStr">
        <is>
          <t>BrightRetail Co</t>
        </is>
      </c>
      <c r="H603" s="20" t="n">
        <v>11</v>
      </c>
      <c r="I603" s="22" t="n">
        <v>1968.15</v>
      </c>
      <c r="J603" s="23" t="n">
        <v>0.05</v>
      </c>
      <c r="K603" s="24" t="n">
        <v>20567.17</v>
      </c>
      <c r="L603" s="24" t="n">
        <v>14634.49</v>
      </c>
      <c r="M603" s="24" t="n">
        <v>5932.68</v>
      </c>
    </row>
    <row r="604">
      <c r="A604" s="20" t="inlineStr">
        <is>
          <t>ORD-20240603</t>
        </is>
      </c>
      <c r="B604" s="21" t="n">
        <v>45674</v>
      </c>
      <c r="C604" s="20" t="inlineStr">
        <is>
          <t>East</t>
        </is>
      </c>
      <c r="D604" s="20" t="inlineStr">
        <is>
          <t>Office Supplies</t>
        </is>
      </c>
      <c r="E604" s="20" t="inlineStr">
        <is>
          <t>Gel Pen Pack</t>
        </is>
      </c>
      <c r="F604" s="20" t="inlineStr">
        <is>
          <t>Government</t>
        </is>
      </c>
      <c r="G604" s="20" t="inlineStr">
        <is>
          <t>Municipal Corp Hyd</t>
        </is>
      </c>
      <c r="H604" s="20" t="n">
        <v>5</v>
      </c>
      <c r="I604" s="22" t="n">
        <v>1569.6</v>
      </c>
      <c r="J604" s="23" t="n">
        <v>0.05</v>
      </c>
      <c r="K604" s="24" t="n">
        <v>7455.6</v>
      </c>
      <c r="L604" s="24" t="n">
        <v>4676.84</v>
      </c>
      <c r="M604" s="24" t="n">
        <v>2778.76</v>
      </c>
    </row>
    <row r="605">
      <c r="A605" s="20" t="inlineStr">
        <is>
          <t>ORD-20240604</t>
        </is>
      </c>
      <c r="B605" s="21" t="n">
        <v>45675</v>
      </c>
      <c r="C605" s="20" t="inlineStr">
        <is>
          <t>North</t>
        </is>
      </c>
      <c r="D605" s="20" t="inlineStr">
        <is>
          <t>Office Supplies</t>
        </is>
      </c>
      <c r="E605" s="20" t="inlineStr">
        <is>
          <t>Whiteboard Kit</t>
        </is>
      </c>
      <c r="F605" s="20" t="inlineStr">
        <is>
          <t>Government</t>
        </is>
      </c>
      <c r="G605" s="20" t="inlineStr">
        <is>
          <t>Railways Zone W</t>
        </is>
      </c>
      <c r="H605" s="20" t="n">
        <v>18</v>
      </c>
      <c r="I605" s="22" t="n">
        <v>2547.72</v>
      </c>
      <c r="J605" s="23" t="n">
        <v>0</v>
      </c>
      <c r="K605" s="24" t="n">
        <v>45858.96</v>
      </c>
      <c r="L605" s="24" t="n">
        <v>34834.8</v>
      </c>
      <c r="M605" s="24" t="n">
        <v>11024.16</v>
      </c>
    </row>
    <row r="606">
      <c r="A606" s="20" t="inlineStr">
        <is>
          <t>ORD-20240605</t>
        </is>
      </c>
      <c r="B606" s="21" t="n">
        <v>45675</v>
      </c>
      <c r="C606" s="20" t="inlineStr">
        <is>
          <t>South</t>
        </is>
      </c>
      <c r="D606" s="20" t="inlineStr">
        <is>
          <t>Furniture</t>
        </is>
      </c>
      <c r="E606" s="20" t="inlineStr">
        <is>
          <t>Ergo Chair</t>
        </is>
      </c>
      <c r="F606" s="20" t="inlineStr">
        <is>
          <t>SMB</t>
        </is>
      </c>
      <c r="G606" s="20" t="inlineStr">
        <is>
          <t>Pixel Studio</t>
        </is>
      </c>
      <c r="H606" s="20" t="n">
        <v>15</v>
      </c>
      <c r="I606" s="22" t="n">
        <v>19855.96</v>
      </c>
      <c r="J606" s="23" t="n">
        <v>0</v>
      </c>
      <c r="K606" s="24" t="n">
        <v>297839.4</v>
      </c>
      <c r="L606" s="24" t="n">
        <v>197402.73</v>
      </c>
      <c r="M606" s="24" t="n">
        <v>100436.67</v>
      </c>
    </row>
    <row r="607">
      <c r="A607" s="20" t="inlineStr">
        <is>
          <t>ORD-20240606</t>
        </is>
      </c>
      <c r="B607" s="21" t="n">
        <v>45677</v>
      </c>
      <c r="C607" s="20" t="inlineStr">
        <is>
          <t>Central</t>
        </is>
      </c>
      <c r="D607" s="20" t="inlineStr">
        <is>
          <t>Office Supplies</t>
        </is>
      </c>
      <c r="E607" s="20" t="inlineStr">
        <is>
          <t>Notebook Set</t>
        </is>
      </c>
      <c r="F607" s="20" t="inlineStr">
        <is>
          <t>SMB</t>
        </is>
      </c>
      <c r="G607" s="20" t="inlineStr">
        <is>
          <t>GreenFarm Agro</t>
        </is>
      </c>
      <c r="H607" s="20" t="n">
        <v>21</v>
      </c>
      <c r="I607" s="22" t="n">
        <v>1355.89</v>
      </c>
      <c r="J607" s="23" t="n">
        <v>0</v>
      </c>
      <c r="K607" s="24" t="n">
        <v>28473.69</v>
      </c>
      <c r="L607" s="24" t="n">
        <v>19044.13</v>
      </c>
      <c r="M607" s="24" t="n">
        <v>9429.559999999999</v>
      </c>
    </row>
    <row r="608">
      <c r="A608" s="20" t="inlineStr">
        <is>
          <t>ORD-20240607</t>
        </is>
      </c>
      <c r="B608" s="21" t="n">
        <v>45678</v>
      </c>
      <c r="C608" s="20" t="inlineStr">
        <is>
          <t>Central</t>
        </is>
      </c>
      <c r="D608" s="20" t="inlineStr">
        <is>
          <t>Office Supplies</t>
        </is>
      </c>
      <c r="E608" s="20" t="inlineStr">
        <is>
          <t>Gel Pen Pack</t>
        </is>
      </c>
      <c r="F608" s="20" t="inlineStr">
        <is>
          <t>Consumer</t>
        </is>
      </c>
      <c r="G608" s="20" t="inlineStr">
        <is>
          <t>Online Guest</t>
        </is>
      </c>
      <c r="H608" s="20" t="n">
        <v>7</v>
      </c>
      <c r="I608" s="22" t="n">
        <v>341.18</v>
      </c>
      <c r="J608" s="23" t="n">
        <v>0.1</v>
      </c>
      <c r="K608" s="24" t="n">
        <v>2149.43</v>
      </c>
      <c r="L608" s="24" t="n">
        <v>1413.45</v>
      </c>
      <c r="M608" s="24" t="n">
        <v>735.98</v>
      </c>
    </row>
    <row r="609">
      <c r="A609" s="20" t="inlineStr">
        <is>
          <t>ORD-20240608</t>
        </is>
      </c>
      <c r="B609" s="21" t="n">
        <v>45678</v>
      </c>
      <c r="C609" s="20" t="inlineStr">
        <is>
          <t>North</t>
        </is>
      </c>
      <c r="D609" s="20" t="inlineStr">
        <is>
          <t>Home &amp; Kitchen</t>
        </is>
      </c>
      <c r="E609" s="20" t="inlineStr">
        <is>
          <t>Water Purifier</t>
        </is>
      </c>
      <c r="F609" s="20" t="inlineStr">
        <is>
          <t>Government</t>
        </is>
      </c>
      <c r="G609" s="20" t="inlineStr">
        <is>
          <t>Municipal Corp Hyd</t>
        </is>
      </c>
      <c r="H609" s="20" t="n">
        <v>4</v>
      </c>
      <c r="I609" s="22" t="n">
        <v>3308.52</v>
      </c>
      <c r="J609" s="23" t="n">
        <v>0</v>
      </c>
      <c r="K609" s="24" t="n">
        <v>13234.08</v>
      </c>
      <c r="L609" s="24" t="n">
        <v>10069.07</v>
      </c>
      <c r="M609" s="24" t="n">
        <v>3165.01</v>
      </c>
    </row>
    <row r="610">
      <c r="A610" s="20" t="inlineStr">
        <is>
          <t>ORD-20240609</t>
        </is>
      </c>
      <c r="B610" s="21" t="n">
        <v>45678</v>
      </c>
      <c r="C610" s="20" t="inlineStr">
        <is>
          <t>West</t>
        </is>
      </c>
      <c r="D610" s="20" t="inlineStr">
        <is>
          <t>Apparel</t>
        </is>
      </c>
      <c r="E610" s="20" t="inlineStr">
        <is>
          <t>Formal Blazer</t>
        </is>
      </c>
      <c r="F610" s="20" t="inlineStr">
        <is>
          <t>Government</t>
        </is>
      </c>
      <c r="G610" s="20" t="inlineStr">
        <is>
          <t>Delhi NDMC</t>
        </is>
      </c>
      <c r="H610" s="20" t="n">
        <v>24</v>
      </c>
      <c r="I610" s="22" t="n">
        <v>2774.86</v>
      </c>
      <c r="J610" s="23" t="n">
        <v>0</v>
      </c>
      <c r="K610" s="24" t="n">
        <v>66596.64</v>
      </c>
      <c r="L610" s="24" t="n">
        <v>45868.94</v>
      </c>
      <c r="M610" s="24" t="n">
        <v>20727.7</v>
      </c>
    </row>
    <row r="611">
      <c r="A611" s="20" t="inlineStr">
        <is>
          <t>ORD-20240610</t>
        </is>
      </c>
      <c r="B611" s="21" t="n">
        <v>45679</v>
      </c>
      <c r="C611" s="20" t="inlineStr">
        <is>
          <t>South</t>
        </is>
      </c>
      <c r="D611" s="20" t="inlineStr">
        <is>
          <t>Office Supplies</t>
        </is>
      </c>
      <c r="E611" s="20" t="inlineStr">
        <is>
          <t>Gel Pen Pack</t>
        </is>
      </c>
      <c r="F611" s="20" t="inlineStr">
        <is>
          <t>SMB</t>
        </is>
      </c>
      <c r="G611" s="20" t="inlineStr">
        <is>
          <t>Pixel Studio</t>
        </is>
      </c>
      <c r="H611" s="20" t="n">
        <v>7</v>
      </c>
      <c r="I611" s="22" t="n">
        <v>1897.19</v>
      </c>
      <c r="J611" s="23" t="n">
        <v>0.05</v>
      </c>
      <c r="K611" s="24" t="n">
        <v>12616.31</v>
      </c>
      <c r="L611" s="24" t="n">
        <v>9522.690000000001</v>
      </c>
      <c r="M611" s="24" t="n">
        <v>3093.62</v>
      </c>
    </row>
    <row r="612">
      <c r="A612" s="20" t="inlineStr">
        <is>
          <t>ORD-20240611</t>
        </is>
      </c>
      <c r="B612" s="21" t="n">
        <v>45681</v>
      </c>
      <c r="C612" s="20" t="inlineStr">
        <is>
          <t>West</t>
        </is>
      </c>
      <c r="D612" s="20" t="inlineStr">
        <is>
          <t>Electronics</t>
        </is>
      </c>
      <c r="E612" s="20" t="inlineStr">
        <is>
          <t>Laptop Pro 14</t>
        </is>
      </c>
      <c r="F612" s="20" t="inlineStr">
        <is>
          <t>Consumer</t>
        </is>
      </c>
      <c r="G612" s="20" t="inlineStr">
        <is>
          <t>Online Guest</t>
        </is>
      </c>
      <c r="H612" s="20" t="n">
        <v>4</v>
      </c>
      <c r="I612" s="22" t="n">
        <v>2406.39</v>
      </c>
      <c r="J612" s="23" t="n">
        <v>0.12</v>
      </c>
      <c r="K612" s="24" t="n">
        <v>8470.49</v>
      </c>
      <c r="L612" s="24" t="n">
        <v>5805.84</v>
      </c>
      <c r="M612" s="24" t="n">
        <v>2664.65</v>
      </c>
    </row>
    <row r="613">
      <c r="A613" s="20" t="inlineStr">
        <is>
          <t>ORD-20240612</t>
        </is>
      </c>
      <c r="B613" s="21" t="n">
        <v>45681</v>
      </c>
      <c r="C613" s="20" t="inlineStr">
        <is>
          <t>East</t>
        </is>
      </c>
      <c r="D613" s="20" t="inlineStr">
        <is>
          <t>Home &amp; Kitchen</t>
        </is>
      </c>
      <c r="E613" s="20" t="inlineStr">
        <is>
          <t>Water Purifier</t>
        </is>
      </c>
      <c r="F613" s="20" t="inlineStr">
        <is>
          <t>Government</t>
        </is>
      </c>
      <c r="G613" s="20" t="inlineStr">
        <is>
          <t>MH Education Dept</t>
        </is>
      </c>
      <c r="H613" s="20" t="n">
        <v>14</v>
      </c>
      <c r="I613" s="22" t="n">
        <v>11930.81</v>
      </c>
      <c r="J613" s="23" t="n">
        <v>0</v>
      </c>
      <c r="K613" s="24" t="n">
        <v>167031.34</v>
      </c>
      <c r="L613" s="24" t="n">
        <v>115222.21</v>
      </c>
      <c r="M613" s="24" t="n">
        <v>51809.13</v>
      </c>
    </row>
    <row r="614">
      <c r="A614" s="20" t="inlineStr">
        <is>
          <t>ORD-20240613</t>
        </is>
      </c>
      <c r="B614" s="21" t="n">
        <v>45681</v>
      </c>
      <c r="C614" s="20" t="inlineStr">
        <is>
          <t>South</t>
        </is>
      </c>
      <c r="D614" s="20" t="inlineStr">
        <is>
          <t>Electronics</t>
        </is>
      </c>
      <c r="E614" s="20" t="inlineStr">
        <is>
          <t>Webcam HD</t>
        </is>
      </c>
      <c r="F614" s="20" t="inlineStr">
        <is>
          <t>Government</t>
        </is>
      </c>
      <c r="G614" s="20" t="inlineStr">
        <is>
          <t>MH Education Dept</t>
        </is>
      </c>
      <c r="H614" s="20" t="n">
        <v>21</v>
      </c>
      <c r="I614" s="22" t="n">
        <v>18774.19</v>
      </c>
      <c r="J614" s="23" t="n">
        <v>0</v>
      </c>
      <c r="K614" s="24" t="n">
        <v>394257.99</v>
      </c>
      <c r="L614" s="24" t="n">
        <v>306415.92</v>
      </c>
      <c r="M614" s="24" t="n">
        <v>87842.07000000001</v>
      </c>
    </row>
    <row r="615">
      <c r="A615" s="20" t="inlineStr">
        <is>
          <t>ORD-20240614</t>
        </is>
      </c>
      <c r="B615" s="21" t="n">
        <v>45682</v>
      </c>
      <c r="C615" s="20" t="inlineStr">
        <is>
          <t>East</t>
        </is>
      </c>
      <c r="D615" s="20" t="inlineStr">
        <is>
          <t>Home &amp; Kitchen</t>
        </is>
      </c>
      <c r="E615" s="20" t="inlineStr">
        <is>
          <t>Coffee Maker</t>
        </is>
      </c>
      <c r="F615" s="20" t="inlineStr">
        <is>
          <t>Consumer</t>
        </is>
      </c>
      <c r="G615" s="20" t="inlineStr">
        <is>
          <t>Online Guest</t>
        </is>
      </c>
      <c r="H615" s="20" t="n">
        <v>22</v>
      </c>
      <c r="I615" s="22" t="n">
        <v>14781.51</v>
      </c>
      <c r="J615" s="23" t="n">
        <v>0.15</v>
      </c>
      <c r="K615" s="24" t="n">
        <v>276414.24</v>
      </c>
      <c r="L615" s="24" t="n">
        <v>245395.83</v>
      </c>
      <c r="M615" s="24" t="n">
        <v>31018.41</v>
      </c>
    </row>
    <row r="616">
      <c r="A616" s="20" t="inlineStr">
        <is>
          <t>ORD-20240615</t>
        </is>
      </c>
      <c r="B616" s="21" t="n">
        <v>45682</v>
      </c>
      <c r="C616" s="20" t="inlineStr">
        <is>
          <t>North</t>
        </is>
      </c>
      <c r="D616" s="20" t="inlineStr">
        <is>
          <t>Furniture</t>
        </is>
      </c>
      <c r="E616" s="20" t="inlineStr">
        <is>
          <t>Standing Desk</t>
        </is>
      </c>
      <c r="F616" s="20" t="inlineStr">
        <is>
          <t>Consumer</t>
        </is>
      </c>
      <c r="G616" s="20" t="inlineStr">
        <is>
          <t>Online Guest</t>
        </is>
      </c>
      <c r="H616" s="20" t="n">
        <v>2</v>
      </c>
      <c r="I616" s="22" t="n">
        <v>34111.5</v>
      </c>
      <c r="J616" s="23" t="n">
        <v>0.2</v>
      </c>
      <c r="K616" s="24" t="n">
        <v>54578.4</v>
      </c>
      <c r="L616" s="24" t="n">
        <v>52459.19</v>
      </c>
      <c r="M616" s="24" t="n">
        <v>2119.21</v>
      </c>
    </row>
    <row r="617">
      <c r="A617" s="20" t="inlineStr">
        <is>
          <t>ORD-20240616</t>
        </is>
      </c>
      <c r="B617" s="21" t="n">
        <v>45683</v>
      </c>
      <c r="C617" s="20" t="inlineStr">
        <is>
          <t>North</t>
        </is>
      </c>
      <c r="D617" s="20" t="inlineStr">
        <is>
          <t>Electronics</t>
        </is>
      </c>
      <c r="E617" s="20" t="inlineStr">
        <is>
          <t>Monitor 27in</t>
        </is>
      </c>
      <c r="F617" s="20" t="inlineStr">
        <is>
          <t>Consumer</t>
        </is>
      </c>
      <c r="G617" s="20" t="inlineStr">
        <is>
          <t>App User North</t>
        </is>
      </c>
      <c r="H617" s="20" t="n">
        <v>6</v>
      </c>
      <c r="I617" s="22" t="n">
        <v>65547.45</v>
      </c>
      <c r="J617" s="23" t="n">
        <v>0.12</v>
      </c>
      <c r="K617" s="24" t="n">
        <v>346090.54</v>
      </c>
      <c r="L617" s="24" t="n">
        <v>250178.63</v>
      </c>
      <c r="M617" s="24" t="n">
        <v>95911.91</v>
      </c>
    </row>
    <row r="618">
      <c r="A618" s="20" t="inlineStr">
        <is>
          <t>ORD-20240617</t>
        </is>
      </c>
      <c r="B618" s="21" t="n">
        <v>45683</v>
      </c>
      <c r="C618" s="20" t="inlineStr">
        <is>
          <t>East</t>
        </is>
      </c>
      <c r="D618" s="20" t="inlineStr">
        <is>
          <t>Electronics</t>
        </is>
      </c>
      <c r="E618" s="20" t="inlineStr">
        <is>
          <t>Webcam HD</t>
        </is>
      </c>
      <c r="F618" s="20" t="inlineStr">
        <is>
          <t>SMB</t>
        </is>
      </c>
      <c r="G618" s="20" t="inlineStr">
        <is>
          <t>Nova Logistics</t>
        </is>
      </c>
      <c r="H618" s="20" t="n">
        <v>11</v>
      </c>
      <c r="I618" s="22" t="n">
        <v>76342.16</v>
      </c>
      <c r="J618" s="23" t="n">
        <v>0</v>
      </c>
      <c r="K618" s="24" t="n">
        <v>839763.76</v>
      </c>
      <c r="L618" s="24" t="n">
        <v>478827.29</v>
      </c>
      <c r="M618" s="24" t="n">
        <v>360936.47</v>
      </c>
    </row>
    <row r="619">
      <c r="A619" s="20" t="inlineStr">
        <is>
          <t>ORD-20240618</t>
        </is>
      </c>
      <c r="B619" s="21" t="n">
        <v>45683</v>
      </c>
      <c r="C619" s="20" t="inlineStr">
        <is>
          <t>West</t>
        </is>
      </c>
      <c r="D619" s="20" t="inlineStr">
        <is>
          <t>Apparel</t>
        </is>
      </c>
      <c r="E619" s="20" t="inlineStr">
        <is>
          <t>Safety Vest</t>
        </is>
      </c>
      <c r="F619" s="20" t="inlineStr">
        <is>
          <t>Consumer</t>
        </is>
      </c>
      <c r="G619" s="20" t="inlineStr">
        <is>
          <t>Online Guest</t>
        </is>
      </c>
      <c r="H619" s="20" t="n">
        <v>6</v>
      </c>
      <c r="I619" s="22" t="n">
        <v>3968.44</v>
      </c>
      <c r="J619" s="23" t="n">
        <v>0.05</v>
      </c>
      <c r="K619" s="24" t="n">
        <v>22620.11</v>
      </c>
      <c r="L619" s="24" t="n">
        <v>17351.63</v>
      </c>
      <c r="M619" s="24" t="n">
        <v>5268.48</v>
      </c>
    </row>
    <row r="620">
      <c r="A620" s="20" t="inlineStr">
        <is>
          <t>ORD-20240619</t>
        </is>
      </c>
      <c r="B620" s="21" t="n">
        <v>45683</v>
      </c>
      <c r="C620" s="20" t="inlineStr">
        <is>
          <t>East</t>
        </is>
      </c>
      <c r="D620" s="20" t="inlineStr">
        <is>
          <t>Furniture</t>
        </is>
      </c>
      <c r="E620" s="20" t="inlineStr">
        <is>
          <t>Ergo Chair</t>
        </is>
      </c>
      <c r="F620" s="20" t="inlineStr">
        <is>
          <t>Government</t>
        </is>
      </c>
      <c r="G620" s="20" t="inlineStr">
        <is>
          <t>Municipal Corp Hyd</t>
        </is>
      </c>
      <c r="H620" s="20" t="n">
        <v>4</v>
      </c>
      <c r="I620" s="22" t="n">
        <v>23842.53</v>
      </c>
      <c r="J620" s="23" t="n">
        <v>0</v>
      </c>
      <c r="K620" s="24" t="n">
        <v>95370.12</v>
      </c>
      <c r="L620" s="24" t="n">
        <v>52973.11</v>
      </c>
      <c r="M620" s="24" t="n">
        <v>42397.01</v>
      </c>
    </row>
    <row r="621">
      <c r="A621" s="20" t="inlineStr">
        <is>
          <t>ORD-20240620</t>
        </is>
      </c>
      <c r="B621" s="21" t="n">
        <v>45685</v>
      </c>
      <c r="C621" s="20" t="inlineStr">
        <is>
          <t>West</t>
        </is>
      </c>
      <c r="D621" s="20" t="inlineStr">
        <is>
          <t>Apparel</t>
        </is>
      </c>
      <c r="E621" s="20" t="inlineStr">
        <is>
          <t>Hoodie Soft</t>
        </is>
      </c>
      <c r="F621" s="20" t="inlineStr">
        <is>
          <t>Enterprise</t>
        </is>
      </c>
      <c r="G621" s="20" t="inlineStr">
        <is>
          <t>Infosys Ltd</t>
        </is>
      </c>
      <c r="H621" s="20" t="n">
        <v>9</v>
      </c>
      <c r="I621" s="22" t="n">
        <v>1341.32</v>
      </c>
      <c r="J621" s="23" t="n">
        <v>0</v>
      </c>
      <c r="K621" s="24" t="n">
        <v>12071.88</v>
      </c>
      <c r="L621" s="24" t="n">
        <v>8330.52</v>
      </c>
      <c r="M621" s="24" t="n">
        <v>3741.36</v>
      </c>
    </row>
    <row r="622">
      <c r="A622" s="20" t="inlineStr">
        <is>
          <t>ORD-20240621</t>
        </is>
      </c>
      <c r="B622" s="21" t="n">
        <v>45685</v>
      </c>
      <c r="C622" s="20" t="inlineStr">
        <is>
          <t>West</t>
        </is>
      </c>
      <c r="D622" s="20" t="inlineStr">
        <is>
          <t>Furniture</t>
        </is>
      </c>
      <c r="E622" s="20" t="inlineStr">
        <is>
          <t>Conference Table</t>
        </is>
      </c>
      <c r="F622" s="20" t="inlineStr">
        <is>
          <t>Government</t>
        </is>
      </c>
      <c r="G622" s="20" t="inlineStr">
        <is>
          <t>Municipal Corp Hyd</t>
        </is>
      </c>
      <c r="H622" s="20" t="n">
        <v>18</v>
      </c>
      <c r="I622" s="22" t="n">
        <v>23435.56</v>
      </c>
      <c r="J622" s="23" t="n">
        <v>0.2</v>
      </c>
      <c r="K622" s="24" t="n">
        <v>337472.06</v>
      </c>
      <c r="L622" s="24" t="n">
        <v>311707.32</v>
      </c>
      <c r="M622" s="24" t="n">
        <v>25764.74</v>
      </c>
    </row>
    <row r="623">
      <c r="A623" s="20" t="inlineStr">
        <is>
          <t>ORD-20240622</t>
        </is>
      </c>
      <c r="B623" s="21" t="n">
        <v>45686</v>
      </c>
      <c r="C623" s="20" t="inlineStr">
        <is>
          <t>North</t>
        </is>
      </c>
      <c r="D623" s="20" t="inlineStr">
        <is>
          <t>Apparel</t>
        </is>
      </c>
      <c r="E623" s="20" t="inlineStr">
        <is>
          <t>Polo Shirt</t>
        </is>
      </c>
      <c r="F623" s="20" t="inlineStr">
        <is>
          <t>Government</t>
        </is>
      </c>
      <c r="G623" s="20" t="inlineStr">
        <is>
          <t>Railways Zone W</t>
        </is>
      </c>
      <c r="H623" s="20" t="n">
        <v>5</v>
      </c>
      <c r="I623" s="22" t="n">
        <v>724.1</v>
      </c>
      <c r="J623" s="23" t="n">
        <v>0</v>
      </c>
      <c r="K623" s="24" t="n">
        <v>3620.5</v>
      </c>
      <c r="L623" s="24" t="n">
        <v>2142.72</v>
      </c>
      <c r="M623" s="24" t="n">
        <v>1477.78</v>
      </c>
    </row>
    <row r="624">
      <c r="A624" s="20" t="inlineStr">
        <is>
          <t>ORD-20240623</t>
        </is>
      </c>
      <c r="B624" s="21" t="n">
        <v>45686</v>
      </c>
      <c r="C624" s="20" t="inlineStr">
        <is>
          <t>North</t>
        </is>
      </c>
      <c r="D624" s="20" t="inlineStr">
        <is>
          <t>Furniture</t>
        </is>
      </c>
      <c r="E624" s="20" t="inlineStr">
        <is>
          <t>Ergo Chair</t>
        </is>
      </c>
      <c r="F624" s="20" t="inlineStr">
        <is>
          <t>Government</t>
        </is>
      </c>
      <c r="G624" s="20" t="inlineStr">
        <is>
          <t>Delhi NDMC</t>
        </is>
      </c>
      <c r="H624" s="20" t="n">
        <v>7</v>
      </c>
      <c r="I624" s="22" t="n">
        <v>3057.94</v>
      </c>
      <c r="J624" s="23" t="n">
        <v>0.05</v>
      </c>
      <c r="K624" s="24" t="n">
        <v>20335.3</v>
      </c>
      <c r="L624" s="24" t="n">
        <v>14077.91</v>
      </c>
      <c r="M624" s="24" t="n">
        <v>6257.39</v>
      </c>
    </row>
    <row r="625">
      <c r="A625" s="20" t="inlineStr">
        <is>
          <t>ORD-20240624</t>
        </is>
      </c>
      <c r="B625" s="21" t="n">
        <v>45687</v>
      </c>
      <c r="C625" s="20" t="inlineStr">
        <is>
          <t>West</t>
        </is>
      </c>
      <c r="D625" s="20" t="inlineStr">
        <is>
          <t>Office Supplies</t>
        </is>
      </c>
      <c r="E625" s="20" t="inlineStr">
        <is>
          <t>A4 Paper Ream</t>
        </is>
      </c>
      <c r="F625" s="20" t="inlineStr">
        <is>
          <t>Enterprise</t>
        </is>
      </c>
      <c r="G625" s="20" t="inlineStr">
        <is>
          <t>Tech Mahindra</t>
        </is>
      </c>
      <c r="H625" s="20" t="n">
        <v>18</v>
      </c>
      <c r="I625" s="22" t="n">
        <v>721.5599999999999</v>
      </c>
      <c r="J625" s="23" t="n">
        <v>0.2</v>
      </c>
      <c r="K625" s="24" t="n">
        <v>10390.46</v>
      </c>
      <c r="L625" s="24" t="n">
        <v>8005.57</v>
      </c>
      <c r="M625" s="24" t="n">
        <v>2384.89</v>
      </c>
    </row>
    <row r="626">
      <c r="A626" s="20" t="inlineStr">
        <is>
          <t>ORD-20240625</t>
        </is>
      </c>
      <c r="B626" s="21" t="n">
        <v>45688</v>
      </c>
      <c r="C626" s="20" t="inlineStr">
        <is>
          <t>East</t>
        </is>
      </c>
      <c r="D626" s="20" t="inlineStr">
        <is>
          <t>Office Supplies</t>
        </is>
      </c>
      <c r="E626" s="20" t="inlineStr">
        <is>
          <t>Whiteboard Kit</t>
        </is>
      </c>
      <c r="F626" s="20" t="inlineStr">
        <is>
          <t>Consumer</t>
        </is>
      </c>
      <c r="G626" s="20" t="inlineStr">
        <is>
          <t>Walk-in Mumbai</t>
        </is>
      </c>
      <c r="H626" s="20" t="n">
        <v>4</v>
      </c>
      <c r="I626" s="22" t="n">
        <v>139.4</v>
      </c>
      <c r="J626" s="23" t="n">
        <v>0</v>
      </c>
      <c r="K626" s="24" t="n">
        <v>557.6</v>
      </c>
      <c r="L626" s="24" t="n">
        <v>370.68</v>
      </c>
      <c r="M626" s="24" t="n">
        <v>186.92</v>
      </c>
    </row>
    <row r="627">
      <c r="A627" s="20" t="inlineStr">
        <is>
          <t>ORD-20240626</t>
        </is>
      </c>
      <c r="B627" s="21" t="n">
        <v>45688</v>
      </c>
      <c r="C627" s="20" t="inlineStr">
        <is>
          <t>East</t>
        </is>
      </c>
      <c r="D627" s="20" t="inlineStr">
        <is>
          <t>Office Supplies</t>
        </is>
      </c>
      <c r="E627" s="20" t="inlineStr">
        <is>
          <t>Stapler Heavy</t>
        </is>
      </c>
      <c r="F627" s="20" t="inlineStr">
        <is>
          <t>Consumer</t>
        </is>
      </c>
      <c r="G627" s="20" t="inlineStr">
        <is>
          <t>Walk-in Mumbai</t>
        </is>
      </c>
      <c r="H627" s="20" t="n">
        <v>17</v>
      </c>
      <c r="I627" s="22" t="n">
        <v>1001.78</v>
      </c>
      <c r="J627" s="23" t="n">
        <v>0</v>
      </c>
      <c r="K627" s="24" t="n">
        <v>17030.26</v>
      </c>
      <c r="L627" s="24" t="n">
        <v>11817.85</v>
      </c>
      <c r="M627" s="24" t="n">
        <v>5212.41</v>
      </c>
    </row>
    <row r="628">
      <c r="A628" s="20" t="inlineStr">
        <is>
          <t>ORD-20240627</t>
        </is>
      </c>
      <c r="B628" s="21" t="n">
        <v>45690</v>
      </c>
      <c r="C628" s="20" t="inlineStr">
        <is>
          <t>Central</t>
        </is>
      </c>
      <c r="D628" s="20" t="inlineStr">
        <is>
          <t>Home &amp; Kitchen</t>
        </is>
      </c>
      <c r="E628" s="20" t="inlineStr">
        <is>
          <t>Vacuum Robot</t>
        </is>
      </c>
      <c r="F628" s="20" t="inlineStr">
        <is>
          <t>Consumer</t>
        </is>
      </c>
      <c r="G628" s="20" t="inlineStr">
        <is>
          <t>Retail Counter</t>
        </is>
      </c>
      <c r="H628" s="20" t="n">
        <v>4</v>
      </c>
      <c r="I628" s="22" t="n">
        <v>25207.29</v>
      </c>
      <c r="J628" s="23" t="n">
        <v>0</v>
      </c>
      <c r="K628" s="24" t="n">
        <v>100829.16</v>
      </c>
      <c r="L628" s="24" t="n">
        <v>62830.6</v>
      </c>
      <c r="M628" s="24" t="n">
        <v>37998.56</v>
      </c>
    </row>
    <row r="629">
      <c r="A629" s="20" t="inlineStr">
        <is>
          <t>ORD-20240628</t>
        </is>
      </c>
      <c r="B629" s="21" t="n">
        <v>45691</v>
      </c>
      <c r="C629" s="20" t="inlineStr">
        <is>
          <t>Central</t>
        </is>
      </c>
      <c r="D629" s="20" t="inlineStr">
        <is>
          <t>Apparel</t>
        </is>
      </c>
      <c r="E629" s="20" t="inlineStr">
        <is>
          <t>Hoodie Soft</t>
        </is>
      </c>
      <c r="F629" s="20" t="inlineStr">
        <is>
          <t>Enterprise</t>
        </is>
      </c>
      <c r="G629" s="20" t="inlineStr">
        <is>
          <t>TCS Digital</t>
        </is>
      </c>
      <c r="H629" s="20" t="n">
        <v>15</v>
      </c>
      <c r="I629" s="22" t="n">
        <v>3827.42</v>
      </c>
      <c r="J629" s="23" t="n">
        <v>0.12</v>
      </c>
      <c r="K629" s="24" t="n">
        <v>50521.94</v>
      </c>
      <c r="L629" s="24" t="n">
        <v>39003.78</v>
      </c>
      <c r="M629" s="24" t="n">
        <v>11518.16</v>
      </c>
    </row>
    <row r="630">
      <c r="A630" s="20" t="inlineStr">
        <is>
          <t>ORD-20240629</t>
        </is>
      </c>
      <c r="B630" s="21" t="n">
        <v>45692</v>
      </c>
      <c r="C630" s="20" t="inlineStr">
        <is>
          <t>East</t>
        </is>
      </c>
      <c r="D630" s="20" t="inlineStr">
        <is>
          <t>Office Supplies</t>
        </is>
      </c>
      <c r="E630" s="20" t="inlineStr">
        <is>
          <t>A4 Paper Ream</t>
        </is>
      </c>
      <c r="F630" s="20" t="inlineStr">
        <is>
          <t>Enterprise</t>
        </is>
      </c>
      <c r="G630" s="20" t="inlineStr">
        <is>
          <t>Tech Mahindra</t>
        </is>
      </c>
      <c r="H630" s="20" t="n">
        <v>7</v>
      </c>
      <c r="I630" s="22" t="n">
        <v>3411.38</v>
      </c>
      <c r="J630" s="23" t="n">
        <v>0</v>
      </c>
      <c r="K630" s="24" t="n">
        <v>23879.66</v>
      </c>
      <c r="L630" s="24" t="n">
        <v>16079.84</v>
      </c>
      <c r="M630" s="24" t="n">
        <v>7799.82</v>
      </c>
    </row>
    <row r="631">
      <c r="A631" s="20" t="inlineStr">
        <is>
          <t>ORD-20240630</t>
        </is>
      </c>
      <c r="B631" s="21" t="n">
        <v>45692</v>
      </c>
      <c r="C631" s="20" t="inlineStr">
        <is>
          <t>Central</t>
        </is>
      </c>
      <c r="D631" s="20" t="inlineStr">
        <is>
          <t>Furniture</t>
        </is>
      </c>
      <c r="E631" s="20" t="inlineStr">
        <is>
          <t>Ergo Chair</t>
        </is>
      </c>
      <c r="F631" s="20" t="inlineStr">
        <is>
          <t>Government</t>
        </is>
      </c>
      <c r="G631" s="20" t="inlineStr">
        <is>
          <t>Railways Zone W</t>
        </is>
      </c>
      <c r="H631" s="20" t="n">
        <v>14</v>
      </c>
      <c r="I631" s="22" t="n">
        <v>31310.69</v>
      </c>
      <c r="J631" s="23" t="n">
        <v>0.1</v>
      </c>
      <c r="K631" s="24" t="n">
        <v>394514.69</v>
      </c>
      <c r="L631" s="24" t="n">
        <v>317485.38</v>
      </c>
      <c r="M631" s="24" t="n">
        <v>77029.31</v>
      </c>
    </row>
    <row r="632">
      <c r="A632" s="20" t="inlineStr">
        <is>
          <t>ORD-20240631</t>
        </is>
      </c>
      <c r="B632" s="21" t="n">
        <v>45693</v>
      </c>
      <c r="C632" s="20" t="inlineStr">
        <is>
          <t>West</t>
        </is>
      </c>
      <c r="D632" s="20" t="inlineStr">
        <is>
          <t>Apparel</t>
        </is>
      </c>
      <c r="E632" s="20" t="inlineStr">
        <is>
          <t>Cap Embroidered</t>
        </is>
      </c>
      <c r="F632" s="20" t="inlineStr">
        <is>
          <t>Enterprise</t>
        </is>
      </c>
      <c r="G632" s="20" t="inlineStr">
        <is>
          <t>HCL Services</t>
        </is>
      </c>
      <c r="H632" s="20" t="n">
        <v>19</v>
      </c>
      <c r="I632" s="22" t="n">
        <v>1439.36</v>
      </c>
      <c r="J632" s="23" t="n">
        <v>0.05</v>
      </c>
      <c r="K632" s="24" t="n">
        <v>25980.45</v>
      </c>
      <c r="L632" s="24" t="n">
        <v>18623.03</v>
      </c>
      <c r="M632" s="24" t="n">
        <v>7357.42</v>
      </c>
    </row>
    <row r="633">
      <c r="A633" s="20" t="inlineStr">
        <is>
          <t>ORD-20240632</t>
        </is>
      </c>
      <c r="B633" s="21" t="n">
        <v>45695</v>
      </c>
      <c r="C633" s="20" t="inlineStr">
        <is>
          <t>Central</t>
        </is>
      </c>
      <c r="D633" s="20" t="inlineStr">
        <is>
          <t>Home &amp; Kitchen</t>
        </is>
      </c>
      <c r="E633" s="20" t="inlineStr">
        <is>
          <t>Water Purifier</t>
        </is>
      </c>
      <c r="F633" s="20" t="inlineStr">
        <is>
          <t>Consumer</t>
        </is>
      </c>
      <c r="G633" s="20" t="inlineStr">
        <is>
          <t>Retail Counter</t>
        </is>
      </c>
      <c r="H633" s="20" t="n">
        <v>22</v>
      </c>
      <c r="I633" s="22" t="n">
        <v>17497.78</v>
      </c>
      <c r="J633" s="23" t="n">
        <v>0</v>
      </c>
      <c r="K633" s="24" t="n">
        <v>384951.16</v>
      </c>
      <c r="L633" s="24" t="n">
        <v>298055.77</v>
      </c>
      <c r="M633" s="24" t="n">
        <v>86895.39</v>
      </c>
    </row>
    <row r="634">
      <c r="A634" s="20" t="inlineStr">
        <is>
          <t>ORD-20240633</t>
        </is>
      </c>
      <c r="B634" s="21" t="n">
        <v>45695</v>
      </c>
      <c r="C634" s="20" t="inlineStr">
        <is>
          <t>West</t>
        </is>
      </c>
      <c r="D634" s="20" t="inlineStr">
        <is>
          <t>Furniture</t>
        </is>
      </c>
      <c r="E634" s="20" t="inlineStr">
        <is>
          <t>Ergo Chair</t>
        </is>
      </c>
      <c r="F634" s="20" t="inlineStr">
        <is>
          <t>Government</t>
        </is>
      </c>
      <c r="G634" s="20" t="inlineStr">
        <is>
          <t>Municipal Corp Hyd</t>
        </is>
      </c>
      <c r="H634" s="20" t="n">
        <v>19</v>
      </c>
      <c r="I634" s="22" t="n">
        <v>23951</v>
      </c>
      <c r="J634" s="23" t="n">
        <v>0.05</v>
      </c>
      <c r="K634" s="24" t="n">
        <v>432315.55</v>
      </c>
      <c r="L634" s="24" t="n">
        <v>295496.87</v>
      </c>
      <c r="M634" s="24" t="n">
        <v>136818.68</v>
      </c>
    </row>
    <row r="635">
      <c r="A635" s="20" t="inlineStr">
        <is>
          <t>ORD-20240634</t>
        </is>
      </c>
      <c r="B635" s="21" t="n">
        <v>45696</v>
      </c>
      <c r="C635" s="20" t="inlineStr">
        <is>
          <t>East</t>
        </is>
      </c>
      <c r="D635" s="20" t="inlineStr">
        <is>
          <t>Furniture</t>
        </is>
      </c>
      <c r="E635" s="20" t="inlineStr">
        <is>
          <t>Ergo Chair</t>
        </is>
      </c>
      <c r="F635" s="20" t="inlineStr">
        <is>
          <t>Enterprise</t>
        </is>
      </c>
      <c r="G635" s="20" t="inlineStr">
        <is>
          <t>Infosys Ltd</t>
        </is>
      </c>
      <c r="H635" s="20" t="n">
        <v>15</v>
      </c>
      <c r="I635" s="22" t="n">
        <v>4652.1</v>
      </c>
      <c r="J635" s="23" t="n">
        <v>0.12</v>
      </c>
      <c r="K635" s="24" t="n">
        <v>61407.72</v>
      </c>
      <c r="L635" s="24" t="n">
        <v>51567.67</v>
      </c>
      <c r="M635" s="24" t="n">
        <v>9840.049999999999</v>
      </c>
    </row>
    <row r="636">
      <c r="A636" s="20" t="inlineStr">
        <is>
          <t>ORD-20240635</t>
        </is>
      </c>
      <c r="B636" s="21" t="n">
        <v>45696</v>
      </c>
      <c r="C636" s="20" t="inlineStr">
        <is>
          <t>North</t>
        </is>
      </c>
      <c r="D636" s="20" t="inlineStr">
        <is>
          <t>Office Supplies</t>
        </is>
      </c>
      <c r="E636" s="20" t="inlineStr">
        <is>
          <t>Gel Pen Pack</t>
        </is>
      </c>
      <c r="F636" s="20" t="inlineStr">
        <is>
          <t>Government</t>
        </is>
      </c>
      <c r="G636" s="20" t="inlineStr">
        <is>
          <t>Delhi NDMC</t>
        </is>
      </c>
      <c r="H636" s="20" t="n">
        <v>13</v>
      </c>
      <c r="I636" s="22" t="n">
        <v>1561.3</v>
      </c>
      <c r="J636" s="23" t="n">
        <v>0</v>
      </c>
      <c r="K636" s="24" t="n">
        <v>20296.9</v>
      </c>
      <c r="L636" s="24" t="n">
        <v>11719.84</v>
      </c>
      <c r="M636" s="24" t="n">
        <v>8577.059999999999</v>
      </c>
    </row>
    <row r="637">
      <c r="A637" s="20" t="inlineStr">
        <is>
          <t>ORD-20240636</t>
        </is>
      </c>
      <c r="B637" s="21" t="n">
        <v>45696</v>
      </c>
      <c r="C637" s="20" t="inlineStr">
        <is>
          <t>Central</t>
        </is>
      </c>
      <c r="D637" s="20" t="inlineStr">
        <is>
          <t>Furniture</t>
        </is>
      </c>
      <c r="E637" s="20" t="inlineStr">
        <is>
          <t>Filing Cabinet</t>
        </is>
      </c>
      <c r="F637" s="20" t="inlineStr">
        <is>
          <t>Consumer</t>
        </is>
      </c>
      <c r="G637" s="20" t="inlineStr">
        <is>
          <t>Walk-in Delhi</t>
        </is>
      </c>
      <c r="H637" s="20" t="n">
        <v>6</v>
      </c>
      <c r="I637" s="22" t="n">
        <v>33915.28</v>
      </c>
      <c r="J637" s="23" t="n">
        <v>0</v>
      </c>
      <c r="K637" s="24" t="n">
        <v>203491.68</v>
      </c>
      <c r="L637" s="24" t="n">
        <v>125991.23</v>
      </c>
      <c r="M637" s="24" t="n">
        <v>77500.45</v>
      </c>
    </row>
    <row r="638">
      <c r="A638" s="20" t="inlineStr">
        <is>
          <t>ORD-20240637</t>
        </is>
      </c>
      <c r="B638" s="21" t="n">
        <v>45697</v>
      </c>
      <c r="C638" s="20" t="inlineStr">
        <is>
          <t>West</t>
        </is>
      </c>
      <c r="D638" s="20" t="inlineStr">
        <is>
          <t>Home &amp; Kitchen</t>
        </is>
      </c>
      <c r="E638" s="20" t="inlineStr">
        <is>
          <t>Air Fryer</t>
        </is>
      </c>
      <c r="F638" s="20" t="inlineStr">
        <is>
          <t>Consumer</t>
        </is>
      </c>
      <c r="G638" s="20" t="inlineStr">
        <is>
          <t>Online Guest</t>
        </is>
      </c>
      <c r="H638" s="20" t="n">
        <v>7</v>
      </c>
      <c r="I638" s="22" t="n">
        <v>19082.27</v>
      </c>
      <c r="J638" s="23" t="n">
        <v>0.1</v>
      </c>
      <c r="K638" s="24" t="n">
        <v>120218.3</v>
      </c>
      <c r="L638" s="24" t="n">
        <v>80799.75999999999</v>
      </c>
      <c r="M638" s="24" t="n">
        <v>39418.54</v>
      </c>
    </row>
    <row r="639">
      <c r="A639" s="20" t="inlineStr">
        <is>
          <t>ORD-20240638</t>
        </is>
      </c>
      <c r="B639" s="21" t="n">
        <v>45697</v>
      </c>
      <c r="C639" s="20" t="inlineStr">
        <is>
          <t>North</t>
        </is>
      </c>
      <c r="D639" s="20" t="inlineStr">
        <is>
          <t>Apparel</t>
        </is>
      </c>
      <c r="E639" s="20" t="inlineStr">
        <is>
          <t>Safety Vest</t>
        </is>
      </c>
      <c r="F639" s="20" t="inlineStr">
        <is>
          <t>Government</t>
        </is>
      </c>
      <c r="G639" s="20" t="inlineStr">
        <is>
          <t>Delhi NDMC</t>
        </is>
      </c>
      <c r="H639" s="20" t="n">
        <v>8</v>
      </c>
      <c r="I639" s="22" t="n">
        <v>2346.68</v>
      </c>
      <c r="J639" s="23" t="n">
        <v>0.12</v>
      </c>
      <c r="K639" s="24" t="n">
        <v>16520.63</v>
      </c>
      <c r="L639" s="24" t="n">
        <v>12587.81</v>
      </c>
      <c r="M639" s="24" t="n">
        <v>3932.82</v>
      </c>
    </row>
    <row r="640">
      <c r="A640" s="20" t="inlineStr">
        <is>
          <t>ORD-20240639</t>
        </is>
      </c>
      <c r="B640" s="21" t="n">
        <v>45697</v>
      </c>
      <c r="C640" s="20" t="inlineStr">
        <is>
          <t>Central</t>
        </is>
      </c>
      <c r="D640" s="20" t="inlineStr">
        <is>
          <t>Apparel</t>
        </is>
      </c>
      <c r="E640" s="20" t="inlineStr">
        <is>
          <t>Cap Embroidered</t>
        </is>
      </c>
      <c r="F640" s="20" t="inlineStr">
        <is>
          <t>Enterprise</t>
        </is>
      </c>
      <c r="G640" s="20" t="inlineStr">
        <is>
          <t>Tech Mahindra</t>
        </is>
      </c>
      <c r="H640" s="20" t="n">
        <v>15</v>
      </c>
      <c r="I640" s="22" t="n">
        <v>3461.01</v>
      </c>
      <c r="J640" s="23" t="n">
        <v>0.05</v>
      </c>
      <c r="K640" s="24" t="n">
        <v>49319.39</v>
      </c>
      <c r="L640" s="24" t="n">
        <v>37189.65</v>
      </c>
      <c r="M640" s="24" t="n">
        <v>12129.74</v>
      </c>
    </row>
    <row r="641">
      <c r="A641" s="20" t="inlineStr">
        <is>
          <t>ORD-20240640</t>
        </is>
      </c>
      <c r="B641" s="21" t="n">
        <v>45697</v>
      </c>
      <c r="C641" s="20" t="inlineStr">
        <is>
          <t>Central</t>
        </is>
      </c>
      <c r="D641" s="20" t="inlineStr">
        <is>
          <t>Furniture</t>
        </is>
      </c>
      <c r="E641" s="20" t="inlineStr">
        <is>
          <t>Bookshelf Oak</t>
        </is>
      </c>
      <c r="F641" s="20" t="inlineStr">
        <is>
          <t>Enterprise</t>
        </is>
      </c>
      <c r="G641" s="20" t="inlineStr">
        <is>
          <t>TCS Digital</t>
        </is>
      </c>
      <c r="H641" s="20" t="n">
        <v>11</v>
      </c>
      <c r="I641" s="22" t="n">
        <v>8803.76</v>
      </c>
      <c r="J641" s="23" t="n">
        <v>0.05</v>
      </c>
      <c r="K641" s="24" t="n">
        <v>91999.28999999999</v>
      </c>
      <c r="L641" s="24" t="n">
        <v>74832.42</v>
      </c>
      <c r="M641" s="24" t="n">
        <v>17166.87</v>
      </c>
    </row>
    <row r="642">
      <c r="A642" s="20" t="inlineStr">
        <is>
          <t>ORD-20240641</t>
        </is>
      </c>
      <c r="B642" s="21" t="n">
        <v>45699</v>
      </c>
      <c r="C642" s="20" t="inlineStr">
        <is>
          <t>North</t>
        </is>
      </c>
      <c r="D642" s="20" t="inlineStr">
        <is>
          <t>Electronics</t>
        </is>
      </c>
      <c r="E642" s="20" t="inlineStr">
        <is>
          <t>Webcam HD</t>
        </is>
      </c>
      <c r="F642" s="20" t="inlineStr">
        <is>
          <t>Enterprise</t>
        </is>
      </c>
      <c r="G642" s="20" t="inlineStr">
        <is>
          <t>Wipro Tech</t>
        </is>
      </c>
      <c r="H642" s="20" t="n">
        <v>7</v>
      </c>
      <c r="I642" s="22" t="n">
        <v>4153.42</v>
      </c>
      <c r="J642" s="23" t="n">
        <v>0</v>
      </c>
      <c r="K642" s="24" t="n">
        <v>29073.94</v>
      </c>
      <c r="L642" s="24" t="n">
        <v>22334.5</v>
      </c>
      <c r="M642" s="24" t="n">
        <v>6739.44</v>
      </c>
    </row>
    <row r="643">
      <c r="A643" s="20" t="inlineStr">
        <is>
          <t>ORD-20240642</t>
        </is>
      </c>
      <c r="B643" s="21" t="n">
        <v>45699</v>
      </c>
      <c r="C643" s="20" t="inlineStr">
        <is>
          <t>South</t>
        </is>
      </c>
      <c r="D643" s="20" t="inlineStr">
        <is>
          <t>Home &amp; Kitchen</t>
        </is>
      </c>
      <c r="E643" s="20" t="inlineStr">
        <is>
          <t>Vacuum Robot</t>
        </is>
      </c>
      <c r="F643" s="20" t="inlineStr">
        <is>
          <t>Consumer</t>
        </is>
      </c>
      <c r="G643" s="20" t="inlineStr">
        <is>
          <t>Walk-in Delhi</t>
        </is>
      </c>
      <c r="H643" s="20" t="n">
        <v>19</v>
      </c>
      <c r="I643" s="22" t="n">
        <v>2640.48</v>
      </c>
      <c r="J643" s="23" t="n">
        <v>0.05</v>
      </c>
      <c r="K643" s="24" t="n">
        <v>47660.66</v>
      </c>
      <c r="L643" s="24" t="n">
        <v>36140.05</v>
      </c>
      <c r="M643" s="24" t="n">
        <v>11520.61</v>
      </c>
    </row>
    <row r="644">
      <c r="A644" s="20" t="inlineStr">
        <is>
          <t>ORD-20240643</t>
        </is>
      </c>
      <c r="B644" s="21" t="n">
        <v>45700</v>
      </c>
      <c r="C644" s="20" t="inlineStr">
        <is>
          <t>East</t>
        </is>
      </c>
      <c r="D644" s="20" t="inlineStr">
        <is>
          <t>Home &amp; Kitchen</t>
        </is>
      </c>
      <c r="E644" s="20" t="inlineStr">
        <is>
          <t>Coffee Maker</t>
        </is>
      </c>
      <c r="F644" s="20" t="inlineStr">
        <is>
          <t>Government</t>
        </is>
      </c>
      <c r="G644" s="20" t="inlineStr">
        <is>
          <t>MH Education Dept</t>
        </is>
      </c>
      <c r="H644" s="20" t="n">
        <v>18</v>
      </c>
      <c r="I644" s="22" t="n">
        <v>21391.92</v>
      </c>
      <c r="J644" s="23" t="n">
        <v>0.05</v>
      </c>
      <c r="K644" s="24" t="n">
        <v>365801.83</v>
      </c>
      <c r="L644" s="24" t="n">
        <v>274920.59</v>
      </c>
      <c r="M644" s="24" t="n">
        <v>90881.24000000001</v>
      </c>
    </row>
    <row r="645">
      <c r="A645" s="20" t="inlineStr">
        <is>
          <t>ORD-20240644</t>
        </is>
      </c>
      <c r="B645" s="21" t="n">
        <v>45700</v>
      </c>
      <c r="C645" s="20" t="inlineStr">
        <is>
          <t>South</t>
        </is>
      </c>
      <c r="D645" s="20" t="inlineStr">
        <is>
          <t>Office Supplies</t>
        </is>
      </c>
      <c r="E645" s="20" t="inlineStr">
        <is>
          <t>Notebook Set</t>
        </is>
      </c>
      <c r="F645" s="20" t="inlineStr">
        <is>
          <t>Government</t>
        </is>
      </c>
      <c r="G645" s="20" t="inlineStr">
        <is>
          <t>Railways Zone W</t>
        </is>
      </c>
      <c r="H645" s="20" t="n">
        <v>7</v>
      </c>
      <c r="I645" s="22" t="n">
        <v>75.68000000000001</v>
      </c>
      <c r="J645" s="23" t="n">
        <v>0</v>
      </c>
      <c r="K645" s="24" t="n">
        <v>529.76</v>
      </c>
      <c r="L645" s="24" t="n">
        <v>345.68</v>
      </c>
      <c r="M645" s="24" t="n">
        <v>184.08</v>
      </c>
    </row>
    <row r="646">
      <c r="A646" s="20" t="inlineStr">
        <is>
          <t>ORD-20240645</t>
        </is>
      </c>
      <c r="B646" s="21" t="n">
        <v>45700</v>
      </c>
      <c r="C646" s="20" t="inlineStr">
        <is>
          <t>Central</t>
        </is>
      </c>
      <c r="D646" s="20" t="inlineStr">
        <is>
          <t>Office Supplies</t>
        </is>
      </c>
      <c r="E646" s="20" t="inlineStr">
        <is>
          <t>Gel Pen Pack</t>
        </is>
      </c>
      <c r="F646" s="20" t="inlineStr">
        <is>
          <t>Enterprise</t>
        </is>
      </c>
      <c r="G646" s="20" t="inlineStr">
        <is>
          <t>HCL Services</t>
        </is>
      </c>
      <c r="H646" s="20" t="n">
        <v>1</v>
      </c>
      <c r="I646" s="22" t="n">
        <v>302.52</v>
      </c>
      <c r="J646" s="23" t="n">
        <v>0.15</v>
      </c>
      <c r="K646" s="24" t="n">
        <v>257.14</v>
      </c>
      <c r="L646" s="24" t="n">
        <v>192.91</v>
      </c>
      <c r="M646" s="24" t="n">
        <v>64.23</v>
      </c>
    </row>
    <row r="647">
      <c r="A647" s="20" t="inlineStr">
        <is>
          <t>ORD-20240646</t>
        </is>
      </c>
      <c r="B647" s="21" t="n">
        <v>45701</v>
      </c>
      <c r="C647" s="20" t="inlineStr">
        <is>
          <t>East</t>
        </is>
      </c>
      <c r="D647" s="20" t="inlineStr">
        <is>
          <t>Furniture</t>
        </is>
      </c>
      <c r="E647" s="20" t="inlineStr">
        <is>
          <t>Conference Table</t>
        </is>
      </c>
      <c r="F647" s="20" t="inlineStr">
        <is>
          <t>Enterprise</t>
        </is>
      </c>
      <c r="G647" s="20" t="inlineStr">
        <is>
          <t>HCL Services</t>
        </is>
      </c>
      <c r="H647" s="20" t="n">
        <v>16</v>
      </c>
      <c r="I647" s="22" t="n">
        <v>25880.26</v>
      </c>
      <c r="J647" s="23" t="n">
        <v>0</v>
      </c>
      <c r="K647" s="24" t="n">
        <v>414084.16</v>
      </c>
      <c r="L647" s="24" t="n">
        <v>258688.38</v>
      </c>
      <c r="M647" s="24" t="n">
        <v>155395.78</v>
      </c>
    </row>
    <row r="648">
      <c r="A648" s="20" t="inlineStr">
        <is>
          <t>ORD-20240647</t>
        </is>
      </c>
      <c r="B648" s="21" t="n">
        <v>45701</v>
      </c>
      <c r="C648" s="20" t="inlineStr">
        <is>
          <t>East</t>
        </is>
      </c>
      <c r="D648" s="20" t="inlineStr">
        <is>
          <t>Furniture</t>
        </is>
      </c>
      <c r="E648" s="20" t="inlineStr">
        <is>
          <t>Ergo Chair</t>
        </is>
      </c>
      <c r="F648" s="20" t="inlineStr">
        <is>
          <t>Consumer</t>
        </is>
      </c>
      <c r="G648" s="20" t="inlineStr">
        <is>
          <t>App User North</t>
        </is>
      </c>
      <c r="H648" s="20" t="n">
        <v>24</v>
      </c>
      <c r="I648" s="22" t="n">
        <v>36883</v>
      </c>
      <c r="J648" s="23" t="n">
        <v>0.12</v>
      </c>
      <c r="K648" s="24" t="n">
        <v>778968.96</v>
      </c>
      <c r="L648" s="24" t="n">
        <v>591229.48</v>
      </c>
      <c r="M648" s="24" t="n">
        <v>187739.48</v>
      </c>
    </row>
    <row r="649">
      <c r="A649" s="20" t="inlineStr">
        <is>
          <t>ORD-20240648</t>
        </is>
      </c>
      <c r="B649" s="21" t="n">
        <v>45702</v>
      </c>
      <c r="C649" s="20" t="inlineStr">
        <is>
          <t>West</t>
        </is>
      </c>
      <c r="D649" s="20" t="inlineStr">
        <is>
          <t>Furniture</t>
        </is>
      </c>
      <c r="E649" s="20" t="inlineStr">
        <is>
          <t>Ergo Chair</t>
        </is>
      </c>
      <c r="F649" s="20" t="inlineStr">
        <is>
          <t>Enterprise</t>
        </is>
      </c>
      <c r="G649" s="20" t="inlineStr">
        <is>
          <t>TCS Digital</t>
        </is>
      </c>
      <c r="H649" s="20" t="n">
        <v>4</v>
      </c>
      <c r="I649" s="22" t="n">
        <v>3008.17</v>
      </c>
      <c r="J649" s="23" t="n">
        <v>0.05</v>
      </c>
      <c r="K649" s="24" t="n">
        <v>11431.05</v>
      </c>
      <c r="L649" s="24" t="n">
        <v>6979.73</v>
      </c>
      <c r="M649" s="24" t="n">
        <v>4451.32</v>
      </c>
    </row>
    <row r="650">
      <c r="A650" s="20" t="inlineStr">
        <is>
          <t>ORD-20240649</t>
        </is>
      </c>
      <c r="B650" s="21" t="n">
        <v>45704</v>
      </c>
      <c r="C650" s="20" t="inlineStr">
        <is>
          <t>Central</t>
        </is>
      </c>
      <c r="D650" s="20" t="inlineStr">
        <is>
          <t>Apparel</t>
        </is>
      </c>
      <c r="E650" s="20" t="inlineStr">
        <is>
          <t>Safety Vest</t>
        </is>
      </c>
      <c r="F650" s="20" t="inlineStr">
        <is>
          <t>Enterprise</t>
        </is>
      </c>
      <c r="G650" s="20" t="inlineStr">
        <is>
          <t>Infosys Ltd</t>
        </is>
      </c>
      <c r="H650" s="20" t="n">
        <v>14</v>
      </c>
      <c r="I650" s="22" t="n">
        <v>928.49</v>
      </c>
      <c r="J650" s="23" t="n">
        <v>0.05</v>
      </c>
      <c r="K650" s="24" t="n">
        <v>12348.92</v>
      </c>
      <c r="L650" s="24" t="n">
        <v>9324.43</v>
      </c>
      <c r="M650" s="24" t="n">
        <v>3024.49</v>
      </c>
    </row>
    <row r="651">
      <c r="A651" s="20" t="inlineStr">
        <is>
          <t>ORD-20240650</t>
        </is>
      </c>
      <c r="B651" s="21" t="n">
        <v>45704</v>
      </c>
      <c r="C651" s="20" t="inlineStr">
        <is>
          <t>East</t>
        </is>
      </c>
      <c r="D651" s="20" t="inlineStr">
        <is>
          <t>Home &amp; Kitchen</t>
        </is>
      </c>
      <c r="E651" s="20" t="inlineStr">
        <is>
          <t>Air Fryer</t>
        </is>
      </c>
      <c r="F651" s="20" t="inlineStr">
        <is>
          <t>Enterprise</t>
        </is>
      </c>
      <c r="G651" s="20" t="inlineStr">
        <is>
          <t>L&amp;T Infotech</t>
        </is>
      </c>
      <c r="H651" s="20" t="n">
        <v>19</v>
      </c>
      <c r="I651" s="22" t="n">
        <v>27674.77</v>
      </c>
      <c r="J651" s="23" t="n">
        <v>0.15</v>
      </c>
      <c r="K651" s="24" t="n">
        <v>446947.54</v>
      </c>
      <c r="L651" s="24" t="n">
        <v>323592.19</v>
      </c>
      <c r="M651" s="24" t="n">
        <v>123355.35</v>
      </c>
    </row>
    <row r="652">
      <c r="A652" s="20" t="inlineStr">
        <is>
          <t>ORD-20240651</t>
        </is>
      </c>
      <c r="B652" s="21" t="n">
        <v>45705</v>
      </c>
      <c r="C652" s="20" t="inlineStr">
        <is>
          <t>Central</t>
        </is>
      </c>
      <c r="D652" s="20" t="inlineStr">
        <is>
          <t>Office Supplies</t>
        </is>
      </c>
      <c r="E652" s="20" t="inlineStr">
        <is>
          <t>Notebook Set</t>
        </is>
      </c>
      <c r="F652" s="20" t="inlineStr">
        <is>
          <t>Consumer</t>
        </is>
      </c>
      <c r="G652" s="20" t="inlineStr">
        <is>
          <t>Online Guest</t>
        </is>
      </c>
      <c r="H652" s="20" t="n">
        <v>9</v>
      </c>
      <c r="I652" s="22" t="n">
        <v>830.72</v>
      </c>
      <c r="J652" s="23" t="n">
        <v>0.05</v>
      </c>
      <c r="K652" s="24" t="n">
        <v>7102.66</v>
      </c>
      <c r="L652" s="24" t="n">
        <v>4894.06</v>
      </c>
      <c r="M652" s="24" t="n">
        <v>2208.6</v>
      </c>
    </row>
    <row r="653">
      <c r="A653" s="20" t="inlineStr">
        <is>
          <t>ORD-20240652</t>
        </is>
      </c>
      <c r="B653" s="21" t="n">
        <v>45705</v>
      </c>
      <c r="C653" s="20" t="inlineStr">
        <is>
          <t>North</t>
        </is>
      </c>
      <c r="D653" s="20" t="inlineStr">
        <is>
          <t>Apparel</t>
        </is>
      </c>
      <c r="E653" s="20" t="inlineStr">
        <is>
          <t>Hoodie Soft</t>
        </is>
      </c>
      <c r="F653" s="20" t="inlineStr">
        <is>
          <t>SMB</t>
        </is>
      </c>
      <c r="G653" s="20" t="inlineStr">
        <is>
          <t>BrightRetail Co</t>
        </is>
      </c>
      <c r="H653" s="20" t="n">
        <v>12</v>
      </c>
      <c r="I653" s="22" t="n">
        <v>4882.48</v>
      </c>
      <c r="J653" s="23" t="n">
        <v>0.1</v>
      </c>
      <c r="K653" s="24" t="n">
        <v>52730.78</v>
      </c>
      <c r="L653" s="24" t="n">
        <v>34923.05</v>
      </c>
      <c r="M653" s="24" t="n">
        <v>17807.73</v>
      </c>
    </row>
    <row r="654">
      <c r="A654" s="20" t="inlineStr">
        <is>
          <t>ORD-20240653</t>
        </is>
      </c>
      <c r="B654" s="21" t="n">
        <v>45706</v>
      </c>
      <c r="C654" s="20" t="inlineStr">
        <is>
          <t>Central</t>
        </is>
      </c>
      <c r="D654" s="20" t="inlineStr">
        <is>
          <t>Home &amp; Kitchen</t>
        </is>
      </c>
      <c r="E654" s="20" t="inlineStr">
        <is>
          <t>Coffee Maker</t>
        </is>
      </c>
      <c r="F654" s="20" t="inlineStr">
        <is>
          <t>SMB</t>
        </is>
      </c>
      <c r="G654" s="20" t="inlineStr">
        <is>
          <t>Pixel Studio</t>
        </is>
      </c>
      <c r="H654" s="20" t="n">
        <v>18</v>
      </c>
      <c r="I654" s="22" t="n">
        <v>12511.4</v>
      </c>
      <c r="J654" s="23" t="n">
        <v>0.15</v>
      </c>
      <c r="K654" s="24" t="n">
        <v>191424.42</v>
      </c>
      <c r="L654" s="24" t="n">
        <v>135872.33</v>
      </c>
      <c r="M654" s="24" t="n">
        <v>55552.09</v>
      </c>
    </row>
    <row r="655">
      <c r="A655" s="20" t="inlineStr">
        <is>
          <t>ORD-20240654</t>
        </is>
      </c>
      <c r="B655" s="21" t="n">
        <v>45706</v>
      </c>
      <c r="C655" s="20" t="inlineStr">
        <is>
          <t>South</t>
        </is>
      </c>
      <c r="D655" s="20" t="inlineStr">
        <is>
          <t>Apparel</t>
        </is>
      </c>
      <c r="E655" s="20" t="inlineStr">
        <is>
          <t>Safety Vest</t>
        </is>
      </c>
      <c r="F655" s="20" t="inlineStr">
        <is>
          <t>Enterprise</t>
        </is>
      </c>
      <c r="G655" s="20" t="inlineStr">
        <is>
          <t>L&amp;T Infotech</t>
        </is>
      </c>
      <c r="H655" s="20" t="n">
        <v>16</v>
      </c>
      <c r="I655" s="22" t="n">
        <v>4987.1</v>
      </c>
      <c r="J655" s="23" t="n">
        <v>0.05</v>
      </c>
      <c r="K655" s="24" t="n">
        <v>75803.92</v>
      </c>
      <c r="L655" s="24" t="n">
        <v>60530.6</v>
      </c>
      <c r="M655" s="24" t="n">
        <v>15273.32</v>
      </c>
    </row>
    <row r="656">
      <c r="A656" s="20" t="inlineStr">
        <is>
          <t>ORD-20240655</t>
        </is>
      </c>
      <c r="B656" s="21" t="n">
        <v>45706</v>
      </c>
      <c r="C656" s="20" t="inlineStr">
        <is>
          <t>North</t>
        </is>
      </c>
      <c r="D656" s="20" t="inlineStr">
        <is>
          <t>Apparel</t>
        </is>
      </c>
      <c r="E656" s="20" t="inlineStr">
        <is>
          <t>Hoodie Soft</t>
        </is>
      </c>
      <c r="F656" s="20" t="inlineStr">
        <is>
          <t>Enterprise</t>
        </is>
      </c>
      <c r="G656" s="20" t="inlineStr">
        <is>
          <t>HCL Services</t>
        </is>
      </c>
      <c r="H656" s="20" t="n">
        <v>4</v>
      </c>
      <c r="I656" s="22" t="n">
        <v>361.53</v>
      </c>
      <c r="J656" s="23" t="n">
        <v>0.15</v>
      </c>
      <c r="K656" s="24" t="n">
        <v>1229.2</v>
      </c>
      <c r="L656" s="24" t="n">
        <v>948.42</v>
      </c>
      <c r="M656" s="24" t="n">
        <v>280.78</v>
      </c>
    </row>
    <row r="657">
      <c r="A657" s="20" t="inlineStr">
        <is>
          <t>ORD-20240656</t>
        </is>
      </c>
      <c r="B657" s="21" t="n">
        <v>45707</v>
      </c>
      <c r="C657" s="20" t="inlineStr">
        <is>
          <t>South</t>
        </is>
      </c>
      <c r="D657" s="20" t="inlineStr">
        <is>
          <t>Apparel</t>
        </is>
      </c>
      <c r="E657" s="20" t="inlineStr">
        <is>
          <t>Hoodie Soft</t>
        </is>
      </c>
      <c r="F657" s="20" t="inlineStr">
        <is>
          <t>Government</t>
        </is>
      </c>
      <c r="G657" s="20" t="inlineStr">
        <is>
          <t>State Health UP</t>
        </is>
      </c>
      <c r="H657" s="20" t="n">
        <v>17</v>
      </c>
      <c r="I657" s="22" t="n">
        <v>3519.07</v>
      </c>
      <c r="J657" s="23" t="n">
        <v>0.2</v>
      </c>
      <c r="K657" s="24" t="n">
        <v>47859.35</v>
      </c>
      <c r="L657" s="24" t="n">
        <v>42505.86</v>
      </c>
      <c r="M657" s="24" t="n">
        <v>5353.49</v>
      </c>
    </row>
    <row r="658">
      <c r="A658" s="20" t="inlineStr">
        <is>
          <t>ORD-20240657</t>
        </is>
      </c>
      <c r="B658" s="21" t="n">
        <v>45708</v>
      </c>
      <c r="C658" s="20" t="inlineStr">
        <is>
          <t>South</t>
        </is>
      </c>
      <c r="D658" s="20" t="inlineStr">
        <is>
          <t>Electronics</t>
        </is>
      </c>
      <c r="E658" s="20" t="inlineStr">
        <is>
          <t>USB-C Hub</t>
        </is>
      </c>
      <c r="F658" s="20" t="inlineStr">
        <is>
          <t>SMB</t>
        </is>
      </c>
      <c r="G658" s="20" t="inlineStr">
        <is>
          <t>SwiftPrint</t>
        </is>
      </c>
      <c r="H658" s="20" t="n">
        <v>4</v>
      </c>
      <c r="I658" s="22" t="n">
        <v>30579.74</v>
      </c>
      <c r="J658" s="23" t="n">
        <v>0.2</v>
      </c>
      <c r="K658" s="24" t="n">
        <v>97855.17</v>
      </c>
      <c r="L658" s="24" t="n">
        <v>92149.11</v>
      </c>
      <c r="M658" s="24" t="n">
        <v>5706.06</v>
      </c>
    </row>
    <row r="659">
      <c r="A659" s="20" t="inlineStr">
        <is>
          <t>ORD-20240658</t>
        </is>
      </c>
      <c r="B659" s="21" t="n">
        <v>45708</v>
      </c>
      <c r="C659" s="20" t="inlineStr">
        <is>
          <t>Central</t>
        </is>
      </c>
      <c r="D659" s="20" t="inlineStr">
        <is>
          <t>Office Supplies</t>
        </is>
      </c>
      <c r="E659" s="20" t="inlineStr">
        <is>
          <t>Notebook Set</t>
        </is>
      </c>
      <c r="F659" s="20" t="inlineStr">
        <is>
          <t>Enterprise</t>
        </is>
      </c>
      <c r="G659" s="20" t="inlineStr">
        <is>
          <t>TCS Digital</t>
        </is>
      </c>
      <c r="H659" s="20" t="n">
        <v>25</v>
      </c>
      <c r="I659" s="22" t="n">
        <v>1963.74</v>
      </c>
      <c r="J659" s="23" t="n">
        <v>0</v>
      </c>
      <c r="K659" s="24" t="n">
        <v>49093.5</v>
      </c>
      <c r="L659" s="24" t="n">
        <v>30440.96</v>
      </c>
      <c r="M659" s="24" t="n">
        <v>18652.54</v>
      </c>
    </row>
    <row r="660">
      <c r="A660" s="20" t="inlineStr">
        <is>
          <t>ORD-20240659</t>
        </is>
      </c>
      <c r="B660" s="21" t="n">
        <v>45709</v>
      </c>
      <c r="C660" s="20" t="inlineStr">
        <is>
          <t>South</t>
        </is>
      </c>
      <c r="D660" s="20" t="inlineStr">
        <is>
          <t>Electronics</t>
        </is>
      </c>
      <c r="E660" s="20" t="inlineStr">
        <is>
          <t>Wireless Mouse</t>
        </is>
      </c>
      <c r="F660" s="20" t="inlineStr">
        <is>
          <t>SMB</t>
        </is>
      </c>
      <c r="G660" s="20" t="inlineStr">
        <is>
          <t>GreenFarm Agro</t>
        </is>
      </c>
      <c r="H660" s="20" t="n">
        <v>23</v>
      </c>
      <c r="I660" s="22" t="n">
        <v>13666.2</v>
      </c>
      <c r="J660" s="23" t="n">
        <v>0.05</v>
      </c>
      <c r="K660" s="24" t="n">
        <v>298606.47</v>
      </c>
      <c r="L660" s="24" t="n">
        <v>177520.8</v>
      </c>
      <c r="M660" s="24" t="n">
        <v>121085.67</v>
      </c>
    </row>
    <row r="661">
      <c r="A661" s="20" t="inlineStr">
        <is>
          <t>ORD-20240660</t>
        </is>
      </c>
      <c r="B661" s="21" t="n">
        <v>45709</v>
      </c>
      <c r="C661" s="20" t="inlineStr">
        <is>
          <t>North</t>
        </is>
      </c>
      <c r="D661" s="20" t="inlineStr">
        <is>
          <t>Electronics</t>
        </is>
      </c>
      <c r="E661" s="20" t="inlineStr">
        <is>
          <t>Laptop Pro 14</t>
        </is>
      </c>
      <c r="F661" s="20" t="inlineStr">
        <is>
          <t>Enterprise</t>
        </is>
      </c>
      <c r="G661" s="20" t="inlineStr">
        <is>
          <t>TCS Digital</t>
        </is>
      </c>
      <c r="H661" s="20" t="n">
        <v>9</v>
      </c>
      <c r="I661" s="22" t="n">
        <v>47790.69</v>
      </c>
      <c r="J661" s="23" t="n">
        <v>0.05</v>
      </c>
      <c r="K661" s="24" t="n">
        <v>408610.4</v>
      </c>
      <c r="L661" s="24" t="n">
        <v>326684.84</v>
      </c>
      <c r="M661" s="24" t="n">
        <v>81925.56</v>
      </c>
    </row>
    <row r="662">
      <c r="A662" s="20" t="inlineStr">
        <is>
          <t>ORD-20240661</t>
        </is>
      </c>
      <c r="B662" s="21" t="n">
        <v>45710</v>
      </c>
      <c r="C662" s="20" t="inlineStr">
        <is>
          <t>North</t>
        </is>
      </c>
      <c r="D662" s="20" t="inlineStr">
        <is>
          <t>Furniture</t>
        </is>
      </c>
      <c r="E662" s="20" t="inlineStr">
        <is>
          <t>Filing Cabinet</t>
        </is>
      </c>
      <c r="F662" s="20" t="inlineStr">
        <is>
          <t>Government</t>
        </is>
      </c>
      <c r="G662" s="20" t="inlineStr">
        <is>
          <t>MH Education Dept</t>
        </is>
      </c>
      <c r="H662" s="20" t="n">
        <v>15</v>
      </c>
      <c r="I662" s="22" t="n">
        <v>36401.63</v>
      </c>
      <c r="J662" s="23" t="n">
        <v>0</v>
      </c>
      <c r="K662" s="24" t="n">
        <v>546024.45</v>
      </c>
      <c r="L662" s="24" t="n">
        <v>403163.75</v>
      </c>
      <c r="M662" s="24" t="n">
        <v>142860.7</v>
      </c>
    </row>
    <row r="663">
      <c r="A663" s="20" t="inlineStr">
        <is>
          <t>ORD-20240662</t>
        </is>
      </c>
      <c r="B663" s="21" t="n">
        <v>45710</v>
      </c>
      <c r="C663" s="20" t="inlineStr">
        <is>
          <t>South</t>
        </is>
      </c>
      <c r="D663" s="20" t="inlineStr">
        <is>
          <t>Apparel</t>
        </is>
      </c>
      <c r="E663" s="20" t="inlineStr">
        <is>
          <t>Safety Vest</t>
        </is>
      </c>
      <c r="F663" s="20" t="inlineStr">
        <is>
          <t>Government</t>
        </is>
      </c>
      <c r="G663" s="20" t="inlineStr">
        <is>
          <t>State Health UP</t>
        </is>
      </c>
      <c r="H663" s="20" t="n">
        <v>16</v>
      </c>
      <c r="I663" s="22" t="n">
        <v>945.3099999999999</v>
      </c>
      <c r="J663" s="23" t="n">
        <v>0.05</v>
      </c>
      <c r="K663" s="24" t="n">
        <v>14368.71</v>
      </c>
      <c r="L663" s="24" t="n">
        <v>9105.870000000001</v>
      </c>
      <c r="M663" s="24" t="n">
        <v>5262.84</v>
      </c>
    </row>
    <row r="664">
      <c r="A664" s="20" t="inlineStr">
        <is>
          <t>ORD-20240663</t>
        </is>
      </c>
      <c r="B664" s="21" t="n">
        <v>45711</v>
      </c>
      <c r="C664" s="20" t="inlineStr">
        <is>
          <t>Central</t>
        </is>
      </c>
      <c r="D664" s="20" t="inlineStr">
        <is>
          <t>Home &amp; Kitchen</t>
        </is>
      </c>
      <c r="E664" s="20" t="inlineStr">
        <is>
          <t>Coffee Maker</t>
        </is>
      </c>
      <c r="F664" s="20" t="inlineStr">
        <is>
          <t>Enterprise</t>
        </is>
      </c>
      <c r="G664" s="20" t="inlineStr">
        <is>
          <t>Infosys Ltd</t>
        </is>
      </c>
      <c r="H664" s="20" t="n">
        <v>10</v>
      </c>
      <c r="I664" s="22" t="n">
        <v>11749.72</v>
      </c>
      <c r="J664" s="23" t="n">
        <v>0.15</v>
      </c>
      <c r="K664" s="24" t="n">
        <v>99872.62</v>
      </c>
      <c r="L664" s="24" t="n">
        <v>78830.05</v>
      </c>
      <c r="M664" s="24" t="n">
        <v>21042.57</v>
      </c>
    </row>
    <row r="665">
      <c r="A665" s="20" t="inlineStr">
        <is>
          <t>ORD-20240664</t>
        </is>
      </c>
      <c r="B665" s="21" t="n">
        <v>45712</v>
      </c>
      <c r="C665" s="20" t="inlineStr">
        <is>
          <t>South</t>
        </is>
      </c>
      <c r="D665" s="20" t="inlineStr">
        <is>
          <t>Home &amp; Kitchen</t>
        </is>
      </c>
      <c r="E665" s="20" t="inlineStr">
        <is>
          <t>Water Purifier</t>
        </is>
      </c>
      <c r="F665" s="20" t="inlineStr">
        <is>
          <t>Government</t>
        </is>
      </c>
      <c r="G665" s="20" t="inlineStr">
        <is>
          <t>State Health UP</t>
        </is>
      </c>
      <c r="H665" s="20" t="n">
        <v>7</v>
      </c>
      <c r="I665" s="22" t="n">
        <v>3545.89</v>
      </c>
      <c r="J665" s="23" t="n">
        <v>0.12</v>
      </c>
      <c r="K665" s="24" t="n">
        <v>21842.68</v>
      </c>
      <c r="L665" s="24" t="n">
        <v>15674.32</v>
      </c>
      <c r="M665" s="24" t="n">
        <v>6168.36</v>
      </c>
    </row>
    <row r="666">
      <c r="A666" s="20" t="inlineStr">
        <is>
          <t>ORD-20240665</t>
        </is>
      </c>
      <c r="B666" s="21" t="n">
        <v>45712</v>
      </c>
      <c r="C666" s="20" t="inlineStr">
        <is>
          <t>East</t>
        </is>
      </c>
      <c r="D666" s="20" t="inlineStr">
        <is>
          <t>Apparel</t>
        </is>
      </c>
      <c r="E666" s="20" t="inlineStr">
        <is>
          <t>Cap Embroidered</t>
        </is>
      </c>
      <c r="F666" s="20" t="inlineStr">
        <is>
          <t>SMB</t>
        </is>
      </c>
      <c r="G666" s="20" t="inlineStr">
        <is>
          <t>SwiftPrint</t>
        </is>
      </c>
      <c r="H666" s="20" t="n">
        <v>8</v>
      </c>
      <c r="I666" s="22" t="n">
        <v>2986.45</v>
      </c>
      <c r="J666" s="23" t="n">
        <v>0.05</v>
      </c>
      <c r="K666" s="24" t="n">
        <v>22697.02</v>
      </c>
      <c r="L666" s="24" t="n">
        <v>17844.23</v>
      </c>
      <c r="M666" s="24" t="n">
        <v>4852.79</v>
      </c>
    </row>
    <row r="667">
      <c r="A667" s="20" t="inlineStr">
        <is>
          <t>ORD-20240666</t>
        </is>
      </c>
      <c r="B667" s="21" t="n">
        <v>45713</v>
      </c>
      <c r="C667" s="20" t="inlineStr">
        <is>
          <t>South</t>
        </is>
      </c>
      <c r="D667" s="20" t="inlineStr">
        <is>
          <t>Home &amp; Kitchen</t>
        </is>
      </c>
      <c r="E667" s="20" t="inlineStr">
        <is>
          <t>Coffee Maker</t>
        </is>
      </c>
      <c r="F667" s="20" t="inlineStr">
        <is>
          <t>SMB</t>
        </is>
      </c>
      <c r="G667" s="20" t="inlineStr">
        <is>
          <t>Nova Logistics</t>
        </is>
      </c>
      <c r="H667" s="20" t="n">
        <v>14</v>
      </c>
      <c r="I667" s="22" t="n">
        <v>1668.26</v>
      </c>
      <c r="J667" s="23" t="n">
        <v>0.1</v>
      </c>
      <c r="K667" s="24" t="n">
        <v>21020.08</v>
      </c>
      <c r="L667" s="24" t="n">
        <v>17048.42</v>
      </c>
      <c r="M667" s="24" t="n">
        <v>3971.66</v>
      </c>
    </row>
    <row r="668">
      <c r="A668" s="20" t="inlineStr">
        <is>
          <t>ORD-20240667</t>
        </is>
      </c>
      <c r="B668" s="21" t="n">
        <v>45713</v>
      </c>
      <c r="C668" s="20" t="inlineStr">
        <is>
          <t>East</t>
        </is>
      </c>
      <c r="D668" s="20" t="inlineStr">
        <is>
          <t>Electronics</t>
        </is>
      </c>
      <c r="E668" s="20" t="inlineStr">
        <is>
          <t>Laptop Pro 14</t>
        </is>
      </c>
      <c r="F668" s="20" t="inlineStr">
        <is>
          <t>Enterprise</t>
        </is>
      </c>
      <c r="G668" s="20" t="inlineStr">
        <is>
          <t>Wipro Tech</t>
        </is>
      </c>
      <c r="H668" s="20" t="n">
        <v>12</v>
      </c>
      <c r="I668" s="22" t="n">
        <v>32361.62</v>
      </c>
      <c r="J668" s="23" t="n">
        <v>0</v>
      </c>
      <c r="K668" s="24" t="n">
        <v>388339.44</v>
      </c>
      <c r="L668" s="24" t="n">
        <v>235397.94</v>
      </c>
      <c r="M668" s="24" t="n">
        <v>152941.5</v>
      </c>
    </row>
    <row r="669">
      <c r="A669" s="20" t="inlineStr">
        <is>
          <t>ORD-20240668</t>
        </is>
      </c>
      <c r="B669" s="21" t="n">
        <v>45713</v>
      </c>
      <c r="C669" s="20" t="inlineStr">
        <is>
          <t>East</t>
        </is>
      </c>
      <c r="D669" s="20" t="inlineStr">
        <is>
          <t>Office Supplies</t>
        </is>
      </c>
      <c r="E669" s="20" t="inlineStr">
        <is>
          <t>Notebook Set</t>
        </is>
      </c>
      <c r="F669" s="20" t="inlineStr">
        <is>
          <t>Enterprise</t>
        </is>
      </c>
      <c r="G669" s="20" t="inlineStr">
        <is>
          <t>L&amp;T Infotech</t>
        </is>
      </c>
      <c r="H669" s="20" t="n">
        <v>24</v>
      </c>
      <c r="I669" s="22" t="n">
        <v>2542.31</v>
      </c>
      <c r="J669" s="23" t="n">
        <v>0.05</v>
      </c>
      <c r="K669" s="24" t="n">
        <v>57964.67</v>
      </c>
      <c r="L669" s="24" t="n">
        <v>46311.29</v>
      </c>
      <c r="M669" s="24" t="n">
        <v>11653.38</v>
      </c>
    </row>
    <row r="670">
      <c r="A670" s="20" t="inlineStr">
        <is>
          <t>ORD-20240669</t>
        </is>
      </c>
      <c r="B670" s="21" t="n">
        <v>45715</v>
      </c>
      <c r="C670" s="20" t="inlineStr">
        <is>
          <t>East</t>
        </is>
      </c>
      <c r="D670" s="20" t="inlineStr">
        <is>
          <t>Home &amp; Kitchen</t>
        </is>
      </c>
      <c r="E670" s="20" t="inlineStr">
        <is>
          <t>Vacuum Robot</t>
        </is>
      </c>
      <c r="F670" s="20" t="inlineStr">
        <is>
          <t>Government</t>
        </is>
      </c>
      <c r="G670" s="20" t="inlineStr">
        <is>
          <t>Municipal Corp Hyd</t>
        </is>
      </c>
      <c r="H670" s="20" t="n">
        <v>12</v>
      </c>
      <c r="I670" s="22" t="n">
        <v>17520.39</v>
      </c>
      <c r="J670" s="23" t="n">
        <v>0.12</v>
      </c>
      <c r="K670" s="24" t="n">
        <v>185015.32</v>
      </c>
      <c r="L670" s="24" t="n">
        <v>152142.2</v>
      </c>
      <c r="M670" s="24" t="n">
        <v>32873.12</v>
      </c>
    </row>
    <row r="671">
      <c r="A671" s="20" t="inlineStr">
        <is>
          <t>ORD-20240670</t>
        </is>
      </c>
      <c r="B671" s="21" t="n">
        <v>45715</v>
      </c>
      <c r="C671" s="20" t="inlineStr">
        <is>
          <t>North</t>
        </is>
      </c>
      <c r="D671" s="20" t="inlineStr">
        <is>
          <t>Apparel</t>
        </is>
      </c>
      <c r="E671" s="20" t="inlineStr">
        <is>
          <t>Cap Embroidered</t>
        </is>
      </c>
      <c r="F671" s="20" t="inlineStr">
        <is>
          <t>Enterprise</t>
        </is>
      </c>
      <c r="G671" s="20" t="inlineStr">
        <is>
          <t>TCS Digital</t>
        </is>
      </c>
      <c r="H671" s="20" t="n">
        <v>25</v>
      </c>
      <c r="I671" s="22" t="n">
        <v>3050.6</v>
      </c>
      <c r="J671" s="23" t="n">
        <v>0.2</v>
      </c>
      <c r="K671" s="24" t="n">
        <v>61012</v>
      </c>
      <c r="L671" s="24" t="n">
        <v>44319.16</v>
      </c>
      <c r="M671" s="24" t="n">
        <v>16692.84</v>
      </c>
    </row>
    <row r="672">
      <c r="A672" s="20" t="inlineStr">
        <is>
          <t>ORD-20240671</t>
        </is>
      </c>
      <c r="B672" s="21" t="n">
        <v>45715</v>
      </c>
      <c r="C672" s="20" t="inlineStr">
        <is>
          <t>South</t>
        </is>
      </c>
      <c r="D672" s="20" t="inlineStr">
        <is>
          <t>Electronics</t>
        </is>
      </c>
      <c r="E672" s="20" t="inlineStr">
        <is>
          <t>Keyboard Mech</t>
        </is>
      </c>
      <c r="F672" s="20" t="inlineStr">
        <is>
          <t>Enterprise</t>
        </is>
      </c>
      <c r="G672" s="20" t="inlineStr">
        <is>
          <t>Tech Mahindra</t>
        </is>
      </c>
      <c r="H672" s="20" t="n">
        <v>16</v>
      </c>
      <c r="I672" s="22" t="n">
        <v>1160.31</v>
      </c>
      <c r="J672" s="23" t="n">
        <v>0</v>
      </c>
      <c r="K672" s="24" t="n">
        <v>18564.96</v>
      </c>
      <c r="L672" s="24" t="n">
        <v>13083.14</v>
      </c>
      <c r="M672" s="24" t="n">
        <v>5481.82</v>
      </c>
    </row>
    <row r="673">
      <c r="A673" s="20" t="inlineStr">
        <is>
          <t>ORD-20240672</t>
        </is>
      </c>
      <c r="B673" s="21" t="n">
        <v>45716</v>
      </c>
      <c r="C673" s="20" t="inlineStr">
        <is>
          <t>Central</t>
        </is>
      </c>
      <c r="D673" s="20" t="inlineStr">
        <is>
          <t>Electronics</t>
        </is>
      </c>
      <c r="E673" s="20" t="inlineStr">
        <is>
          <t>Wireless Mouse</t>
        </is>
      </c>
      <c r="F673" s="20" t="inlineStr">
        <is>
          <t>Government</t>
        </is>
      </c>
      <c r="G673" s="20" t="inlineStr">
        <is>
          <t>Railways Zone W</t>
        </is>
      </c>
      <c r="H673" s="20" t="n">
        <v>5</v>
      </c>
      <c r="I673" s="22" t="n">
        <v>24218.25</v>
      </c>
      <c r="J673" s="23" t="n">
        <v>0</v>
      </c>
      <c r="K673" s="24" t="n">
        <v>121091.25</v>
      </c>
      <c r="L673" s="24" t="n">
        <v>81107.00999999999</v>
      </c>
      <c r="M673" s="24" t="n">
        <v>39984.24</v>
      </c>
    </row>
    <row r="674">
      <c r="A674" s="20" t="inlineStr">
        <is>
          <t>ORD-20240673</t>
        </is>
      </c>
      <c r="B674" s="21" t="n">
        <v>45716</v>
      </c>
      <c r="C674" s="20" t="inlineStr">
        <is>
          <t>East</t>
        </is>
      </c>
      <c r="D674" s="20" t="inlineStr">
        <is>
          <t>Apparel</t>
        </is>
      </c>
      <c r="E674" s="20" t="inlineStr">
        <is>
          <t>Polo Shirt</t>
        </is>
      </c>
      <c r="F674" s="20" t="inlineStr">
        <is>
          <t>SMB</t>
        </is>
      </c>
      <c r="G674" s="20" t="inlineStr">
        <is>
          <t>CityCare Clinics</t>
        </is>
      </c>
      <c r="H674" s="20" t="n">
        <v>10</v>
      </c>
      <c r="I674" s="22" t="n">
        <v>1556.76</v>
      </c>
      <c r="J674" s="23" t="n">
        <v>0.05</v>
      </c>
      <c r="K674" s="24" t="n">
        <v>14789.22</v>
      </c>
      <c r="L674" s="24" t="n">
        <v>9662.83</v>
      </c>
      <c r="M674" s="24" t="n">
        <v>5126.39</v>
      </c>
    </row>
    <row r="675">
      <c r="A675" s="20" t="inlineStr">
        <is>
          <t>ORD-20240674</t>
        </is>
      </c>
      <c r="B675" s="21" t="n">
        <v>45717</v>
      </c>
      <c r="C675" s="20" t="inlineStr">
        <is>
          <t>North</t>
        </is>
      </c>
      <c r="D675" s="20" t="inlineStr">
        <is>
          <t>Home &amp; Kitchen</t>
        </is>
      </c>
      <c r="E675" s="20" t="inlineStr">
        <is>
          <t>Air Fryer</t>
        </is>
      </c>
      <c r="F675" s="20" t="inlineStr">
        <is>
          <t>Enterprise</t>
        </is>
      </c>
      <c r="G675" s="20" t="inlineStr">
        <is>
          <t>Infosys Ltd</t>
        </is>
      </c>
      <c r="H675" s="20" t="n">
        <v>18</v>
      </c>
      <c r="I675" s="22" t="n">
        <v>9011.24</v>
      </c>
      <c r="J675" s="23" t="n">
        <v>0.2</v>
      </c>
      <c r="K675" s="24" t="n">
        <v>129761.86</v>
      </c>
      <c r="L675" s="24" t="n">
        <v>122281.91</v>
      </c>
      <c r="M675" s="24" t="n">
        <v>7479.95</v>
      </c>
    </row>
    <row r="676">
      <c r="A676" s="20" t="inlineStr">
        <is>
          <t>ORD-20240675</t>
        </is>
      </c>
      <c r="B676" s="21" t="n">
        <v>45717</v>
      </c>
      <c r="C676" s="20" t="inlineStr">
        <is>
          <t>Central</t>
        </is>
      </c>
      <c r="D676" s="20" t="inlineStr">
        <is>
          <t>Electronics</t>
        </is>
      </c>
      <c r="E676" s="20" t="inlineStr">
        <is>
          <t>Webcam HD</t>
        </is>
      </c>
      <c r="F676" s="20" t="inlineStr">
        <is>
          <t>Enterprise</t>
        </is>
      </c>
      <c r="G676" s="20" t="inlineStr">
        <is>
          <t>Wipro Tech</t>
        </is>
      </c>
      <c r="H676" s="20" t="n">
        <v>21</v>
      </c>
      <c r="I676" s="22" t="n">
        <v>2170.13</v>
      </c>
      <c r="J676" s="23" t="n">
        <v>0.15</v>
      </c>
      <c r="K676" s="24" t="n">
        <v>38736.82</v>
      </c>
      <c r="L676" s="24" t="n">
        <v>26062.02</v>
      </c>
      <c r="M676" s="24" t="n">
        <v>12674.8</v>
      </c>
    </row>
    <row r="677">
      <c r="A677" s="20" t="inlineStr">
        <is>
          <t>ORD-20240676</t>
        </is>
      </c>
      <c r="B677" s="21" t="n">
        <v>45718</v>
      </c>
      <c r="C677" s="20" t="inlineStr">
        <is>
          <t>East</t>
        </is>
      </c>
      <c r="D677" s="20" t="inlineStr">
        <is>
          <t>Home &amp; Kitchen</t>
        </is>
      </c>
      <c r="E677" s="20" t="inlineStr">
        <is>
          <t>Water Purifier</t>
        </is>
      </c>
      <c r="F677" s="20" t="inlineStr">
        <is>
          <t>Government</t>
        </is>
      </c>
      <c r="G677" s="20" t="inlineStr">
        <is>
          <t>State Health UP</t>
        </is>
      </c>
      <c r="H677" s="20" t="n">
        <v>15</v>
      </c>
      <c r="I677" s="22" t="n">
        <v>19603.17</v>
      </c>
      <c r="J677" s="23" t="n">
        <v>0.15</v>
      </c>
      <c r="K677" s="24" t="n">
        <v>249940.42</v>
      </c>
      <c r="L677" s="24" t="n">
        <v>211212.86</v>
      </c>
      <c r="M677" s="24" t="n">
        <v>38727.56</v>
      </c>
    </row>
    <row r="678">
      <c r="A678" s="20" t="inlineStr">
        <is>
          <t>ORD-20240677</t>
        </is>
      </c>
      <c r="B678" s="21" t="n">
        <v>45718</v>
      </c>
      <c r="C678" s="20" t="inlineStr">
        <is>
          <t>South</t>
        </is>
      </c>
      <c r="D678" s="20" t="inlineStr">
        <is>
          <t>Furniture</t>
        </is>
      </c>
      <c r="E678" s="20" t="inlineStr">
        <is>
          <t>Ergo Chair</t>
        </is>
      </c>
      <c r="F678" s="20" t="inlineStr">
        <is>
          <t>Consumer</t>
        </is>
      </c>
      <c r="G678" s="20" t="inlineStr">
        <is>
          <t>Walk-in Mumbai</t>
        </is>
      </c>
      <c r="H678" s="20" t="n">
        <v>3</v>
      </c>
      <c r="I678" s="22" t="n">
        <v>12914.45</v>
      </c>
      <c r="J678" s="23" t="n">
        <v>0</v>
      </c>
      <c r="K678" s="24" t="n">
        <v>38743.35</v>
      </c>
      <c r="L678" s="24" t="n">
        <v>26380.82</v>
      </c>
      <c r="M678" s="24" t="n">
        <v>12362.53</v>
      </c>
    </row>
    <row r="679">
      <c r="A679" s="20" t="inlineStr">
        <is>
          <t>ORD-20240678</t>
        </is>
      </c>
      <c r="B679" s="21" t="n">
        <v>45719</v>
      </c>
      <c r="C679" s="20" t="inlineStr">
        <is>
          <t>East</t>
        </is>
      </c>
      <c r="D679" s="20" t="inlineStr">
        <is>
          <t>Furniture</t>
        </is>
      </c>
      <c r="E679" s="20" t="inlineStr">
        <is>
          <t>Conference Table</t>
        </is>
      </c>
      <c r="F679" s="20" t="inlineStr">
        <is>
          <t>Enterprise</t>
        </is>
      </c>
      <c r="G679" s="20" t="inlineStr">
        <is>
          <t>TCS Digital</t>
        </is>
      </c>
      <c r="H679" s="20" t="n">
        <v>16</v>
      </c>
      <c r="I679" s="22" t="n">
        <v>2567.09</v>
      </c>
      <c r="J679" s="23" t="n">
        <v>0</v>
      </c>
      <c r="K679" s="24" t="n">
        <v>41073.44</v>
      </c>
      <c r="L679" s="24" t="n">
        <v>29899.86</v>
      </c>
      <c r="M679" s="24" t="n">
        <v>11173.58</v>
      </c>
    </row>
    <row r="680">
      <c r="A680" s="20" t="inlineStr">
        <is>
          <t>ORD-20240679</t>
        </is>
      </c>
      <c r="B680" s="21" t="n">
        <v>45719</v>
      </c>
      <c r="C680" s="20" t="inlineStr">
        <is>
          <t>Central</t>
        </is>
      </c>
      <c r="D680" s="20" t="inlineStr">
        <is>
          <t>Home &amp; Kitchen</t>
        </is>
      </c>
      <c r="E680" s="20" t="inlineStr">
        <is>
          <t>Water Purifier</t>
        </is>
      </c>
      <c r="F680" s="20" t="inlineStr">
        <is>
          <t>SMB</t>
        </is>
      </c>
      <c r="G680" s="20" t="inlineStr">
        <is>
          <t>Pixel Studio</t>
        </is>
      </c>
      <c r="H680" s="20" t="n">
        <v>22</v>
      </c>
      <c r="I680" s="22" t="n">
        <v>10418.17</v>
      </c>
      <c r="J680" s="23" t="n">
        <v>0.1</v>
      </c>
      <c r="K680" s="24" t="n">
        <v>206279.77</v>
      </c>
      <c r="L680" s="24" t="n">
        <v>146673.17</v>
      </c>
      <c r="M680" s="24" t="n">
        <v>59606.6</v>
      </c>
    </row>
    <row r="681">
      <c r="A681" s="20" t="inlineStr">
        <is>
          <t>ORD-20240680</t>
        </is>
      </c>
      <c r="B681" s="21" t="n">
        <v>45720</v>
      </c>
      <c r="C681" s="20" t="inlineStr">
        <is>
          <t>East</t>
        </is>
      </c>
      <c r="D681" s="20" t="inlineStr">
        <is>
          <t>Electronics</t>
        </is>
      </c>
      <c r="E681" s="20" t="inlineStr">
        <is>
          <t>Laptop Pro 14</t>
        </is>
      </c>
      <c r="F681" s="20" t="inlineStr">
        <is>
          <t>Government</t>
        </is>
      </c>
      <c r="G681" s="20" t="inlineStr">
        <is>
          <t>Municipal Corp Hyd</t>
        </is>
      </c>
      <c r="H681" s="20" t="n">
        <v>8</v>
      </c>
      <c r="I681" s="22" t="n">
        <v>47413.28</v>
      </c>
      <c r="J681" s="23" t="n">
        <v>0.12</v>
      </c>
      <c r="K681" s="24" t="n">
        <v>333789.49</v>
      </c>
      <c r="L681" s="24" t="n">
        <v>280016.46</v>
      </c>
      <c r="M681" s="24" t="n">
        <v>53773.03</v>
      </c>
    </row>
    <row r="682">
      <c r="A682" s="20" t="inlineStr">
        <is>
          <t>ORD-20240681</t>
        </is>
      </c>
      <c r="B682" s="21" t="n">
        <v>45721</v>
      </c>
      <c r="C682" s="20" t="inlineStr">
        <is>
          <t>West</t>
        </is>
      </c>
      <c r="D682" s="20" t="inlineStr">
        <is>
          <t>Electronics</t>
        </is>
      </c>
      <c r="E682" s="20" t="inlineStr">
        <is>
          <t>Webcam HD</t>
        </is>
      </c>
      <c r="F682" s="20" t="inlineStr">
        <is>
          <t>Government</t>
        </is>
      </c>
      <c r="G682" s="20" t="inlineStr">
        <is>
          <t>Delhi NDMC</t>
        </is>
      </c>
      <c r="H682" s="20" t="n">
        <v>12</v>
      </c>
      <c r="I682" s="22" t="n">
        <v>25943.19</v>
      </c>
      <c r="J682" s="23" t="n">
        <v>0.12</v>
      </c>
      <c r="K682" s="24" t="n">
        <v>273960.09</v>
      </c>
      <c r="L682" s="24" t="n">
        <v>232334.66</v>
      </c>
      <c r="M682" s="24" t="n">
        <v>41625.43</v>
      </c>
    </row>
    <row r="683">
      <c r="A683" s="20" t="inlineStr">
        <is>
          <t>ORD-20240682</t>
        </is>
      </c>
      <c r="B683" s="21" t="n">
        <v>45721</v>
      </c>
      <c r="C683" s="20" t="inlineStr">
        <is>
          <t>West</t>
        </is>
      </c>
      <c r="D683" s="20" t="inlineStr">
        <is>
          <t>Apparel</t>
        </is>
      </c>
      <c r="E683" s="20" t="inlineStr">
        <is>
          <t>Polo Shirt</t>
        </is>
      </c>
      <c r="F683" s="20" t="inlineStr">
        <is>
          <t>Enterprise</t>
        </is>
      </c>
      <c r="G683" s="20" t="inlineStr">
        <is>
          <t>HCL Services</t>
        </is>
      </c>
      <c r="H683" s="20" t="n">
        <v>3</v>
      </c>
      <c r="I683" s="22" t="n">
        <v>2585.63</v>
      </c>
      <c r="J683" s="23" t="n">
        <v>0</v>
      </c>
      <c r="K683" s="24" t="n">
        <v>7756.89</v>
      </c>
      <c r="L683" s="24" t="n">
        <v>4641.48</v>
      </c>
      <c r="M683" s="24" t="n">
        <v>3115.41</v>
      </c>
    </row>
    <row r="684">
      <c r="A684" s="20" t="inlineStr">
        <is>
          <t>ORD-20240683</t>
        </is>
      </c>
      <c r="B684" s="21" t="n">
        <v>45723</v>
      </c>
      <c r="C684" s="20" t="inlineStr">
        <is>
          <t>North</t>
        </is>
      </c>
      <c r="D684" s="20" t="inlineStr">
        <is>
          <t>Office Supplies</t>
        </is>
      </c>
      <c r="E684" s="20" t="inlineStr">
        <is>
          <t>Gel Pen Pack</t>
        </is>
      </c>
      <c r="F684" s="20" t="inlineStr">
        <is>
          <t>Consumer</t>
        </is>
      </c>
      <c r="G684" s="20" t="inlineStr">
        <is>
          <t>Walk-in Delhi</t>
        </is>
      </c>
      <c r="H684" s="20" t="n">
        <v>15</v>
      </c>
      <c r="I684" s="22" t="n">
        <v>2319.3</v>
      </c>
      <c r="J684" s="23" t="n">
        <v>0.12</v>
      </c>
      <c r="K684" s="24" t="n">
        <v>30614.76</v>
      </c>
      <c r="L684" s="24" t="n">
        <v>23679.52</v>
      </c>
      <c r="M684" s="24" t="n">
        <v>6935.24</v>
      </c>
    </row>
    <row r="685">
      <c r="A685" s="20" t="inlineStr">
        <is>
          <t>ORD-20240684</t>
        </is>
      </c>
      <c r="B685" s="21" t="n">
        <v>45723</v>
      </c>
      <c r="C685" s="20" t="inlineStr">
        <is>
          <t>East</t>
        </is>
      </c>
      <c r="D685" s="20" t="inlineStr">
        <is>
          <t>Office Supplies</t>
        </is>
      </c>
      <c r="E685" s="20" t="inlineStr">
        <is>
          <t>Stapler Heavy</t>
        </is>
      </c>
      <c r="F685" s="20" t="inlineStr">
        <is>
          <t>Consumer</t>
        </is>
      </c>
      <c r="G685" s="20" t="inlineStr">
        <is>
          <t>App User North</t>
        </is>
      </c>
      <c r="H685" s="20" t="n">
        <v>1</v>
      </c>
      <c r="I685" s="22" t="n">
        <v>2779.65</v>
      </c>
      <c r="J685" s="23" t="n">
        <v>0</v>
      </c>
      <c r="K685" s="24" t="n">
        <v>2779.65</v>
      </c>
      <c r="L685" s="24" t="n">
        <v>2029.9</v>
      </c>
      <c r="M685" s="24" t="n">
        <v>749.75</v>
      </c>
    </row>
    <row r="686">
      <c r="A686" s="20" t="inlineStr">
        <is>
          <t>ORD-20240685</t>
        </is>
      </c>
      <c r="B686" s="21" t="n">
        <v>45724</v>
      </c>
      <c r="C686" s="20" t="inlineStr">
        <is>
          <t>East</t>
        </is>
      </c>
      <c r="D686" s="20" t="inlineStr">
        <is>
          <t>Electronics</t>
        </is>
      </c>
      <c r="E686" s="20" t="inlineStr">
        <is>
          <t>Laptop Pro 14</t>
        </is>
      </c>
      <c r="F686" s="20" t="inlineStr">
        <is>
          <t>SMB</t>
        </is>
      </c>
      <c r="G686" s="20" t="inlineStr">
        <is>
          <t>Nova Logistics</t>
        </is>
      </c>
      <c r="H686" s="20" t="n">
        <v>5</v>
      </c>
      <c r="I686" s="22" t="n">
        <v>62810.88</v>
      </c>
      <c r="J686" s="23" t="n">
        <v>0.2</v>
      </c>
      <c r="K686" s="24" t="n">
        <v>251243.52</v>
      </c>
      <c r="L686" s="24" t="n">
        <v>179009.73</v>
      </c>
      <c r="M686" s="24" t="n">
        <v>72233.78999999999</v>
      </c>
    </row>
    <row r="687">
      <c r="A687" s="20" t="inlineStr">
        <is>
          <t>ORD-20240686</t>
        </is>
      </c>
      <c r="B687" s="21" t="n">
        <v>45724</v>
      </c>
      <c r="C687" s="20" t="inlineStr">
        <is>
          <t>South</t>
        </is>
      </c>
      <c r="D687" s="20" t="inlineStr">
        <is>
          <t>Home &amp; Kitchen</t>
        </is>
      </c>
      <c r="E687" s="20" t="inlineStr">
        <is>
          <t>Mixer Grinder</t>
        </is>
      </c>
      <c r="F687" s="20" t="inlineStr">
        <is>
          <t>Enterprise</t>
        </is>
      </c>
      <c r="G687" s="20" t="inlineStr">
        <is>
          <t>TCS Digital</t>
        </is>
      </c>
      <c r="H687" s="20" t="n">
        <v>17</v>
      </c>
      <c r="I687" s="22" t="n">
        <v>23117.78</v>
      </c>
      <c r="J687" s="23" t="n">
        <v>0.2</v>
      </c>
      <c r="K687" s="24" t="n">
        <v>314401.81</v>
      </c>
      <c r="L687" s="24" t="n">
        <v>293769.78</v>
      </c>
      <c r="M687" s="24" t="n">
        <v>20632.03</v>
      </c>
    </row>
    <row r="688">
      <c r="A688" s="20" t="inlineStr">
        <is>
          <t>ORD-20240687</t>
        </is>
      </c>
      <c r="B688" s="21" t="n">
        <v>45726</v>
      </c>
      <c r="C688" s="20" t="inlineStr">
        <is>
          <t>Central</t>
        </is>
      </c>
      <c r="D688" s="20" t="inlineStr">
        <is>
          <t>Electronics</t>
        </is>
      </c>
      <c r="E688" s="20" t="inlineStr">
        <is>
          <t>Wireless Mouse</t>
        </is>
      </c>
      <c r="F688" s="20" t="inlineStr">
        <is>
          <t>Enterprise</t>
        </is>
      </c>
      <c r="G688" s="20" t="inlineStr">
        <is>
          <t>L&amp;T Infotech</t>
        </is>
      </c>
      <c r="H688" s="20" t="n">
        <v>3</v>
      </c>
      <c r="I688" s="22" t="n">
        <v>18547.8</v>
      </c>
      <c r="J688" s="23" t="n">
        <v>0.05</v>
      </c>
      <c r="K688" s="24" t="n">
        <v>52861.23</v>
      </c>
      <c r="L688" s="24" t="n">
        <v>41673.5</v>
      </c>
      <c r="M688" s="24" t="n">
        <v>11187.73</v>
      </c>
    </row>
    <row r="689">
      <c r="A689" s="20" t="inlineStr">
        <is>
          <t>ORD-20240688</t>
        </is>
      </c>
      <c r="B689" s="21" t="n">
        <v>45728</v>
      </c>
      <c r="C689" s="20" t="inlineStr">
        <is>
          <t>East</t>
        </is>
      </c>
      <c r="D689" s="20" t="inlineStr">
        <is>
          <t>Home &amp; Kitchen</t>
        </is>
      </c>
      <c r="E689" s="20" t="inlineStr">
        <is>
          <t>Vacuum Robot</t>
        </is>
      </c>
      <c r="F689" s="20" t="inlineStr">
        <is>
          <t>Enterprise</t>
        </is>
      </c>
      <c r="G689" s="20" t="inlineStr">
        <is>
          <t>Infosys Ltd</t>
        </is>
      </c>
      <c r="H689" s="20" t="n">
        <v>11</v>
      </c>
      <c r="I689" s="22" t="n">
        <v>18844.48</v>
      </c>
      <c r="J689" s="23" t="n">
        <v>0.05</v>
      </c>
      <c r="K689" s="24" t="n">
        <v>196924.82</v>
      </c>
      <c r="L689" s="24" t="n">
        <v>135268.82</v>
      </c>
      <c r="M689" s="24" t="n">
        <v>61656</v>
      </c>
    </row>
    <row r="690">
      <c r="A690" s="20" t="inlineStr">
        <is>
          <t>ORD-20240689</t>
        </is>
      </c>
      <c r="B690" s="21" t="n">
        <v>45728</v>
      </c>
      <c r="C690" s="20" t="inlineStr">
        <is>
          <t>North</t>
        </is>
      </c>
      <c r="D690" s="20" t="inlineStr">
        <is>
          <t>Furniture</t>
        </is>
      </c>
      <c r="E690" s="20" t="inlineStr">
        <is>
          <t>Standing Desk</t>
        </is>
      </c>
      <c r="F690" s="20" t="inlineStr">
        <is>
          <t>SMB</t>
        </is>
      </c>
      <c r="G690" s="20" t="inlineStr">
        <is>
          <t>GreenFarm Agro</t>
        </is>
      </c>
      <c r="H690" s="20" t="n">
        <v>2</v>
      </c>
      <c r="I690" s="22" t="n">
        <v>14139.12</v>
      </c>
      <c r="J690" s="23" t="n">
        <v>0.05</v>
      </c>
      <c r="K690" s="24" t="n">
        <v>26864.33</v>
      </c>
      <c r="L690" s="24" t="n">
        <v>21595.88</v>
      </c>
      <c r="M690" s="24" t="n">
        <v>5268.45</v>
      </c>
    </row>
    <row r="691">
      <c r="A691" s="20" t="inlineStr">
        <is>
          <t>ORD-20240690</t>
        </is>
      </c>
      <c r="B691" s="21" t="n">
        <v>45729</v>
      </c>
      <c r="C691" s="20" t="inlineStr">
        <is>
          <t>West</t>
        </is>
      </c>
      <c r="D691" s="20" t="inlineStr">
        <is>
          <t>Home &amp; Kitchen</t>
        </is>
      </c>
      <c r="E691" s="20" t="inlineStr">
        <is>
          <t>Mixer Grinder</t>
        </is>
      </c>
      <c r="F691" s="20" t="inlineStr">
        <is>
          <t>Enterprise</t>
        </is>
      </c>
      <c r="G691" s="20" t="inlineStr">
        <is>
          <t>L&amp;T Infotech</t>
        </is>
      </c>
      <c r="H691" s="20" t="n">
        <v>19</v>
      </c>
      <c r="I691" s="22" t="n">
        <v>10664.37</v>
      </c>
      <c r="J691" s="23" t="n">
        <v>0.15</v>
      </c>
      <c r="K691" s="24" t="n">
        <v>172229.58</v>
      </c>
      <c r="L691" s="24" t="n">
        <v>144183.83</v>
      </c>
      <c r="M691" s="24" t="n">
        <v>28045.75</v>
      </c>
    </row>
    <row r="692">
      <c r="A692" s="20" t="inlineStr">
        <is>
          <t>ORD-20240691</t>
        </is>
      </c>
      <c r="B692" s="21" t="n">
        <v>45730</v>
      </c>
      <c r="C692" s="20" t="inlineStr">
        <is>
          <t>Central</t>
        </is>
      </c>
      <c r="D692" s="20" t="inlineStr">
        <is>
          <t>Furniture</t>
        </is>
      </c>
      <c r="E692" s="20" t="inlineStr">
        <is>
          <t>Filing Cabinet</t>
        </is>
      </c>
      <c r="F692" s="20" t="inlineStr">
        <is>
          <t>Enterprise</t>
        </is>
      </c>
      <c r="G692" s="20" t="inlineStr">
        <is>
          <t>TCS Digital</t>
        </is>
      </c>
      <c r="H692" s="20" t="n">
        <v>1</v>
      </c>
      <c r="I692" s="22" t="n">
        <v>28694.82</v>
      </c>
      <c r="J692" s="23" t="n">
        <v>0</v>
      </c>
      <c r="K692" s="24" t="n">
        <v>28694.82</v>
      </c>
      <c r="L692" s="24" t="n">
        <v>17820.49</v>
      </c>
      <c r="M692" s="24" t="n">
        <v>10874.33</v>
      </c>
    </row>
    <row r="693">
      <c r="A693" s="20" t="inlineStr">
        <is>
          <t>ORD-20240692</t>
        </is>
      </c>
      <c r="B693" s="21" t="n">
        <v>45730</v>
      </c>
      <c r="C693" s="20" t="inlineStr">
        <is>
          <t>West</t>
        </is>
      </c>
      <c r="D693" s="20" t="inlineStr">
        <is>
          <t>Home &amp; Kitchen</t>
        </is>
      </c>
      <c r="E693" s="20" t="inlineStr">
        <is>
          <t>Water Purifier</t>
        </is>
      </c>
      <c r="F693" s="20" t="inlineStr">
        <is>
          <t>SMB</t>
        </is>
      </c>
      <c r="G693" s="20" t="inlineStr">
        <is>
          <t>GreenFarm Agro</t>
        </is>
      </c>
      <c r="H693" s="20" t="n">
        <v>12</v>
      </c>
      <c r="I693" s="22" t="n">
        <v>22558.46</v>
      </c>
      <c r="J693" s="23" t="n">
        <v>0.2</v>
      </c>
      <c r="K693" s="24" t="n">
        <v>216561.22</v>
      </c>
      <c r="L693" s="24" t="n">
        <v>166743.62</v>
      </c>
      <c r="M693" s="24" t="n">
        <v>49817.6</v>
      </c>
    </row>
    <row r="694">
      <c r="A694" s="20" t="inlineStr">
        <is>
          <t>ORD-20240693</t>
        </is>
      </c>
      <c r="B694" s="21" t="n">
        <v>45730</v>
      </c>
      <c r="C694" s="20" t="inlineStr">
        <is>
          <t>Central</t>
        </is>
      </c>
      <c r="D694" s="20" t="inlineStr">
        <is>
          <t>Apparel</t>
        </is>
      </c>
      <c r="E694" s="20" t="inlineStr">
        <is>
          <t>Cap Embroidered</t>
        </is>
      </c>
      <c r="F694" s="20" t="inlineStr">
        <is>
          <t>SMB</t>
        </is>
      </c>
      <c r="G694" s="20" t="inlineStr">
        <is>
          <t>SwiftPrint</t>
        </is>
      </c>
      <c r="H694" s="20" t="n">
        <v>9</v>
      </c>
      <c r="I694" s="22" t="n">
        <v>1164.17</v>
      </c>
      <c r="J694" s="23" t="n">
        <v>0</v>
      </c>
      <c r="K694" s="24" t="n">
        <v>10477.53</v>
      </c>
      <c r="L694" s="24" t="n">
        <v>5985.41</v>
      </c>
      <c r="M694" s="24" t="n">
        <v>4492.12</v>
      </c>
    </row>
    <row r="695">
      <c r="A695" s="20" t="inlineStr">
        <is>
          <t>ORD-20240694</t>
        </is>
      </c>
      <c r="B695" s="21" t="n">
        <v>45731</v>
      </c>
      <c r="C695" s="20" t="inlineStr">
        <is>
          <t>West</t>
        </is>
      </c>
      <c r="D695" s="20" t="inlineStr">
        <is>
          <t>Furniture</t>
        </is>
      </c>
      <c r="E695" s="20" t="inlineStr">
        <is>
          <t>Standing Desk</t>
        </is>
      </c>
      <c r="F695" s="20" t="inlineStr">
        <is>
          <t>Government</t>
        </is>
      </c>
      <c r="G695" s="20" t="inlineStr">
        <is>
          <t>Delhi NDMC</t>
        </is>
      </c>
      <c r="H695" s="20" t="n">
        <v>24</v>
      </c>
      <c r="I695" s="22" t="n">
        <v>28599.54</v>
      </c>
      <c r="J695" s="23" t="n">
        <v>0.05</v>
      </c>
      <c r="K695" s="24" t="n">
        <v>652069.51</v>
      </c>
      <c r="L695" s="24" t="n">
        <v>448488.09</v>
      </c>
      <c r="M695" s="24" t="n">
        <v>203581.42</v>
      </c>
    </row>
    <row r="696">
      <c r="A696" s="20" t="inlineStr">
        <is>
          <t>ORD-20240695</t>
        </is>
      </c>
      <c r="B696" s="21" t="n">
        <v>45732</v>
      </c>
      <c r="C696" s="20" t="inlineStr">
        <is>
          <t>Central</t>
        </is>
      </c>
      <c r="D696" s="20" t="inlineStr">
        <is>
          <t>Apparel</t>
        </is>
      </c>
      <c r="E696" s="20" t="inlineStr">
        <is>
          <t>Formal Blazer</t>
        </is>
      </c>
      <c r="F696" s="20" t="inlineStr">
        <is>
          <t>Consumer</t>
        </is>
      </c>
      <c r="G696" s="20" t="inlineStr">
        <is>
          <t>App User North</t>
        </is>
      </c>
      <c r="H696" s="20" t="n">
        <v>18</v>
      </c>
      <c r="I696" s="22" t="n">
        <v>4217.51</v>
      </c>
      <c r="J696" s="23" t="n">
        <v>0.05</v>
      </c>
      <c r="K696" s="24" t="n">
        <v>72119.42</v>
      </c>
      <c r="L696" s="24" t="n">
        <v>46763</v>
      </c>
      <c r="M696" s="24" t="n">
        <v>25356.42</v>
      </c>
    </row>
    <row r="697">
      <c r="A697" s="20" t="inlineStr">
        <is>
          <t>ORD-20240696</t>
        </is>
      </c>
      <c r="B697" s="21" t="n">
        <v>45732</v>
      </c>
      <c r="C697" s="20" t="inlineStr">
        <is>
          <t>West</t>
        </is>
      </c>
      <c r="D697" s="20" t="inlineStr">
        <is>
          <t>Apparel</t>
        </is>
      </c>
      <c r="E697" s="20" t="inlineStr">
        <is>
          <t>Cap Embroidered</t>
        </is>
      </c>
      <c r="F697" s="20" t="inlineStr">
        <is>
          <t>Government</t>
        </is>
      </c>
      <c r="G697" s="20" t="inlineStr">
        <is>
          <t>State Health UP</t>
        </is>
      </c>
      <c r="H697" s="20" t="n">
        <v>9</v>
      </c>
      <c r="I697" s="22" t="n">
        <v>1312.17</v>
      </c>
      <c r="J697" s="23" t="n">
        <v>0.2</v>
      </c>
      <c r="K697" s="24" t="n">
        <v>9447.620000000001</v>
      </c>
      <c r="L697" s="24" t="n">
        <v>6804.39</v>
      </c>
      <c r="M697" s="24" t="n">
        <v>2643.23</v>
      </c>
    </row>
    <row r="698">
      <c r="A698" s="20" t="inlineStr">
        <is>
          <t>ORD-20240697</t>
        </is>
      </c>
      <c r="B698" s="21" t="n">
        <v>45732</v>
      </c>
      <c r="C698" s="20" t="inlineStr">
        <is>
          <t>North</t>
        </is>
      </c>
      <c r="D698" s="20" t="inlineStr">
        <is>
          <t>Furniture</t>
        </is>
      </c>
      <c r="E698" s="20" t="inlineStr">
        <is>
          <t>Bookshelf Oak</t>
        </is>
      </c>
      <c r="F698" s="20" t="inlineStr">
        <is>
          <t>Consumer</t>
        </is>
      </c>
      <c r="G698" s="20" t="inlineStr">
        <is>
          <t>Walk-in Delhi</t>
        </is>
      </c>
      <c r="H698" s="20" t="n">
        <v>5</v>
      </c>
      <c r="I698" s="22" t="n">
        <v>23716.45</v>
      </c>
      <c r="J698" s="23" t="n">
        <v>0.05</v>
      </c>
      <c r="K698" s="24" t="n">
        <v>112653.14</v>
      </c>
      <c r="L698" s="24" t="n">
        <v>85616.31</v>
      </c>
      <c r="M698" s="24" t="n">
        <v>27036.83</v>
      </c>
    </row>
    <row r="699">
      <c r="A699" s="20" t="inlineStr">
        <is>
          <t>ORD-20240698</t>
        </is>
      </c>
      <c r="B699" s="21" t="n">
        <v>45734</v>
      </c>
      <c r="C699" s="20" t="inlineStr">
        <is>
          <t>East</t>
        </is>
      </c>
      <c r="D699" s="20" t="inlineStr">
        <is>
          <t>Apparel</t>
        </is>
      </c>
      <c r="E699" s="20" t="inlineStr">
        <is>
          <t>Safety Vest</t>
        </is>
      </c>
      <c r="F699" s="20" t="inlineStr">
        <is>
          <t>Government</t>
        </is>
      </c>
      <c r="G699" s="20" t="inlineStr">
        <is>
          <t>Municipal Corp Hyd</t>
        </is>
      </c>
      <c r="H699" s="20" t="n">
        <v>6</v>
      </c>
      <c r="I699" s="22" t="n">
        <v>2249.75</v>
      </c>
      <c r="J699" s="23" t="n">
        <v>0</v>
      </c>
      <c r="K699" s="24" t="n">
        <v>13498.5</v>
      </c>
      <c r="L699" s="24" t="n">
        <v>10218.25</v>
      </c>
      <c r="M699" s="24" t="n">
        <v>3280.25</v>
      </c>
    </row>
    <row r="700">
      <c r="A700" s="20" t="inlineStr">
        <is>
          <t>ORD-20240699</t>
        </is>
      </c>
      <c r="B700" s="21" t="n">
        <v>45735</v>
      </c>
      <c r="C700" s="20" t="inlineStr">
        <is>
          <t>Central</t>
        </is>
      </c>
      <c r="D700" s="20" t="inlineStr">
        <is>
          <t>Office Supplies</t>
        </is>
      </c>
      <c r="E700" s="20" t="inlineStr">
        <is>
          <t>Gel Pen Pack</t>
        </is>
      </c>
      <c r="F700" s="20" t="inlineStr">
        <is>
          <t>Government</t>
        </is>
      </c>
      <c r="G700" s="20" t="inlineStr">
        <is>
          <t>Railways Zone W</t>
        </is>
      </c>
      <c r="H700" s="20" t="n">
        <v>15</v>
      </c>
      <c r="I700" s="22" t="n">
        <v>505.12</v>
      </c>
      <c r="J700" s="23" t="n">
        <v>0.1</v>
      </c>
      <c r="K700" s="24" t="n">
        <v>6819.12</v>
      </c>
      <c r="L700" s="24" t="n">
        <v>5404.98</v>
      </c>
      <c r="M700" s="24" t="n">
        <v>1414.14</v>
      </c>
    </row>
    <row r="701">
      <c r="A701" s="20" t="inlineStr">
        <is>
          <t>ORD-20240700</t>
        </is>
      </c>
      <c r="B701" s="21" t="n">
        <v>45735</v>
      </c>
      <c r="C701" s="20" t="inlineStr">
        <is>
          <t>West</t>
        </is>
      </c>
      <c r="D701" s="20" t="inlineStr">
        <is>
          <t>Electronics</t>
        </is>
      </c>
      <c r="E701" s="20" t="inlineStr">
        <is>
          <t>USB-C Hub</t>
        </is>
      </c>
      <c r="F701" s="20" t="inlineStr">
        <is>
          <t>Government</t>
        </is>
      </c>
      <c r="G701" s="20" t="inlineStr">
        <is>
          <t>MH Education Dept</t>
        </is>
      </c>
      <c r="H701" s="20" t="n">
        <v>16</v>
      </c>
      <c r="I701" s="22" t="n">
        <v>37963.87</v>
      </c>
      <c r="J701" s="23" t="n">
        <v>0.2</v>
      </c>
      <c r="K701" s="24" t="n">
        <v>485937.54</v>
      </c>
      <c r="L701" s="24" t="n">
        <v>419218.72</v>
      </c>
      <c r="M701" s="24" t="n">
        <v>66718.82000000001</v>
      </c>
    </row>
    <row r="702">
      <c r="A702" s="20" t="inlineStr">
        <is>
          <t>ORD-20240701</t>
        </is>
      </c>
      <c r="B702" s="21" t="n">
        <v>45736</v>
      </c>
      <c r="C702" s="20" t="inlineStr">
        <is>
          <t>West</t>
        </is>
      </c>
      <c r="D702" s="20" t="inlineStr">
        <is>
          <t>Home &amp; Kitchen</t>
        </is>
      </c>
      <c r="E702" s="20" t="inlineStr">
        <is>
          <t>Water Purifier</t>
        </is>
      </c>
      <c r="F702" s="20" t="inlineStr">
        <is>
          <t>Consumer</t>
        </is>
      </c>
      <c r="G702" s="20" t="inlineStr">
        <is>
          <t>Walk-in Delhi</t>
        </is>
      </c>
      <c r="H702" s="20" t="n">
        <v>24</v>
      </c>
      <c r="I702" s="22" t="n">
        <v>12558.41</v>
      </c>
      <c r="J702" s="23" t="n">
        <v>0.05</v>
      </c>
      <c r="K702" s="24" t="n">
        <v>286331.75</v>
      </c>
      <c r="L702" s="24" t="n">
        <v>182951.29</v>
      </c>
      <c r="M702" s="24" t="n">
        <v>103380.46</v>
      </c>
    </row>
    <row r="703">
      <c r="A703" s="20" t="inlineStr">
        <is>
          <t>ORD-20240702</t>
        </is>
      </c>
      <c r="B703" s="21" t="n">
        <v>45736</v>
      </c>
      <c r="C703" s="20" t="inlineStr">
        <is>
          <t>Central</t>
        </is>
      </c>
      <c r="D703" s="20" t="inlineStr">
        <is>
          <t>Office Supplies</t>
        </is>
      </c>
      <c r="E703" s="20" t="inlineStr">
        <is>
          <t>Notebook Set</t>
        </is>
      </c>
      <c r="F703" s="20" t="inlineStr">
        <is>
          <t>Government</t>
        </is>
      </c>
      <c r="G703" s="20" t="inlineStr">
        <is>
          <t>Delhi NDMC</t>
        </is>
      </c>
      <c r="H703" s="20" t="n">
        <v>25</v>
      </c>
      <c r="I703" s="22" t="n">
        <v>1507.75</v>
      </c>
      <c r="J703" s="23" t="n">
        <v>0.1</v>
      </c>
      <c r="K703" s="24" t="n">
        <v>33924.38</v>
      </c>
      <c r="L703" s="24" t="n">
        <v>26053.53</v>
      </c>
      <c r="M703" s="24" t="n">
        <v>7870.85</v>
      </c>
    </row>
    <row r="704">
      <c r="A704" s="20" t="inlineStr">
        <is>
          <t>ORD-20240703</t>
        </is>
      </c>
      <c r="B704" s="21" t="n">
        <v>45737</v>
      </c>
      <c r="C704" s="20" t="inlineStr">
        <is>
          <t>West</t>
        </is>
      </c>
      <c r="D704" s="20" t="inlineStr">
        <is>
          <t>Office Supplies</t>
        </is>
      </c>
      <c r="E704" s="20" t="inlineStr">
        <is>
          <t>A4 Paper Ream</t>
        </is>
      </c>
      <c r="F704" s="20" t="inlineStr">
        <is>
          <t>Government</t>
        </is>
      </c>
      <c r="G704" s="20" t="inlineStr">
        <is>
          <t>Delhi NDMC</t>
        </is>
      </c>
      <c r="H704" s="20" t="n">
        <v>14</v>
      </c>
      <c r="I704" s="22" t="n">
        <v>3364.72</v>
      </c>
      <c r="J704" s="23" t="n">
        <v>0.15</v>
      </c>
      <c r="K704" s="24" t="n">
        <v>40040.17</v>
      </c>
      <c r="L704" s="24" t="n">
        <v>33571.61</v>
      </c>
      <c r="M704" s="24" t="n">
        <v>6468.56</v>
      </c>
    </row>
    <row r="705">
      <c r="A705" s="20" t="inlineStr">
        <is>
          <t>ORD-20240704</t>
        </is>
      </c>
      <c r="B705" s="21" t="n">
        <v>45737</v>
      </c>
      <c r="C705" s="20" t="inlineStr">
        <is>
          <t>East</t>
        </is>
      </c>
      <c r="D705" s="20" t="inlineStr">
        <is>
          <t>Furniture</t>
        </is>
      </c>
      <c r="E705" s="20" t="inlineStr">
        <is>
          <t>Conference Table</t>
        </is>
      </c>
      <c r="F705" s="20" t="inlineStr">
        <is>
          <t>Government</t>
        </is>
      </c>
      <c r="G705" s="20" t="inlineStr">
        <is>
          <t>Delhi NDMC</t>
        </is>
      </c>
      <c r="H705" s="20" t="n">
        <v>24</v>
      </c>
      <c r="I705" s="22" t="n">
        <v>39476.58</v>
      </c>
      <c r="J705" s="23" t="n">
        <v>0.1</v>
      </c>
      <c r="K705" s="24" t="n">
        <v>852694.13</v>
      </c>
      <c r="L705" s="24" t="n">
        <v>655073.59</v>
      </c>
      <c r="M705" s="24" t="n">
        <v>197620.54</v>
      </c>
    </row>
    <row r="706">
      <c r="A706" s="20" t="inlineStr">
        <is>
          <t>ORD-20240705</t>
        </is>
      </c>
      <c r="B706" s="21" t="n">
        <v>45738</v>
      </c>
      <c r="C706" s="20" t="inlineStr">
        <is>
          <t>West</t>
        </is>
      </c>
      <c r="D706" s="20" t="inlineStr">
        <is>
          <t>Furniture</t>
        </is>
      </c>
      <c r="E706" s="20" t="inlineStr">
        <is>
          <t>Conference Table</t>
        </is>
      </c>
      <c r="F706" s="20" t="inlineStr">
        <is>
          <t>Government</t>
        </is>
      </c>
      <c r="G706" s="20" t="inlineStr">
        <is>
          <t>Delhi NDMC</t>
        </is>
      </c>
      <c r="H706" s="20" t="n">
        <v>9</v>
      </c>
      <c r="I706" s="22" t="n">
        <v>41608.25</v>
      </c>
      <c r="J706" s="23" t="n">
        <v>0.05</v>
      </c>
      <c r="K706" s="24" t="n">
        <v>355750.54</v>
      </c>
      <c r="L706" s="24" t="n">
        <v>220887.18</v>
      </c>
      <c r="M706" s="24" t="n">
        <v>134863.36</v>
      </c>
    </row>
    <row r="707">
      <c r="A707" s="20" t="inlineStr">
        <is>
          <t>ORD-20240706</t>
        </is>
      </c>
      <c r="B707" s="21" t="n">
        <v>45739</v>
      </c>
      <c r="C707" s="20" t="inlineStr">
        <is>
          <t>East</t>
        </is>
      </c>
      <c r="D707" s="20" t="inlineStr">
        <is>
          <t>Electronics</t>
        </is>
      </c>
      <c r="E707" s="20" t="inlineStr">
        <is>
          <t>Keyboard Mech</t>
        </is>
      </c>
      <c r="F707" s="20" t="inlineStr">
        <is>
          <t>Government</t>
        </is>
      </c>
      <c r="G707" s="20" t="inlineStr">
        <is>
          <t>State Health UP</t>
        </is>
      </c>
      <c r="H707" s="20" t="n">
        <v>21</v>
      </c>
      <c r="I707" s="22" t="n">
        <v>54865.01</v>
      </c>
      <c r="J707" s="23" t="n">
        <v>0.2</v>
      </c>
      <c r="K707" s="24" t="n">
        <v>921732.17</v>
      </c>
      <c r="L707" s="24" t="n">
        <v>889744.65</v>
      </c>
      <c r="M707" s="24" t="n">
        <v>31987.52</v>
      </c>
    </row>
    <row r="708">
      <c r="A708" s="20" t="inlineStr">
        <is>
          <t>ORD-20240707</t>
        </is>
      </c>
      <c r="B708" s="21" t="n">
        <v>45740</v>
      </c>
      <c r="C708" s="20" t="inlineStr">
        <is>
          <t>East</t>
        </is>
      </c>
      <c r="D708" s="20" t="inlineStr">
        <is>
          <t>Apparel</t>
        </is>
      </c>
      <c r="E708" s="20" t="inlineStr">
        <is>
          <t>Hoodie Soft</t>
        </is>
      </c>
      <c r="F708" s="20" t="inlineStr">
        <is>
          <t>Government</t>
        </is>
      </c>
      <c r="G708" s="20" t="inlineStr">
        <is>
          <t>State Health UP</t>
        </is>
      </c>
      <c r="H708" s="20" t="n">
        <v>1</v>
      </c>
      <c r="I708" s="22" t="n">
        <v>1057.27</v>
      </c>
      <c r="J708" s="23" t="n">
        <v>0.05</v>
      </c>
      <c r="K708" s="24" t="n">
        <v>1004.41</v>
      </c>
      <c r="L708" s="24" t="n">
        <v>695.6</v>
      </c>
      <c r="M708" s="24" t="n">
        <v>308.81</v>
      </c>
    </row>
    <row r="709">
      <c r="A709" s="20" t="inlineStr">
        <is>
          <t>ORD-20240708</t>
        </is>
      </c>
      <c r="B709" s="21" t="n">
        <v>45740</v>
      </c>
      <c r="C709" s="20" t="inlineStr">
        <is>
          <t>North</t>
        </is>
      </c>
      <c r="D709" s="20" t="inlineStr">
        <is>
          <t>Office Supplies</t>
        </is>
      </c>
      <c r="E709" s="20" t="inlineStr">
        <is>
          <t>Stapler Heavy</t>
        </is>
      </c>
      <c r="F709" s="20" t="inlineStr">
        <is>
          <t>Consumer</t>
        </is>
      </c>
      <c r="G709" s="20" t="inlineStr">
        <is>
          <t>Walk-in Mumbai</t>
        </is>
      </c>
      <c r="H709" s="20" t="n">
        <v>23</v>
      </c>
      <c r="I709" s="22" t="n">
        <v>3064.25</v>
      </c>
      <c r="J709" s="23" t="n">
        <v>0</v>
      </c>
      <c r="K709" s="24" t="n">
        <v>70477.75</v>
      </c>
      <c r="L709" s="24" t="n">
        <v>50213.5</v>
      </c>
      <c r="M709" s="24" t="n">
        <v>20264.25</v>
      </c>
    </row>
    <row r="710">
      <c r="A710" s="20" t="inlineStr">
        <is>
          <t>ORD-20240709</t>
        </is>
      </c>
      <c r="B710" s="21" t="n">
        <v>45741</v>
      </c>
      <c r="C710" s="20" t="inlineStr">
        <is>
          <t>Central</t>
        </is>
      </c>
      <c r="D710" s="20" t="inlineStr">
        <is>
          <t>Apparel</t>
        </is>
      </c>
      <c r="E710" s="20" t="inlineStr">
        <is>
          <t>Hoodie Soft</t>
        </is>
      </c>
      <c r="F710" s="20" t="inlineStr">
        <is>
          <t>Consumer</t>
        </is>
      </c>
      <c r="G710" s="20" t="inlineStr">
        <is>
          <t>Retail Counter</t>
        </is>
      </c>
      <c r="H710" s="20" t="n">
        <v>2</v>
      </c>
      <c r="I710" s="22" t="n">
        <v>4743.86</v>
      </c>
      <c r="J710" s="23" t="n">
        <v>0</v>
      </c>
      <c r="K710" s="24" t="n">
        <v>9487.719999999999</v>
      </c>
      <c r="L710" s="24" t="n">
        <v>6615.47</v>
      </c>
      <c r="M710" s="24" t="n">
        <v>2872.25</v>
      </c>
    </row>
    <row r="711">
      <c r="A711" s="20" t="inlineStr">
        <is>
          <t>ORD-20240710</t>
        </is>
      </c>
      <c r="B711" s="21" t="n">
        <v>45741</v>
      </c>
      <c r="C711" s="20" t="inlineStr">
        <is>
          <t>West</t>
        </is>
      </c>
      <c r="D711" s="20" t="inlineStr">
        <is>
          <t>Electronics</t>
        </is>
      </c>
      <c r="E711" s="20" t="inlineStr">
        <is>
          <t>USB-C Hub</t>
        </is>
      </c>
      <c r="F711" s="20" t="inlineStr">
        <is>
          <t>SMB</t>
        </is>
      </c>
      <c r="G711" s="20" t="inlineStr">
        <is>
          <t>SwiftPrint</t>
        </is>
      </c>
      <c r="H711" s="20" t="n">
        <v>22</v>
      </c>
      <c r="I711" s="22" t="n">
        <v>84010.10000000001</v>
      </c>
      <c r="J711" s="23" t="n">
        <v>0.05</v>
      </c>
      <c r="K711" s="24" t="n">
        <v>1755811.09</v>
      </c>
      <c r="L711" s="24" t="n">
        <v>1044636.17</v>
      </c>
      <c r="M711" s="24" t="n">
        <v>711174.92</v>
      </c>
    </row>
    <row r="712">
      <c r="A712" s="20" t="inlineStr">
        <is>
          <t>ORD-20240711</t>
        </is>
      </c>
      <c r="B712" s="21" t="n">
        <v>45741</v>
      </c>
      <c r="C712" s="20" t="inlineStr">
        <is>
          <t>Central</t>
        </is>
      </c>
      <c r="D712" s="20" t="inlineStr">
        <is>
          <t>Home &amp; Kitchen</t>
        </is>
      </c>
      <c r="E712" s="20" t="inlineStr">
        <is>
          <t>Water Purifier</t>
        </is>
      </c>
      <c r="F712" s="20" t="inlineStr">
        <is>
          <t>Consumer</t>
        </is>
      </c>
      <c r="G712" s="20" t="inlineStr">
        <is>
          <t>Online Guest</t>
        </is>
      </c>
      <c r="H712" s="20" t="n">
        <v>20</v>
      </c>
      <c r="I712" s="22" t="n">
        <v>25293.31</v>
      </c>
      <c r="J712" s="23" t="n">
        <v>0</v>
      </c>
      <c r="K712" s="24" t="n">
        <v>505866.2</v>
      </c>
      <c r="L712" s="24" t="n">
        <v>371491.47</v>
      </c>
      <c r="M712" s="24" t="n">
        <v>134374.73</v>
      </c>
    </row>
    <row r="713">
      <c r="A713" s="20" t="inlineStr">
        <is>
          <t>ORD-20240712</t>
        </is>
      </c>
      <c r="B713" s="21" t="n">
        <v>45742</v>
      </c>
      <c r="C713" s="20" t="inlineStr">
        <is>
          <t>West</t>
        </is>
      </c>
      <c r="D713" s="20" t="inlineStr">
        <is>
          <t>Home &amp; Kitchen</t>
        </is>
      </c>
      <c r="E713" s="20" t="inlineStr">
        <is>
          <t>Mixer Grinder</t>
        </is>
      </c>
      <c r="F713" s="20" t="inlineStr">
        <is>
          <t>Enterprise</t>
        </is>
      </c>
      <c r="G713" s="20" t="inlineStr">
        <is>
          <t>Tech Mahindra</t>
        </is>
      </c>
      <c r="H713" s="20" t="n">
        <v>13</v>
      </c>
      <c r="I713" s="22" t="n">
        <v>14934.94</v>
      </c>
      <c r="J713" s="23" t="n">
        <v>0</v>
      </c>
      <c r="K713" s="24" t="n">
        <v>194154.22</v>
      </c>
      <c r="L713" s="24" t="n">
        <v>115262.68</v>
      </c>
      <c r="M713" s="24" t="n">
        <v>78891.53999999999</v>
      </c>
    </row>
    <row r="714">
      <c r="A714" s="20" t="inlineStr">
        <is>
          <t>ORD-20240713</t>
        </is>
      </c>
      <c r="B714" s="21" t="n">
        <v>45742</v>
      </c>
      <c r="C714" s="20" t="inlineStr">
        <is>
          <t>South</t>
        </is>
      </c>
      <c r="D714" s="20" t="inlineStr">
        <is>
          <t>Office Supplies</t>
        </is>
      </c>
      <c r="E714" s="20" t="inlineStr">
        <is>
          <t>A4 Paper Ream</t>
        </is>
      </c>
      <c r="F714" s="20" t="inlineStr">
        <is>
          <t>SMB</t>
        </is>
      </c>
      <c r="G714" s="20" t="inlineStr">
        <is>
          <t>GreenFarm Agro</t>
        </is>
      </c>
      <c r="H714" s="20" t="n">
        <v>25</v>
      </c>
      <c r="I714" s="22" t="n">
        <v>3477.87</v>
      </c>
      <c r="J714" s="23" t="n">
        <v>0.12</v>
      </c>
      <c r="K714" s="24" t="n">
        <v>76513.14</v>
      </c>
      <c r="L714" s="24" t="n">
        <v>52579.13</v>
      </c>
      <c r="M714" s="24" t="n">
        <v>23934.01</v>
      </c>
    </row>
    <row r="715">
      <c r="A715" s="20" t="inlineStr">
        <is>
          <t>ORD-20240714</t>
        </is>
      </c>
      <c r="B715" s="21" t="n">
        <v>45743</v>
      </c>
      <c r="C715" s="20" t="inlineStr">
        <is>
          <t>West</t>
        </is>
      </c>
      <c r="D715" s="20" t="inlineStr">
        <is>
          <t>Home &amp; Kitchen</t>
        </is>
      </c>
      <c r="E715" s="20" t="inlineStr">
        <is>
          <t>Mixer Grinder</t>
        </is>
      </c>
      <c r="F715" s="20" t="inlineStr">
        <is>
          <t>SMB</t>
        </is>
      </c>
      <c r="G715" s="20" t="inlineStr">
        <is>
          <t>SwiftPrint</t>
        </is>
      </c>
      <c r="H715" s="20" t="n">
        <v>8</v>
      </c>
      <c r="I715" s="22" t="n">
        <v>1851.44</v>
      </c>
      <c r="J715" s="23" t="n">
        <v>0</v>
      </c>
      <c r="K715" s="24" t="n">
        <v>14811.52</v>
      </c>
      <c r="L715" s="24" t="n">
        <v>8796.27</v>
      </c>
      <c r="M715" s="24" t="n">
        <v>6015.25</v>
      </c>
    </row>
    <row r="716">
      <c r="A716" s="20" t="inlineStr">
        <is>
          <t>ORD-20240715</t>
        </is>
      </c>
      <c r="B716" s="21" t="n">
        <v>45744</v>
      </c>
      <c r="C716" s="20" t="inlineStr">
        <is>
          <t>Central</t>
        </is>
      </c>
      <c r="D716" s="20" t="inlineStr">
        <is>
          <t>Electronics</t>
        </is>
      </c>
      <c r="E716" s="20" t="inlineStr">
        <is>
          <t>Laptop Pro 14</t>
        </is>
      </c>
      <c r="F716" s="20" t="inlineStr">
        <is>
          <t>SMB</t>
        </is>
      </c>
      <c r="G716" s="20" t="inlineStr">
        <is>
          <t>CityCare Clinics</t>
        </is>
      </c>
      <c r="H716" s="20" t="n">
        <v>18</v>
      </c>
      <c r="I716" s="22" t="n">
        <v>13417.57</v>
      </c>
      <c r="J716" s="23" t="n">
        <v>0.1</v>
      </c>
      <c r="K716" s="24" t="n">
        <v>217364.63</v>
      </c>
      <c r="L716" s="24" t="n">
        <v>180299.56</v>
      </c>
      <c r="M716" s="24" t="n">
        <v>37065.07</v>
      </c>
    </row>
    <row r="717">
      <c r="A717" s="20" t="inlineStr">
        <is>
          <t>ORD-20240716</t>
        </is>
      </c>
      <c r="B717" s="21" t="n">
        <v>45744</v>
      </c>
      <c r="C717" s="20" t="inlineStr">
        <is>
          <t>North</t>
        </is>
      </c>
      <c r="D717" s="20" t="inlineStr">
        <is>
          <t>Apparel</t>
        </is>
      </c>
      <c r="E717" s="20" t="inlineStr">
        <is>
          <t>Hoodie Soft</t>
        </is>
      </c>
      <c r="F717" s="20" t="inlineStr">
        <is>
          <t>Government</t>
        </is>
      </c>
      <c r="G717" s="20" t="inlineStr">
        <is>
          <t>MH Education Dept</t>
        </is>
      </c>
      <c r="H717" s="20" t="n">
        <v>7</v>
      </c>
      <c r="I717" s="22" t="n">
        <v>3066.65</v>
      </c>
      <c r="J717" s="23" t="n">
        <v>0.15</v>
      </c>
      <c r="K717" s="24" t="n">
        <v>18246.57</v>
      </c>
      <c r="L717" s="24" t="n">
        <v>14046.85</v>
      </c>
      <c r="M717" s="24" t="n">
        <v>4199.72</v>
      </c>
    </row>
    <row r="718">
      <c r="A718" s="20" t="inlineStr">
        <is>
          <t>ORD-20240717</t>
        </is>
      </c>
      <c r="B718" s="21" t="n">
        <v>45745</v>
      </c>
      <c r="C718" s="20" t="inlineStr">
        <is>
          <t>East</t>
        </is>
      </c>
      <c r="D718" s="20" t="inlineStr">
        <is>
          <t>Furniture</t>
        </is>
      </c>
      <c r="E718" s="20" t="inlineStr">
        <is>
          <t>Conference Table</t>
        </is>
      </c>
      <c r="F718" s="20" t="inlineStr">
        <is>
          <t>SMB</t>
        </is>
      </c>
      <c r="G718" s="20" t="inlineStr">
        <is>
          <t>SwiftPrint</t>
        </is>
      </c>
      <c r="H718" s="20" t="n">
        <v>24</v>
      </c>
      <c r="I718" s="22" t="n">
        <v>8933.4</v>
      </c>
      <c r="J718" s="23" t="n">
        <v>0.12</v>
      </c>
      <c r="K718" s="24" t="n">
        <v>188673.41</v>
      </c>
      <c r="L718" s="24" t="n">
        <v>148301.05</v>
      </c>
      <c r="M718" s="24" t="n">
        <v>40372.36</v>
      </c>
    </row>
    <row r="719">
      <c r="A719" s="20" t="inlineStr">
        <is>
          <t>ORD-20240718</t>
        </is>
      </c>
      <c r="B719" s="21" t="n">
        <v>45745</v>
      </c>
      <c r="C719" s="20" t="inlineStr">
        <is>
          <t>West</t>
        </is>
      </c>
      <c r="D719" s="20" t="inlineStr">
        <is>
          <t>Furniture</t>
        </is>
      </c>
      <c r="E719" s="20" t="inlineStr">
        <is>
          <t>Bookshelf Oak</t>
        </is>
      </c>
      <c r="F719" s="20" t="inlineStr">
        <is>
          <t>Enterprise</t>
        </is>
      </c>
      <c r="G719" s="20" t="inlineStr">
        <is>
          <t>Infosys Ltd</t>
        </is>
      </c>
      <c r="H719" s="20" t="n">
        <v>25</v>
      </c>
      <c r="I719" s="22" t="n">
        <v>32874.01</v>
      </c>
      <c r="J719" s="23" t="n">
        <v>0.12</v>
      </c>
      <c r="K719" s="24" t="n">
        <v>723228.22</v>
      </c>
      <c r="L719" s="24" t="n">
        <v>597798.9399999999</v>
      </c>
      <c r="M719" s="24" t="n">
        <v>125429.28</v>
      </c>
    </row>
    <row r="720">
      <c r="A720" s="20" t="inlineStr">
        <is>
          <t>ORD-20240719</t>
        </is>
      </c>
      <c r="B720" s="21" t="n">
        <v>45745</v>
      </c>
      <c r="C720" s="20" t="inlineStr">
        <is>
          <t>South</t>
        </is>
      </c>
      <c r="D720" s="20" t="inlineStr">
        <is>
          <t>Electronics</t>
        </is>
      </c>
      <c r="E720" s="20" t="inlineStr">
        <is>
          <t>Wireless Mouse</t>
        </is>
      </c>
      <c r="F720" s="20" t="inlineStr">
        <is>
          <t>Government</t>
        </is>
      </c>
      <c r="G720" s="20" t="inlineStr">
        <is>
          <t>Municipal Corp Hyd</t>
        </is>
      </c>
      <c r="H720" s="20" t="n">
        <v>11</v>
      </c>
      <c r="I720" s="22" t="n">
        <v>56164.18</v>
      </c>
      <c r="J720" s="23" t="n">
        <v>0.2</v>
      </c>
      <c r="K720" s="24" t="n">
        <v>494244.78</v>
      </c>
      <c r="L720" s="24" t="n">
        <v>481666.08</v>
      </c>
      <c r="M720" s="24" t="n">
        <v>12578.7</v>
      </c>
    </row>
    <row r="721">
      <c r="A721" s="20" t="inlineStr">
        <is>
          <t>ORD-20240720</t>
        </is>
      </c>
      <c r="B721" s="21" t="n">
        <v>45745</v>
      </c>
      <c r="C721" s="20" t="inlineStr">
        <is>
          <t>North</t>
        </is>
      </c>
      <c r="D721" s="20" t="inlineStr">
        <is>
          <t>Home &amp; Kitchen</t>
        </is>
      </c>
      <c r="E721" s="20" t="inlineStr">
        <is>
          <t>Mixer Grinder</t>
        </is>
      </c>
      <c r="F721" s="20" t="inlineStr">
        <is>
          <t>Enterprise</t>
        </is>
      </c>
      <c r="G721" s="20" t="inlineStr">
        <is>
          <t>HCL Services</t>
        </is>
      </c>
      <c r="H721" s="20" t="n">
        <v>4</v>
      </c>
      <c r="I721" s="22" t="n">
        <v>11357.39</v>
      </c>
      <c r="J721" s="23" t="n">
        <v>0.1</v>
      </c>
      <c r="K721" s="24" t="n">
        <v>40886.6</v>
      </c>
      <c r="L721" s="24" t="n">
        <v>33897.77</v>
      </c>
      <c r="M721" s="24" t="n">
        <v>6988.83</v>
      </c>
    </row>
    <row r="722">
      <c r="A722" s="20" t="inlineStr">
        <is>
          <t>ORD-20240721</t>
        </is>
      </c>
      <c r="B722" s="21" t="n">
        <v>45746</v>
      </c>
      <c r="C722" s="20" t="inlineStr">
        <is>
          <t>Central</t>
        </is>
      </c>
      <c r="D722" s="20" t="inlineStr">
        <is>
          <t>Office Supplies</t>
        </is>
      </c>
      <c r="E722" s="20" t="inlineStr">
        <is>
          <t>A4 Paper Ream</t>
        </is>
      </c>
      <c r="F722" s="20" t="inlineStr">
        <is>
          <t>Consumer</t>
        </is>
      </c>
      <c r="G722" s="20" t="inlineStr">
        <is>
          <t>Walk-in Delhi</t>
        </is>
      </c>
      <c r="H722" s="20" t="n">
        <v>1</v>
      </c>
      <c r="I722" s="22" t="n">
        <v>3490.21</v>
      </c>
      <c r="J722" s="23" t="n">
        <v>0.05</v>
      </c>
      <c r="K722" s="24" t="n">
        <v>3315.7</v>
      </c>
      <c r="L722" s="24" t="n">
        <v>2644.09</v>
      </c>
      <c r="M722" s="24" t="n">
        <v>671.61</v>
      </c>
    </row>
    <row r="723">
      <c r="A723" s="20" t="inlineStr">
        <is>
          <t>ORD-20240722</t>
        </is>
      </c>
      <c r="B723" s="21" t="n">
        <v>45748</v>
      </c>
      <c r="C723" s="20" t="inlineStr">
        <is>
          <t>West</t>
        </is>
      </c>
      <c r="D723" s="20" t="inlineStr">
        <is>
          <t>Apparel</t>
        </is>
      </c>
      <c r="E723" s="20" t="inlineStr">
        <is>
          <t>Polo Shirt</t>
        </is>
      </c>
      <c r="F723" s="20" t="inlineStr">
        <is>
          <t>Government</t>
        </is>
      </c>
      <c r="G723" s="20" t="inlineStr">
        <is>
          <t>MH Education Dept</t>
        </is>
      </c>
      <c r="H723" s="20" t="n">
        <v>12</v>
      </c>
      <c r="I723" s="22" t="n">
        <v>1308.17</v>
      </c>
      <c r="J723" s="23" t="n">
        <v>0</v>
      </c>
      <c r="K723" s="24" t="n">
        <v>15698.04</v>
      </c>
      <c r="L723" s="24" t="n">
        <v>9626.76</v>
      </c>
      <c r="M723" s="24" t="n">
        <v>6071.28</v>
      </c>
    </row>
    <row r="724">
      <c r="A724" s="20" t="inlineStr">
        <is>
          <t>ORD-20240723</t>
        </is>
      </c>
      <c r="B724" s="21" t="n">
        <v>45748</v>
      </c>
      <c r="C724" s="20" t="inlineStr">
        <is>
          <t>Central</t>
        </is>
      </c>
      <c r="D724" s="20" t="inlineStr">
        <is>
          <t>Office Supplies</t>
        </is>
      </c>
      <c r="E724" s="20" t="inlineStr">
        <is>
          <t>Whiteboard Kit</t>
        </is>
      </c>
      <c r="F724" s="20" t="inlineStr">
        <is>
          <t>Government</t>
        </is>
      </c>
      <c r="G724" s="20" t="inlineStr">
        <is>
          <t>Delhi NDMC</t>
        </is>
      </c>
      <c r="H724" s="20" t="n">
        <v>22</v>
      </c>
      <c r="I724" s="22" t="n">
        <v>155.44</v>
      </c>
      <c r="J724" s="23" t="n">
        <v>0.1</v>
      </c>
      <c r="K724" s="24" t="n">
        <v>3077.71</v>
      </c>
      <c r="L724" s="24" t="n">
        <v>2265.27</v>
      </c>
      <c r="M724" s="24" t="n">
        <v>812.4400000000001</v>
      </c>
    </row>
    <row r="725">
      <c r="A725" s="20" t="inlineStr">
        <is>
          <t>ORD-20240724</t>
        </is>
      </c>
      <c r="B725" s="21" t="n">
        <v>45748</v>
      </c>
      <c r="C725" s="20" t="inlineStr">
        <is>
          <t>South</t>
        </is>
      </c>
      <c r="D725" s="20" t="inlineStr">
        <is>
          <t>Furniture</t>
        </is>
      </c>
      <c r="E725" s="20" t="inlineStr">
        <is>
          <t>Standing Desk</t>
        </is>
      </c>
      <c r="F725" s="20" t="inlineStr">
        <is>
          <t>SMB</t>
        </is>
      </c>
      <c r="G725" s="20" t="inlineStr">
        <is>
          <t>SwiftPrint</t>
        </is>
      </c>
      <c r="H725" s="20" t="n">
        <v>2</v>
      </c>
      <c r="I725" s="22" t="n">
        <v>20332.22</v>
      </c>
      <c r="J725" s="23" t="n">
        <v>0.05</v>
      </c>
      <c r="K725" s="24" t="n">
        <v>38631.22</v>
      </c>
      <c r="L725" s="24" t="n">
        <v>29194.51</v>
      </c>
      <c r="M725" s="24" t="n">
        <v>9436.709999999999</v>
      </c>
    </row>
    <row r="726">
      <c r="A726" s="20" t="inlineStr">
        <is>
          <t>ORD-20240725</t>
        </is>
      </c>
      <c r="B726" s="21" t="n">
        <v>45748</v>
      </c>
      <c r="C726" s="20" t="inlineStr">
        <is>
          <t>West</t>
        </is>
      </c>
      <c r="D726" s="20" t="inlineStr">
        <is>
          <t>Electronics</t>
        </is>
      </c>
      <c r="E726" s="20" t="inlineStr">
        <is>
          <t>Wireless Mouse</t>
        </is>
      </c>
      <c r="F726" s="20" t="inlineStr">
        <is>
          <t>Enterprise</t>
        </is>
      </c>
      <c r="G726" s="20" t="inlineStr">
        <is>
          <t>Wipro Tech</t>
        </is>
      </c>
      <c r="H726" s="20" t="n">
        <v>22</v>
      </c>
      <c r="I726" s="22" t="n">
        <v>84688.86</v>
      </c>
      <c r="J726" s="23" t="n">
        <v>0.15</v>
      </c>
      <c r="K726" s="24" t="n">
        <v>1583681.68</v>
      </c>
      <c r="L726" s="24" t="n">
        <v>1096750.16</v>
      </c>
      <c r="M726" s="24" t="n">
        <v>486931.52</v>
      </c>
    </row>
    <row r="727">
      <c r="A727" s="20" t="inlineStr">
        <is>
          <t>ORD-20240726</t>
        </is>
      </c>
      <c r="B727" s="21" t="n">
        <v>45749</v>
      </c>
      <c r="C727" s="20" t="inlineStr">
        <is>
          <t>North</t>
        </is>
      </c>
      <c r="D727" s="20" t="inlineStr">
        <is>
          <t>Office Supplies</t>
        </is>
      </c>
      <c r="E727" s="20" t="inlineStr">
        <is>
          <t>Stapler Heavy</t>
        </is>
      </c>
      <c r="F727" s="20" t="inlineStr">
        <is>
          <t>Enterprise</t>
        </is>
      </c>
      <c r="G727" s="20" t="inlineStr">
        <is>
          <t>TCS Digital</t>
        </is>
      </c>
      <c r="H727" s="20" t="n">
        <v>25</v>
      </c>
      <c r="I727" s="22" t="n">
        <v>2312.7</v>
      </c>
      <c r="J727" s="23" t="n">
        <v>0.1</v>
      </c>
      <c r="K727" s="24" t="n">
        <v>52035.75</v>
      </c>
      <c r="L727" s="24" t="n">
        <v>33764.81</v>
      </c>
      <c r="M727" s="24" t="n">
        <v>18270.94</v>
      </c>
    </row>
    <row r="728">
      <c r="A728" s="20" t="inlineStr">
        <is>
          <t>ORD-20240727</t>
        </is>
      </c>
      <c r="B728" s="21" t="n">
        <v>45751</v>
      </c>
      <c r="C728" s="20" t="inlineStr">
        <is>
          <t>North</t>
        </is>
      </c>
      <c r="D728" s="20" t="inlineStr">
        <is>
          <t>Furniture</t>
        </is>
      </c>
      <c r="E728" s="20" t="inlineStr">
        <is>
          <t>Conference Table</t>
        </is>
      </c>
      <c r="F728" s="20" t="inlineStr">
        <is>
          <t>Government</t>
        </is>
      </c>
      <c r="G728" s="20" t="inlineStr">
        <is>
          <t>Railways Zone W</t>
        </is>
      </c>
      <c r="H728" s="20" t="n">
        <v>22</v>
      </c>
      <c r="I728" s="22" t="n">
        <v>33082.39</v>
      </c>
      <c r="J728" s="23" t="n">
        <v>0.15</v>
      </c>
      <c r="K728" s="24" t="n">
        <v>618640.6899999999</v>
      </c>
      <c r="L728" s="24" t="n">
        <v>502508.7</v>
      </c>
      <c r="M728" s="24" t="n">
        <v>116131.99</v>
      </c>
    </row>
    <row r="729">
      <c r="A729" s="20" t="inlineStr">
        <is>
          <t>ORD-20240728</t>
        </is>
      </c>
      <c r="B729" s="21" t="n">
        <v>45752</v>
      </c>
      <c r="C729" s="20" t="inlineStr">
        <is>
          <t>East</t>
        </is>
      </c>
      <c r="D729" s="20" t="inlineStr">
        <is>
          <t>Office Supplies</t>
        </is>
      </c>
      <c r="E729" s="20" t="inlineStr">
        <is>
          <t>A4 Paper Ream</t>
        </is>
      </c>
      <c r="F729" s="20" t="inlineStr">
        <is>
          <t>SMB</t>
        </is>
      </c>
      <c r="G729" s="20" t="inlineStr">
        <is>
          <t>GreenFarm Agro</t>
        </is>
      </c>
      <c r="H729" s="20" t="n">
        <v>25</v>
      </c>
      <c r="I729" s="22" t="n">
        <v>3299.66</v>
      </c>
      <c r="J729" s="23" t="n">
        <v>0.12</v>
      </c>
      <c r="K729" s="24" t="n">
        <v>72592.52</v>
      </c>
      <c r="L729" s="24" t="n">
        <v>49346.79</v>
      </c>
      <c r="M729" s="24" t="n">
        <v>23245.73</v>
      </c>
    </row>
    <row r="730">
      <c r="A730" s="20" t="inlineStr">
        <is>
          <t>ORD-20240729</t>
        </is>
      </c>
      <c r="B730" s="21" t="n">
        <v>45754</v>
      </c>
      <c r="C730" s="20" t="inlineStr">
        <is>
          <t>West</t>
        </is>
      </c>
      <c r="D730" s="20" t="inlineStr">
        <is>
          <t>Office Supplies</t>
        </is>
      </c>
      <c r="E730" s="20" t="inlineStr">
        <is>
          <t>Whiteboard Kit</t>
        </is>
      </c>
      <c r="F730" s="20" t="inlineStr">
        <is>
          <t>Enterprise</t>
        </is>
      </c>
      <c r="G730" s="20" t="inlineStr">
        <is>
          <t>HCL Services</t>
        </is>
      </c>
      <c r="H730" s="20" t="n">
        <v>23</v>
      </c>
      <c r="I730" s="22" t="n">
        <v>1885.07</v>
      </c>
      <c r="J730" s="23" t="n">
        <v>0.2</v>
      </c>
      <c r="K730" s="24" t="n">
        <v>34685.29</v>
      </c>
      <c r="L730" s="24" t="n">
        <v>32815.48</v>
      </c>
      <c r="M730" s="24" t="n">
        <v>1869.81</v>
      </c>
    </row>
    <row r="731">
      <c r="A731" s="20" t="inlineStr">
        <is>
          <t>ORD-20240730</t>
        </is>
      </c>
      <c r="B731" s="21" t="n">
        <v>45755</v>
      </c>
      <c r="C731" s="20" t="inlineStr">
        <is>
          <t>Central</t>
        </is>
      </c>
      <c r="D731" s="20" t="inlineStr">
        <is>
          <t>Home &amp; Kitchen</t>
        </is>
      </c>
      <c r="E731" s="20" t="inlineStr">
        <is>
          <t>Coffee Maker</t>
        </is>
      </c>
      <c r="F731" s="20" t="inlineStr">
        <is>
          <t>SMB</t>
        </is>
      </c>
      <c r="G731" s="20" t="inlineStr">
        <is>
          <t>GreenFarm Agro</t>
        </is>
      </c>
      <c r="H731" s="20" t="n">
        <v>25</v>
      </c>
      <c r="I731" s="22" t="n">
        <v>15856</v>
      </c>
      <c r="J731" s="23" t="n">
        <v>0.05</v>
      </c>
      <c r="K731" s="24" t="n">
        <v>376580</v>
      </c>
      <c r="L731" s="24" t="n">
        <v>250842.7</v>
      </c>
      <c r="M731" s="24" t="n">
        <v>125737.3</v>
      </c>
    </row>
    <row r="732">
      <c r="A732" s="20" t="inlineStr">
        <is>
          <t>ORD-20240731</t>
        </is>
      </c>
      <c r="B732" s="21" t="n">
        <v>45756</v>
      </c>
      <c r="C732" s="20" t="inlineStr">
        <is>
          <t>North</t>
        </is>
      </c>
      <c r="D732" s="20" t="inlineStr">
        <is>
          <t>Furniture</t>
        </is>
      </c>
      <c r="E732" s="20" t="inlineStr">
        <is>
          <t>Ergo Chair</t>
        </is>
      </c>
      <c r="F732" s="20" t="inlineStr">
        <is>
          <t>Consumer</t>
        </is>
      </c>
      <c r="G732" s="20" t="inlineStr">
        <is>
          <t>App User North</t>
        </is>
      </c>
      <c r="H732" s="20" t="n">
        <v>4</v>
      </c>
      <c r="I732" s="22" t="n">
        <v>6630.66</v>
      </c>
      <c r="J732" s="23" t="n">
        <v>0.2</v>
      </c>
      <c r="K732" s="24" t="n">
        <v>21218.11</v>
      </c>
      <c r="L732" s="24" t="n">
        <v>15415.03</v>
      </c>
      <c r="M732" s="24" t="n">
        <v>5803.08</v>
      </c>
    </row>
    <row r="733">
      <c r="A733" s="20" t="inlineStr">
        <is>
          <t>ORD-20240732</t>
        </is>
      </c>
      <c r="B733" s="21" t="n">
        <v>45756</v>
      </c>
      <c r="C733" s="20" t="inlineStr">
        <is>
          <t>Central</t>
        </is>
      </c>
      <c r="D733" s="20" t="inlineStr">
        <is>
          <t>Furniture</t>
        </is>
      </c>
      <c r="E733" s="20" t="inlineStr">
        <is>
          <t>Bookshelf Oak</t>
        </is>
      </c>
      <c r="F733" s="20" t="inlineStr">
        <is>
          <t>Enterprise</t>
        </is>
      </c>
      <c r="G733" s="20" t="inlineStr">
        <is>
          <t>Wipro Tech</t>
        </is>
      </c>
      <c r="H733" s="20" t="n">
        <v>14</v>
      </c>
      <c r="I733" s="22" t="n">
        <v>28089.93</v>
      </c>
      <c r="J733" s="23" t="n">
        <v>0.2</v>
      </c>
      <c r="K733" s="24" t="n">
        <v>314607.22</v>
      </c>
      <c r="L733" s="24" t="n">
        <v>283024.85</v>
      </c>
      <c r="M733" s="24" t="n">
        <v>31582.37</v>
      </c>
    </row>
    <row r="734">
      <c r="A734" s="20" t="inlineStr">
        <is>
          <t>ORD-20240733</t>
        </is>
      </c>
      <c r="B734" s="21" t="n">
        <v>45757</v>
      </c>
      <c r="C734" s="20" t="inlineStr">
        <is>
          <t>North</t>
        </is>
      </c>
      <c r="D734" s="20" t="inlineStr">
        <is>
          <t>Furniture</t>
        </is>
      </c>
      <c r="E734" s="20" t="inlineStr">
        <is>
          <t>Conference Table</t>
        </is>
      </c>
      <c r="F734" s="20" t="inlineStr">
        <is>
          <t>SMB</t>
        </is>
      </c>
      <c r="G734" s="20" t="inlineStr">
        <is>
          <t>GreenFarm Agro</t>
        </is>
      </c>
      <c r="H734" s="20" t="n">
        <v>1</v>
      </c>
      <c r="I734" s="22" t="n">
        <v>44375.63</v>
      </c>
      <c r="J734" s="23" t="n">
        <v>0.05</v>
      </c>
      <c r="K734" s="24" t="n">
        <v>42156.85</v>
      </c>
      <c r="L734" s="24" t="n">
        <v>33863.01</v>
      </c>
      <c r="M734" s="24" t="n">
        <v>8293.84</v>
      </c>
    </row>
    <row r="735">
      <c r="A735" s="20" t="inlineStr">
        <is>
          <t>ORD-20240734</t>
        </is>
      </c>
      <c r="B735" s="21" t="n">
        <v>45757</v>
      </c>
      <c r="C735" s="20" t="inlineStr">
        <is>
          <t>West</t>
        </is>
      </c>
      <c r="D735" s="20" t="inlineStr">
        <is>
          <t>Electronics</t>
        </is>
      </c>
      <c r="E735" s="20" t="inlineStr">
        <is>
          <t>Laptop Pro 14</t>
        </is>
      </c>
      <c r="F735" s="20" t="inlineStr">
        <is>
          <t>SMB</t>
        </is>
      </c>
      <c r="G735" s="20" t="inlineStr">
        <is>
          <t>GreenFarm Agro</t>
        </is>
      </c>
      <c r="H735" s="20" t="n">
        <v>6</v>
      </c>
      <c r="I735" s="22" t="n">
        <v>5033.97</v>
      </c>
      <c r="J735" s="23" t="n">
        <v>0.12</v>
      </c>
      <c r="K735" s="24" t="n">
        <v>26579.36</v>
      </c>
      <c r="L735" s="24" t="n">
        <v>18886.18</v>
      </c>
      <c r="M735" s="24" t="n">
        <v>7693.18</v>
      </c>
    </row>
    <row r="736">
      <c r="A736" s="20" t="inlineStr">
        <is>
          <t>ORD-20240735</t>
        </is>
      </c>
      <c r="B736" s="21" t="n">
        <v>45757</v>
      </c>
      <c r="C736" s="20" t="inlineStr">
        <is>
          <t>East</t>
        </is>
      </c>
      <c r="D736" s="20" t="inlineStr">
        <is>
          <t>Office Supplies</t>
        </is>
      </c>
      <c r="E736" s="20" t="inlineStr">
        <is>
          <t>Notebook Set</t>
        </is>
      </c>
      <c r="F736" s="20" t="inlineStr">
        <is>
          <t>Enterprise</t>
        </is>
      </c>
      <c r="G736" s="20" t="inlineStr">
        <is>
          <t>HCL Services</t>
        </is>
      </c>
      <c r="H736" s="20" t="n">
        <v>9</v>
      </c>
      <c r="I736" s="22" t="n">
        <v>704.84</v>
      </c>
      <c r="J736" s="23" t="n">
        <v>0</v>
      </c>
      <c r="K736" s="24" t="n">
        <v>6343.56</v>
      </c>
      <c r="L736" s="24" t="n">
        <v>4873.58</v>
      </c>
      <c r="M736" s="24" t="n">
        <v>1469.98</v>
      </c>
    </row>
    <row r="737">
      <c r="A737" s="20" t="inlineStr">
        <is>
          <t>ORD-20240736</t>
        </is>
      </c>
      <c r="B737" s="21" t="n">
        <v>45757</v>
      </c>
      <c r="C737" s="20" t="inlineStr">
        <is>
          <t>North</t>
        </is>
      </c>
      <c r="D737" s="20" t="inlineStr">
        <is>
          <t>Apparel</t>
        </is>
      </c>
      <c r="E737" s="20" t="inlineStr">
        <is>
          <t>Safety Vest</t>
        </is>
      </c>
      <c r="F737" s="20" t="inlineStr">
        <is>
          <t>Consumer</t>
        </is>
      </c>
      <c r="G737" s="20" t="inlineStr">
        <is>
          <t>Online Guest</t>
        </is>
      </c>
      <c r="H737" s="20" t="n">
        <v>20</v>
      </c>
      <c r="I737" s="22" t="n">
        <v>2584.59</v>
      </c>
      <c r="J737" s="23" t="n">
        <v>0.15</v>
      </c>
      <c r="K737" s="24" t="n">
        <v>43938.03</v>
      </c>
      <c r="L737" s="24" t="n">
        <v>29789.73</v>
      </c>
      <c r="M737" s="24" t="n">
        <v>14148.3</v>
      </c>
    </row>
    <row r="738">
      <c r="A738" s="20" t="inlineStr">
        <is>
          <t>ORD-20240737</t>
        </is>
      </c>
      <c r="B738" s="21" t="n">
        <v>45757</v>
      </c>
      <c r="C738" s="20" t="inlineStr">
        <is>
          <t>West</t>
        </is>
      </c>
      <c r="D738" s="20" t="inlineStr">
        <is>
          <t>Home &amp; Kitchen</t>
        </is>
      </c>
      <c r="E738" s="20" t="inlineStr">
        <is>
          <t>Air Fryer</t>
        </is>
      </c>
      <c r="F738" s="20" t="inlineStr">
        <is>
          <t>Enterprise</t>
        </is>
      </c>
      <c r="G738" s="20" t="inlineStr">
        <is>
          <t>L&amp;T Infotech</t>
        </is>
      </c>
      <c r="H738" s="20" t="n">
        <v>10</v>
      </c>
      <c r="I738" s="22" t="n">
        <v>23995.89</v>
      </c>
      <c r="J738" s="23" t="n">
        <v>0.05</v>
      </c>
      <c r="K738" s="24" t="n">
        <v>227960.95</v>
      </c>
      <c r="L738" s="24" t="n">
        <v>144278.23</v>
      </c>
      <c r="M738" s="24" t="n">
        <v>83682.72</v>
      </c>
    </row>
    <row r="739">
      <c r="A739" s="20" t="inlineStr">
        <is>
          <t>ORD-20240738</t>
        </is>
      </c>
      <c r="B739" s="21" t="n">
        <v>45757</v>
      </c>
      <c r="C739" s="20" t="inlineStr">
        <is>
          <t>South</t>
        </is>
      </c>
      <c r="D739" s="20" t="inlineStr">
        <is>
          <t>Office Supplies</t>
        </is>
      </c>
      <c r="E739" s="20" t="inlineStr">
        <is>
          <t>Stapler Heavy</t>
        </is>
      </c>
      <c r="F739" s="20" t="inlineStr">
        <is>
          <t>Enterprise</t>
        </is>
      </c>
      <c r="G739" s="20" t="inlineStr">
        <is>
          <t>Tech Mahindra</t>
        </is>
      </c>
      <c r="H739" s="20" t="n">
        <v>17</v>
      </c>
      <c r="I739" s="22" t="n">
        <v>2471.33</v>
      </c>
      <c r="J739" s="23" t="n">
        <v>0</v>
      </c>
      <c r="K739" s="24" t="n">
        <v>42012.61</v>
      </c>
      <c r="L739" s="24" t="n">
        <v>27295.41</v>
      </c>
      <c r="M739" s="24" t="n">
        <v>14717.2</v>
      </c>
    </row>
    <row r="740">
      <c r="A740" s="20" t="inlineStr">
        <is>
          <t>ORD-20240739</t>
        </is>
      </c>
      <c r="B740" s="21" t="n">
        <v>45759</v>
      </c>
      <c r="C740" s="20" t="inlineStr">
        <is>
          <t>North</t>
        </is>
      </c>
      <c r="D740" s="20" t="inlineStr">
        <is>
          <t>Home &amp; Kitchen</t>
        </is>
      </c>
      <c r="E740" s="20" t="inlineStr">
        <is>
          <t>Coffee Maker</t>
        </is>
      </c>
      <c r="F740" s="20" t="inlineStr">
        <is>
          <t>Government</t>
        </is>
      </c>
      <c r="G740" s="20" t="inlineStr">
        <is>
          <t>Railways Zone W</t>
        </is>
      </c>
      <c r="H740" s="20" t="n">
        <v>19</v>
      </c>
      <c r="I740" s="22" t="n">
        <v>9076.459999999999</v>
      </c>
      <c r="J740" s="23" t="n">
        <v>0.12</v>
      </c>
      <c r="K740" s="24" t="n">
        <v>151758.41</v>
      </c>
      <c r="L740" s="24" t="n">
        <v>122229.69</v>
      </c>
      <c r="M740" s="24" t="n">
        <v>29528.72</v>
      </c>
    </row>
    <row r="741">
      <c r="A741" s="20" t="inlineStr">
        <is>
          <t>ORD-20240740</t>
        </is>
      </c>
      <c r="B741" s="21" t="n">
        <v>45760</v>
      </c>
      <c r="C741" s="20" t="inlineStr">
        <is>
          <t>East</t>
        </is>
      </c>
      <c r="D741" s="20" t="inlineStr">
        <is>
          <t>Home &amp; Kitchen</t>
        </is>
      </c>
      <c r="E741" s="20" t="inlineStr">
        <is>
          <t>Air Fryer</t>
        </is>
      </c>
      <c r="F741" s="20" t="inlineStr">
        <is>
          <t>Government</t>
        </is>
      </c>
      <c r="G741" s="20" t="inlineStr">
        <is>
          <t>Municipal Corp Hyd</t>
        </is>
      </c>
      <c r="H741" s="20" t="n">
        <v>18</v>
      </c>
      <c r="I741" s="22" t="n">
        <v>3375.65</v>
      </c>
      <c r="J741" s="23" t="n">
        <v>0.05</v>
      </c>
      <c r="K741" s="24" t="n">
        <v>57723.61</v>
      </c>
      <c r="L741" s="24" t="n">
        <v>40415.63</v>
      </c>
      <c r="M741" s="24" t="n">
        <v>17307.98</v>
      </c>
    </row>
    <row r="742">
      <c r="A742" s="20" t="inlineStr">
        <is>
          <t>ORD-20240741</t>
        </is>
      </c>
      <c r="B742" s="21" t="n">
        <v>45761</v>
      </c>
      <c r="C742" s="20" t="inlineStr">
        <is>
          <t>East</t>
        </is>
      </c>
      <c r="D742" s="20" t="inlineStr">
        <is>
          <t>Electronics</t>
        </is>
      </c>
      <c r="E742" s="20" t="inlineStr">
        <is>
          <t>Webcam HD</t>
        </is>
      </c>
      <c r="F742" s="20" t="inlineStr">
        <is>
          <t>Consumer</t>
        </is>
      </c>
      <c r="G742" s="20" t="inlineStr">
        <is>
          <t>App User North</t>
        </is>
      </c>
      <c r="H742" s="20" t="n">
        <v>13</v>
      </c>
      <c r="I742" s="22" t="n">
        <v>48218.8</v>
      </c>
      <c r="J742" s="23" t="n">
        <v>0.05</v>
      </c>
      <c r="K742" s="24" t="n">
        <v>595502.1800000001</v>
      </c>
      <c r="L742" s="24" t="n">
        <v>453972.53</v>
      </c>
      <c r="M742" s="24" t="n">
        <v>141529.65</v>
      </c>
    </row>
    <row r="743">
      <c r="A743" s="20" t="inlineStr">
        <is>
          <t>ORD-20240742</t>
        </is>
      </c>
      <c r="B743" s="21" t="n">
        <v>45761</v>
      </c>
      <c r="C743" s="20" t="inlineStr">
        <is>
          <t>Central</t>
        </is>
      </c>
      <c r="D743" s="20" t="inlineStr">
        <is>
          <t>Furniture</t>
        </is>
      </c>
      <c r="E743" s="20" t="inlineStr">
        <is>
          <t>Standing Desk</t>
        </is>
      </c>
      <c r="F743" s="20" t="inlineStr">
        <is>
          <t>Government</t>
        </is>
      </c>
      <c r="G743" s="20" t="inlineStr">
        <is>
          <t>MH Education Dept</t>
        </is>
      </c>
      <c r="H743" s="20" t="n">
        <v>5</v>
      </c>
      <c r="I743" s="22" t="n">
        <v>36575.17</v>
      </c>
      <c r="J743" s="23" t="n">
        <v>0.12</v>
      </c>
      <c r="K743" s="24" t="n">
        <v>160930.75</v>
      </c>
      <c r="L743" s="24" t="n">
        <v>139194.97</v>
      </c>
      <c r="M743" s="24" t="n">
        <v>21735.78</v>
      </c>
    </row>
    <row r="744">
      <c r="A744" s="20" t="inlineStr">
        <is>
          <t>ORD-20240743</t>
        </is>
      </c>
      <c r="B744" s="21" t="n">
        <v>45761</v>
      </c>
      <c r="C744" s="20" t="inlineStr">
        <is>
          <t>West</t>
        </is>
      </c>
      <c r="D744" s="20" t="inlineStr">
        <is>
          <t>Office Supplies</t>
        </is>
      </c>
      <c r="E744" s="20" t="inlineStr">
        <is>
          <t>Stapler Heavy</t>
        </is>
      </c>
      <c r="F744" s="20" t="inlineStr">
        <is>
          <t>Government</t>
        </is>
      </c>
      <c r="G744" s="20" t="inlineStr">
        <is>
          <t>Railways Zone W</t>
        </is>
      </c>
      <c r="H744" s="20" t="n">
        <v>18</v>
      </c>
      <c r="I744" s="22" t="n">
        <v>937.8200000000001</v>
      </c>
      <c r="J744" s="23" t="n">
        <v>0.15</v>
      </c>
      <c r="K744" s="24" t="n">
        <v>14348.65</v>
      </c>
      <c r="L744" s="24" t="n">
        <v>10268.79</v>
      </c>
      <c r="M744" s="24" t="n">
        <v>4079.86</v>
      </c>
    </row>
    <row r="745">
      <c r="A745" s="20" t="inlineStr">
        <is>
          <t>ORD-20240744</t>
        </is>
      </c>
      <c r="B745" s="21" t="n">
        <v>45761</v>
      </c>
      <c r="C745" s="20" t="inlineStr">
        <is>
          <t>Central</t>
        </is>
      </c>
      <c r="D745" s="20" t="inlineStr">
        <is>
          <t>Electronics</t>
        </is>
      </c>
      <c r="E745" s="20" t="inlineStr">
        <is>
          <t>Keyboard Mech</t>
        </is>
      </c>
      <c r="F745" s="20" t="inlineStr">
        <is>
          <t>Government</t>
        </is>
      </c>
      <c r="G745" s="20" t="inlineStr">
        <is>
          <t>Delhi NDMC</t>
        </is>
      </c>
      <c r="H745" s="20" t="n">
        <v>12</v>
      </c>
      <c r="I745" s="22" t="n">
        <v>81867.47</v>
      </c>
      <c r="J745" s="23" t="n">
        <v>0.15</v>
      </c>
      <c r="K745" s="24" t="n">
        <v>835048.1899999999</v>
      </c>
      <c r="L745" s="24" t="n">
        <v>739712.77</v>
      </c>
      <c r="M745" s="24" t="n">
        <v>95335.42</v>
      </c>
    </row>
    <row r="746">
      <c r="A746" s="20" t="inlineStr">
        <is>
          <t>ORD-20240745</t>
        </is>
      </c>
      <c r="B746" s="21" t="n">
        <v>45763</v>
      </c>
      <c r="C746" s="20" t="inlineStr">
        <is>
          <t>South</t>
        </is>
      </c>
      <c r="D746" s="20" t="inlineStr">
        <is>
          <t>Furniture</t>
        </is>
      </c>
      <c r="E746" s="20" t="inlineStr">
        <is>
          <t>Bookshelf Oak</t>
        </is>
      </c>
      <c r="F746" s="20" t="inlineStr">
        <is>
          <t>Enterprise</t>
        </is>
      </c>
      <c r="G746" s="20" t="inlineStr">
        <is>
          <t>HCL Services</t>
        </is>
      </c>
      <c r="H746" s="20" t="n">
        <v>2</v>
      </c>
      <c r="I746" s="22" t="n">
        <v>38990.21</v>
      </c>
      <c r="J746" s="23" t="n">
        <v>0.05</v>
      </c>
      <c r="K746" s="24" t="n">
        <v>74081.39999999999</v>
      </c>
      <c r="L746" s="24" t="n">
        <v>46468.67</v>
      </c>
      <c r="M746" s="24" t="n">
        <v>27612.73</v>
      </c>
    </row>
    <row r="747">
      <c r="A747" s="20" t="inlineStr">
        <is>
          <t>ORD-20240746</t>
        </is>
      </c>
      <c r="B747" s="21" t="n">
        <v>45764</v>
      </c>
      <c r="C747" s="20" t="inlineStr">
        <is>
          <t>South</t>
        </is>
      </c>
      <c r="D747" s="20" t="inlineStr">
        <is>
          <t>Apparel</t>
        </is>
      </c>
      <c r="E747" s="20" t="inlineStr">
        <is>
          <t>Formal Blazer</t>
        </is>
      </c>
      <c r="F747" s="20" t="inlineStr">
        <is>
          <t>SMB</t>
        </is>
      </c>
      <c r="G747" s="20" t="inlineStr">
        <is>
          <t>GreenFarm Agro</t>
        </is>
      </c>
      <c r="H747" s="20" t="n">
        <v>8</v>
      </c>
      <c r="I747" s="22" t="n">
        <v>2723.38</v>
      </c>
      <c r="J747" s="23" t="n">
        <v>0.2</v>
      </c>
      <c r="K747" s="24" t="n">
        <v>17429.63</v>
      </c>
      <c r="L747" s="24" t="n">
        <v>15779.33</v>
      </c>
      <c r="M747" s="24" t="n">
        <v>1650.3</v>
      </c>
    </row>
    <row r="748">
      <c r="A748" s="20" t="inlineStr">
        <is>
          <t>ORD-20240747</t>
        </is>
      </c>
      <c r="B748" s="21" t="n">
        <v>45765</v>
      </c>
      <c r="C748" s="20" t="inlineStr">
        <is>
          <t>South</t>
        </is>
      </c>
      <c r="D748" s="20" t="inlineStr">
        <is>
          <t>Apparel</t>
        </is>
      </c>
      <c r="E748" s="20" t="inlineStr">
        <is>
          <t>Polo Shirt</t>
        </is>
      </c>
      <c r="F748" s="20" t="inlineStr">
        <is>
          <t>Government</t>
        </is>
      </c>
      <c r="G748" s="20" t="inlineStr">
        <is>
          <t>MH Education Dept</t>
        </is>
      </c>
      <c r="H748" s="20" t="n">
        <v>21</v>
      </c>
      <c r="I748" s="22" t="n">
        <v>2463.9</v>
      </c>
      <c r="J748" s="23" t="n">
        <v>0.2</v>
      </c>
      <c r="K748" s="24" t="n">
        <v>41393.52</v>
      </c>
      <c r="L748" s="24" t="n">
        <v>39120.17</v>
      </c>
      <c r="M748" s="24" t="n">
        <v>2273.35</v>
      </c>
    </row>
    <row r="749">
      <c r="A749" s="20" t="inlineStr">
        <is>
          <t>ORD-20240748</t>
        </is>
      </c>
      <c r="B749" s="21" t="n">
        <v>45765</v>
      </c>
      <c r="C749" s="20" t="inlineStr">
        <is>
          <t>North</t>
        </is>
      </c>
      <c r="D749" s="20" t="inlineStr">
        <is>
          <t>Home &amp; Kitchen</t>
        </is>
      </c>
      <c r="E749" s="20" t="inlineStr">
        <is>
          <t>Coffee Maker</t>
        </is>
      </c>
      <c r="F749" s="20" t="inlineStr">
        <is>
          <t>Enterprise</t>
        </is>
      </c>
      <c r="G749" s="20" t="inlineStr">
        <is>
          <t>Tech Mahindra</t>
        </is>
      </c>
      <c r="H749" s="20" t="n">
        <v>21</v>
      </c>
      <c r="I749" s="22" t="n">
        <v>17523.7</v>
      </c>
      <c r="J749" s="23" t="n">
        <v>0.05</v>
      </c>
      <c r="K749" s="24" t="n">
        <v>349597.82</v>
      </c>
      <c r="L749" s="24" t="n">
        <v>279153.6</v>
      </c>
      <c r="M749" s="24" t="n">
        <v>70444.22</v>
      </c>
    </row>
    <row r="750">
      <c r="A750" s="20" t="inlineStr">
        <is>
          <t>ORD-20240749</t>
        </is>
      </c>
      <c r="B750" s="21" t="n">
        <v>45766</v>
      </c>
      <c r="C750" s="20" t="inlineStr">
        <is>
          <t>South</t>
        </is>
      </c>
      <c r="D750" s="20" t="inlineStr">
        <is>
          <t>Electronics</t>
        </is>
      </c>
      <c r="E750" s="20" t="inlineStr">
        <is>
          <t>Monitor 27in</t>
        </is>
      </c>
      <c r="F750" s="20" t="inlineStr">
        <is>
          <t>Consumer</t>
        </is>
      </c>
      <c r="G750" s="20" t="inlineStr">
        <is>
          <t>App User North</t>
        </is>
      </c>
      <c r="H750" s="20" t="n">
        <v>10</v>
      </c>
      <c r="I750" s="22" t="n">
        <v>66958.07000000001</v>
      </c>
      <c r="J750" s="23" t="n">
        <v>0.15</v>
      </c>
      <c r="K750" s="24" t="n">
        <v>569143.6</v>
      </c>
      <c r="L750" s="24" t="n">
        <v>521959.31</v>
      </c>
      <c r="M750" s="24" t="n">
        <v>47184.29</v>
      </c>
    </row>
    <row r="751">
      <c r="A751" s="20" t="inlineStr">
        <is>
          <t>ORD-20240750</t>
        </is>
      </c>
      <c r="B751" s="21" t="n">
        <v>45767</v>
      </c>
      <c r="C751" s="20" t="inlineStr">
        <is>
          <t>South</t>
        </is>
      </c>
      <c r="D751" s="20" t="inlineStr">
        <is>
          <t>Apparel</t>
        </is>
      </c>
      <c r="E751" s="20" t="inlineStr">
        <is>
          <t>Formal Blazer</t>
        </is>
      </c>
      <c r="F751" s="20" t="inlineStr">
        <is>
          <t>Government</t>
        </is>
      </c>
      <c r="G751" s="20" t="inlineStr">
        <is>
          <t>Delhi NDMC</t>
        </is>
      </c>
      <c r="H751" s="20" t="n">
        <v>18</v>
      </c>
      <c r="I751" s="22" t="n">
        <v>1470.23</v>
      </c>
      <c r="J751" s="23" t="n">
        <v>0</v>
      </c>
      <c r="K751" s="24" t="n">
        <v>26464.14</v>
      </c>
      <c r="L751" s="24" t="n">
        <v>17333.65</v>
      </c>
      <c r="M751" s="24" t="n">
        <v>9130.49</v>
      </c>
    </row>
    <row r="752">
      <c r="A752" s="20" t="inlineStr">
        <is>
          <t>ORD-20240751</t>
        </is>
      </c>
      <c r="B752" s="21" t="n">
        <v>45767</v>
      </c>
      <c r="C752" s="20" t="inlineStr">
        <is>
          <t>Central</t>
        </is>
      </c>
      <c r="D752" s="20" t="inlineStr">
        <is>
          <t>Furniture</t>
        </is>
      </c>
      <c r="E752" s="20" t="inlineStr">
        <is>
          <t>Standing Desk</t>
        </is>
      </c>
      <c r="F752" s="20" t="inlineStr">
        <is>
          <t>Consumer</t>
        </is>
      </c>
      <c r="G752" s="20" t="inlineStr">
        <is>
          <t>Walk-in Delhi</t>
        </is>
      </c>
      <c r="H752" s="20" t="n">
        <v>21</v>
      </c>
      <c r="I752" s="22" t="n">
        <v>13736.81</v>
      </c>
      <c r="J752" s="23" t="n">
        <v>0</v>
      </c>
      <c r="K752" s="24" t="n">
        <v>288473.01</v>
      </c>
      <c r="L752" s="24" t="n">
        <v>162145.01</v>
      </c>
      <c r="M752" s="24" t="n">
        <v>126328</v>
      </c>
    </row>
    <row r="753">
      <c r="A753" s="20" t="inlineStr">
        <is>
          <t>ORD-20240752</t>
        </is>
      </c>
      <c r="B753" s="21" t="n">
        <v>45767</v>
      </c>
      <c r="C753" s="20" t="inlineStr">
        <is>
          <t>North</t>
        </is>
      </c>
      <c r="D753" s="20" t="inlineStr">
        <is>
          <t>Furniture</t>
        </is>
      </c>
      <c r="E753" s="20" t="inlineStr">
        <is>
          <t>Conference Table</t>
        </is>
      </c>
      <c r="F753" s="20" t="inlineStr">
        <is>
          <t>Enterprise</t>
        </is>
      </c>
      <c r="G753" s="20" t="inlineStr">
        <is>
          <t>Wipro Tech</t>
        </is>
      </c>
      <c r="H753" s="20" t="n">
        <v>4</v>
      </c>
      <c r="I753" s="22" t="n">
        <v>32636.73</v>
      </c>
      <c r="J753" s="23" t="n">
        <v>0</v>
      </c>
      <c r="K753" s="24" t="n">
        <v>130546.92</v>
      </c>
      <c r="L753" s="24" t="n">
        <v>81622.55</v>
      </c>
      <c r="M753" s="24" t="n">
        <v>48924.37</v>
      </c>
    </row>
    <row r="754">
      <c r="A754" s="20" t="inlineStr">
        <is>
          <t>ORD-20240753</t>
        </is>
      </c>
      <c r="B754" s="21" t="n">
        <v>45770</v>
      </c>
      <c r="C754" s="20" t="inlineStr">
        <is>
          <t>South</t>
        </is>
      </c>
      <c r="D754" s="20" t="inlineStr">
        <is>
          <t>Furniture</t>
        </is>
      </c>
      <c r="E754" s="20" t="inlineStr">
        <is>
          <t>Ergo Chair</t>
        </is>
      </c>
      <c r="F754" s="20" t="inlineStr">
        <is>
          <t>SMB</t>
        </is>
      </c>
      <c r="G754" s="20" t="inlineStr">
        <is>
          <t>Nova Logistics</t>
        </is>
      </c>
      <c r="H754" s="20" t="n">
        <v>16</v>
      </c>
      <c r="I754" s="22" t="n">
        <v>3617.07</v>
      </c>
      <c r="J754" s="23" t="n">
        <v>0.2</v>
      </c>
      <c r="K754" s="24" t="n">
        <v>46298.5</v>
      </c>
      <c r="L754" s="24" t="n">
        <v>39447.7</v>
      </c>
      <c r="M754" s="24" t="n">
        <v>6850.8</v>
      </c>
    </row>
    <row r="755">
      <c r="A755" s="20" t="inlineStr">
        <is>
          <t>ORD-20240754</t>
        </is>
      </c>
      <c r="B755" s="21" t="n">
        <v>45770</v>
      </c>
      <c r="C755" s="20" t="inlineStr">
        <is>
          <t>South</t>
        </is>
      </c>
      <c r="D755" s="20" t="inlineStr">
        <is>
          <t>Office Supplies</t>
        </is>
      </c>
      <c r="E755" s="20" t="inlineStr">
        <is>
          <t>Gel Pen Pack</t>
        </is>
      </c>
      <c r="F755" s="20" t="inlineStr">
        <is>
          <t>SMB</t>
        </is>
      </c>
      <c r="G755" s="20" t="inlineStr">
        <is>
          <t>BrightRetail Co</t>
        </is>
      </c>
      <c r="H755" s="20" t="n">
        <v>11</v>
      </c>
      <c r="I755" s="22" t="n">
        <v>703.28</v>
      </c>
      <c r="J755" s="23" t="n">
        <v>0.15</v>
      </c>
      <c r="K755" s="24" t="n">
        <v>6575.67</v>
      </c>
      <c r="L755" s="24" t="n">
        <v>5491.07</v>
      </c>
      <c r="M755" s="24" t="n">
        <v>1084.6</v>
      </c>
    </row>
    <row r="756">
      <c r="A756" s="20" t="inlineStr">
        <is>
          <t>ORD-20240755</t>
        </is>
      </c>
      <c r="B756" s="21" t="n">
        <v>45770</v>
      </c>
      <c r="C756" s="20" t="inlineStr">
        <is>
          <t>East</t>
        </is>
      </c>
      <c r="D756" s="20" t="inlineStr">
        <is>
          <t>Apparel</t>
        </is>
      </c>
      <c r="E756" s="20" t="inlineStr">
        <is>
          <t>Hoodie Soft</t>
        </is>
      </c>
      <c r="F756" s="20" t="inlineStr">
        <is>
          <t>SMB</t>
        </is>
      </c>
      <c r="G756" s="20" t="inlineStr">
        <is>
          <t>CityCare Clinics</t>
        </is>
      </c>
      <c r="H756" s="20" t="n">
        <v>2</v>
      </c>
      <c r="I756" s="22" t="n">
        <v>2485.69</v>
      </c>
      <c r="J756" s="23" t="n">
        <v>0.1</v>
      </c>
      <c r="K756" s="24" t="n">
        <v>4474.24</v>
      </c>
      <c r="L756" s="24" t="n">
        <v>3221.47</v>
      </c>
      <c r="M756" s="24" t="n">
        <v>1252.77</v>
      </c>
    </row>
    <row r="757">
      <c r="A757" s="20" t="inlineStr">
        <is>
          <t>ORD-20240756</t>
        </is>
      </c>
      <c r="B757" s="21" t="n">
        <v>45771</v>
      </c>
      <c r="C757" s="20" t="inlineStr">
        <is>
          <t>South</t>
        </is>
      </c>
      <c r="D757" s="20" t="inlineStr">
        <is>
          <t>Electronics</t>
        </is>
      </c>
      <c r="E757" s="20" t="inlineStr">
        <is>
          <t>Laptop Pro 14</t>
        </is>
      </c>
      <c r="F757" s="20" t="inlineStr">
        <is>
          <t>SMB</t>
        </is>
      </c>
      <c r="G757" s="20" t="inlineStr">
        <is>
          <t>SwiftPrint</t>
        </is>
      </c>
      <c r="H757" s="20" t="n">
        <v>14</v>
      </c>
      <c r="I757" s="22" t="n">
        <v>51017.64</v>
      </c>
      <c r="J757" s="23" t="n">
        <v>0.12</v>
      </c>
      <c r="K757" s="24" t="n">
        <v>628537.3199999999</v>
      </c>
      <c r="L757" s="24" t="n">
        <v>455527.02</v>
      </c>
      <c r="M757" s="24" t="n">
        <v>173010.3</v>
      </c>
    </row>
    <row r="758">
      <c r="A758" s="20" t="inlineStr">
        <is>
          <t>ORD-20240757</t>
        </is>
      </c>
      <c r="B758" s="21" t="n">
        <v>45771</v>
      </c>
      <c r="C758" s="20" t="inlineStr">
        <is>
          <t>South</t>
        </is>
      </c>
      <c r="D758" s="20" t="inlineStr">
        <is>
          <t>Electronics</t>
        </is>
      </c>
      <c r="E758" s="20" t="inlineStr">
        <is>
          <t>Laptop Pro 14</t>
        </is>
      </c>
      <c r="F758" s="20" t="inlineStr">
        <is>
          <t>Consumer</t>
        </is>
      </c>
      <c r="G758" s="20" t="inlineStr">
        <is>
          <t>Retail Counter</t>
        </is>
      </c>
      <c r="H758" s="20" t="n">
        <v>24</v>
      </c>
      <c r="I758" s="22" t="n">
        <v>70201.03</v>
      </c>
      <c r="J758" s="23" t="n">
        <v>0.05</v>
      </c>
      <c r="K758" s="24" t="n">
        <v>1600583.48</v>
      </c>
      <c r="L758" s="24" t="n">
        <v>1096829.81</v>
      </c>
      <c r="M758" s="24" t="n">
        <v>503753.67</v>
      </c>
    </row>
    <row r="759">
      <c r="A759" s="20" t="inlineStr">
        <is>
          <t>ORD-20240758</t>
        </is>
      </c>
      <c r="B759" s="21" t="n">
        <v>45772</v>
      </c>
      <c r="C759" s="20" t="inlineStr">
        <is>
          <t>East</t>
        </is>
      </c>
      <c r="D759" s="20" t="inlineStr">
        <is>
          <t>Electronics</t>
        </is>
      </c>
      <c r="E759" s="20" t="inlineStr">
        <is>
          <t>Webcam HD</t>
        </is>
      </c>
      <c r="F759" s="20" t="inlineStr">
        <is>
          <t>SMB</t>
        </is>
      </c>
      <c r="G759" s="20" t="inlineStr">
        <is>
          <t>SwiftPrint</t>
        </is>
      </c>
      <c r="H759" s="20" t="n">
        <v>25</v>
      </c>
      <c r="I759" s="22" t="n">
        <v>42131.99</v>
      </c>
      <c r="J759" s="23" t="n">
        <v>0</v>
      </c>
      <c r="K759" s="24" t="n">
        <v>1053299.75</v>
      </c>
      <c r="L759" s="24" t="n">
        <v>718387.05</v>
      </c>
      <c r="M759" s="24" t="n">
        <v>334912.7</v>
      </c>
    </row>
    <row r="760">
      <c r="A760" s="20" t="inlineStr">
        <is>
          <t>ORD-20240759</t>
        </is>
      </c>
      <c r="B760" s="21" t="n">
        <v>45772</v>
      </c>
      <c r="C760" s="20" t="inlineStr">
        <is>
          <t>West</t>
        </is>
      </c>
      <c r="D760" s="20" t="inlineStr">
        <is>
          <t>Apparel</t>
        </is>
      </c>
      <c r="E760" s="20" t="inlineStr">
        <is>
          <t>Safety Vest</t>
        </is>
      </c>
      <c r="F760" s="20" t="inlineStr">
        <is>
          <t>SMB</t>
        </is>
      </c>
      <c r="G760" s="20" t="inlineStr">
        <is>
          <t>CityCare Clinics</t>
        </is>
      </c>
      <c r="H760" s="20" t="n">
        <v>20</v>
      </c>
      <c r="I760" s="22" t="n">
        <v>555.46</v>
      </c>
      <c r="J760" s="23" t="n">
        <v>0</v>
      </c>
      <c r="K760" s="24" t="n">
        <v>11109.2</v>
      </c>
      <c r="L760" s="24" t="n">
        <v>7401.84</v>
      </c>
      <c r="M760" s="24" t="n">
        <v>3707.36</v>
      </c>
    </row>
    <row r="761">
      <c r="A761" s="20" t="inlineStr">
        <is>
          <t>ORD-20240760</t>
        </is>
      </c>
      <c r="B761" s="21" t="n">
        <v>45772</v>
      </c>
      <c r="C761" s="20" t="inlineStr">
        <is>
          <t>South</t>
        </is>
      </c>
      <c r="D761" s="20" t="inlineStr">
        <is>
          <t>Apparel</t>
        </is>
      </c>
      <c r="E761" s="20" t="inlineStr">
        <is>
          <t>Safety Vest</t>
        </is>
      </c>
      <c r="F761" s="20" t="inlineStr">
        <is>
          <t>Consumer</t>
        </is>
      </c>
      <c r="G761" s="20" t="inlineStr">
        <is>
          <t>Walk-in Delhi</t>
        </is>
      </c>
      <c r="H761" s="20" t="n">
        <v>1</v>
      </c>
      <c r="I761" s="22" t="n">
        <v>2758.59</v>
      </c>
      <c r="J761" s="23" t="n">
        <v>0</v>
      </c>
      <c r="K761" s="24" t="n">
        <v>2758.59</v>
      </c>
      <c r="L761" s="24" t="n">
        <v>1735.41</v>
      </c>
      <c r="M761" s="24" t="n">
        <v>1023.18</v>
      </c>
    </row>
    <row r="762">
      <c r="A762" s="20" t="inlineStr">
        <is>
          <t>ORD-20240761</t>
        </is>
      </c>
      <c r="B762" s="21" t="n">
        <v>45772</v>
      </c>
      <c r="C762" s="20" t="inlineStr">
        <is>
          <t>Central</t>
        </is>
      </c>
      <c r="D762" s="20" t="inlineStr">
        <is>
          <t>Electronics</t>
        </is>
      </c>
      <c r="E762" s="20" t="inlineStr">
        <is>
          <t>Keyboard Mech</t>
        </is>
      </c>
      <c r="F762" s="20" t="inlineStr">
        <is>
          <t>Consumer</t>
        </is>
      </c>
      <c r="G762" s="20" t="inlineStr">
        <is>
          <t>Retail Counter</t>
        </is>
      </c>
      <c r="H762" s="20" t="n">
        <v>2</v>
      </c>
      <c r="I762" s="22" t="n">
        <v>76881.88</v>
      </c>
      <c r="J762" s="23" t="n">
        <v>0.2</v>
      </c>
      <c r="K762" s="24" t="n">
        <v>123011.01</v>
      </c>
      <c r="L762" s="24" t="n">
        <v>112103.2</v>
      </c>
      <c r="M762" s="24" t="n">
        <v>10907.81</v>
      </c>
    </row>
    <row r="763">
      <c r="A763" s="20" t="inlineStr">
        <is>
          <t>ORD-20240762</t>
        </is>
      </c>
      <c r="B763" s="21" t="n">
        <v>45772</v>
      </c>
      <c r="C763" s="20" t="inlineStr">
        <is>
          <t>West</t>
        </is>
      </c>
      <c r="D763" s="20" t="inlineStr">
        <is>
          <t>Furniture</t>
        </is>
      </c>
      <c r="E763" s="20" t="inlineStr">
        <is>
          <t>Filing Cabinet</t>
        </is>
      </c>
      <c r="F763" s="20" t="inlineStr">
        <is>
          <t>SMB</t>
        </is>
      </c>
      <c r="G763" s="20" t="inlineStr">
        <is>
          <t>Pixel Studio</t>
        </is>
      </c>
      <c r="H763" s="20" t="n">
        <v>19</v>
      </c>
      <c r="I763" s="22" t="n">
        <v>31581.35</v>
      </c>
      <c r="J763" s="23" t="n">
        <v>0.15</v>
      </c>
      <c r="K763" s="24" t="n">
        <v>510038.8</v>
      </c>
      <c r="L763" s="24" t="n">
        <v>341857.94</v>
      </c>
      <c r="M763" s="24" t="n">
        <v>168180.86</v>
      </c>
    </row>
    <row r="764">
      <c r="A764" s="20" t="inlineStr">
        <is>
          <t>ORD-20240763</t>
        </is>
      </c>
      <c r="B764" s="21" t="n">
        <v>45773</v>
      </c>
      <c r="C764" s="20" t="inlineStr">
        <is>
          <t>Central</t>
        </is>
      </c>
      <c r="D764" s="20" t="inlineStr">
        <is>
          <t>Home &amp; Kitchen</t>
        </is>
      </c>
      <c r="E764" s="20" t="inlineStr">
        <is>
          <t>Coffee Maker</t>
        </is>
      </c>
      <c r="F764" s="20" t="inlineStr">
        <is>
          <t>SMB</t>
        </is>
      </c>
      <c r="G764" s="20" t="inlineStr">
        <is>
          <t>CityCare Clinics</t>
        </is>
      </c>
      <c r="H764" s="20" t="n">
        <v>1</v>
      </c>
      <c r="I764" s="22" t="n">
        <v>12279.26</v>
      </c>
      <c r="J764" s="23" t="n">
        <v>0</v>
      </c>
      <c r="K764" s="24" t="n">
        <v>12279.26</v>
      </c>
      <c r="L764" s="24" t="n">
        <v>6866.73</v>
      </c>
      <c r="M764" s="24" t="n">
        <v>5412.53</v>
      </c>
    </row>
    <row r="765">
      <c r="A765" s="20" t="inlineStr">
        <is>
          <t>ORD-20240764</t>
        </is>
      </c>
      <c r="B765" s="21" t="n">
        <v>45776</v>
      </c>
      <c r="C765" s="20" t="inlineStr">
        <is>
          <t>East</t>
        </is>
      </c>
      <c r="D765" s="20" t="inlineStr">
        <is>
          <t>Apparel</t>
        </is>
      </c>
      <c r="E765" s="20" t="inlineStr">
        <is>
          <t>Hoodie Soft</t>
        </is>
      </c>
      <c r="F765" s="20" t="inlineStr">
        <is>
          <t>Government</t>
        </is>
      </c>
      <c r="G765" s="20" t="inlineStr">
        <is>
          <t>State Health UP</t>
        </is>
      </c>
      <c r="H765" s="20" t="n">
        <v>5</v>
      </c>
      <c r="I765" s="22" t="n">
        <v>1708.48</v>
      </c>
      <c r="J765" s="23" t="n">
        <v>0</v>
      </c>
      <c r="K765" s="24" t="n">
        <v>8542.4</v>
      </c>
      <c r="L765" s="24" t="n">
        <v>6180.56</v>
      </c>
      <c r="M765" s="24" t="n">
        <v>2361.84</v>
      </c>
    </row>
    <row r="766">
      <c r="A766" s="20" t="inlineStr">
        <is>
          <t>ORD-20240765</t>
        </is>
      </c>
      <c r="B766" s="21" t="n">
        <v>45776</v>
      </c>
      <c r="C766" s="20" t="inlineStr">
        <is>
          <t>Central</t>
        </is>
      </c>
      <c r="D766" s="20" t="inlineStr">
        <is>
          <t>Electronics</t>
        </is>
      </c>
      <c r="E766" s="20" t="inlineStr">
        <is>
          <t>USB-C Hub</t>
        </is>
      </c>
      <c r="F766" s="20" t="inlineStr">
        <is>
          <t>Consumer</t>
        </is>
      </c>
      <c r="G766" s="20" t="inlineStr">
        <is>
          <t>App User North</t>
        </is>
      </c>
      <c r="H766" s="20" t="n">
        <v>9</v>
      </c>
      <c r="I766" s="22" t="n">
        <v>33052.26</v>
      </c>
      <c r="J766" s="23" t="n">
        <v>0.15</v>
      </c>
      <c r="K766" s="24" t="n">
        <v>252849.79</v>
      </c>
      <c r="L766" s="24" t="n">
        <v>202745.47</v>
      </c>
      <c r="M766" s="24" t="n">
        <v>50104.32</v>
      </c>
    </row>
    <row r="767">
      <c r="A767" s="20" t="inlineStr">
        <is>
          <t>ORD-20240766</t>
        </is>
      </c>
      <c r="B767" s="21" t="n">
        <v>45776</v>
      </c>
      <c r="C767" s="20" t="inlineStr">
        <is>
          <t>Central</t>
        </is>
      </c>
      <c r="D767" s="20" t="inlineStr">
        <is>
          <t>Electronics</t>
        </is>
      </c>
      <c r="E767" s="20" t="inlineStr">
        <is>
          <t>USB-C Hub</t>
        </is>
      </c>
      <c r="F767" s="20" t="inlineStr">
        <is>
          <t>Consumer</t>
        </is>
      </c>
      <c r="G767" s="20" t="inlineStr">
        <is>
          <t>Online Guest</t>
        </is>
      </c>
      <c r="H767" s="20" t="n">
        <v>3</v>
      </c>
      <c r="I767" s="22" t="n">
        <v>6789.48</v>
      </c>
      <c r="J767" s="23" t="n">
        <v>0.15</v>
      </c>
      <c r="K767" s="24" t="n">
        <v>17313.17</v>
      </c>
      <c r="L767" s="24" t="n">
        <v>12411.04</v>
      </c>
      <c r="M767" s="24" t="n">
        <v>4902.13</v>
      </c>
    </row>
    <row r="768">
      <c r="A768" s="20" t="inlineStr">
        <is>
          <t>ORD-20240767</t>
        </is>
      </c>
      <c r="B768" s="21" t="n">
        <v>45777</v>
      </c>
      <c r="C768" s="20" t="inlineStr">
        <is>
          <t>North</t>
        </is>
      </c>
      <c r="D768" s="20" t="inlineStr">
        <is>
          <t>Office Supplies</t>
        </is>
      </c>
      <c r="E768" s="20" t="inlineStr">
        <is>
          <t>Gel Pen Pack</t>
        </is>
      </c>
      <c r="F768" s="20" t="inlineStr">
        <is>
          <t>SMB</t>
        </is>
      </c>
      <c r="G768" s="20" t="inlineStr">
        <is>
          <t>GreenFarm Agro</t>
        </is>
      </c>
      <c r="H768" s="20" t="n">
        <v>14</v>
      </c>
      <c r="I768" s="22" t="n">
        <v>2703.81</v>
      </c>
      <c r="J768" s="23" t="n">
        <v>0</v>
      </c>
      <c r="K768" s="24" t="n">
        <v>37853.34</v>
      </c>
      <c r="L768" s="24" t="n">
        <v>22955.12</v>
      </c>
      <c r="M768" s="24" t="n">
        <v>14898.22</v>
      </c>
    </row>
    <row r="769">
      <c r="A769" s="20" t="inlineStr">
        <is>
          <t>ORD-20240768</t>
        </is>
      </c>
      <c r="B769" s="21" t="n">
        <v>45778</v>
      </c>
      <c r="C769" s="20" t="inlineStr">
        <is>
          <t>North</t>
        </is>
      </c>
      <c r="D769" s="20" t="inlineStr">
        <is>
          <t>Home &amp; Kitchen</t>
        </is>
      </c>
      <c r="E769" s="20" t="inlineStr">
        <is>
          <t>Air Fryer</t>
        </is>
      </c>
      <c r="F769" s="20" t="inlineStr">
        <is>
          <t>Government</t>
        </is>
      </c>
      <c r="G769" s="20" t="inlineStr">
        <is>
          <t>Delhi NDMC</t>
        </is>
      </c>
      <c r="H769" s="20" t="n">
        <v>25</v>
      </c>
      <c r="I769" s="22" t="n">
        <v>15382.6</v>
      </c>
      <c r="J769" s="23" t="n">
        <v>0</v>
      </c>
      <c r="K769" s="24" t="n">
        <v>384565</v>
      </c>
      <c r="L769" s="24" t="n">
        <v>222866.97</v>
      </c>
      <c r="M769" s="24" t="n">
        <v>161698.03</v>
      </c>
    </row>
    <row r="770">
      <c r="A770" s="20" t="inlineStr">
        <is>
          <t>ORD-20240769</t>
        </is>
      </c>
      <c r="B770" s="21" t="n">
        <v>45778</v>
      </c>
      <c r="C770" s="20" t="inlineStr">
        <is>
          <t>Central</t>
        </is>
      </c>
      <c r="D770" s="20" t="inlineStr">
        <is>
          <t>Office Supplies</t>
        </is>
      </c>
      <c r="E770" s="20" t="inlineStr">
        <is>
          <t>Gel Pen Pack</t>
        </is>
      </c>
      <c r="F770" s="20" t="inlineStr">
        <is>
          <t>Enterprise</t>
        </is>
      </c>
      <c r="G770" s="20" t="inlineStr">
        <is>
          <t>L&amp;T Infotech</t>
        </is>
      </c>
      <c r="H770" s="20" t="n">
        <v>4</v>
      </c>
      <c r="I770" s="22" t="n">
        <v>3238.6</v>
      </c>
      <c r="J770" s="23" t="n">
        <v>0.2</v>
      </c>
      <c r="K770" s="24" t="n">
        <v>10363.52</v>
      </c>
      <c r="L770" s="24" t="n">
        <v>9661.370000000001</v>
      </c>
      <c r="M770" s="24" t="n">
        <v>702.15</v>
      </c>
    </row>
    <row r="771">
      <c r="A771" s="20" t="inlineStr">
        <is>
          <t>ORD-20240770</t>
        </is>
      </c>
      <c r="B771" s="21" t="n">
        <v>45779</v>
      </c>
      <c r="C771" s="20" t="inlineStr">
        <is>
          <t>Central</t>
        </is>
      </c>
      <c r="D771" s="20" t="inlineStr">
        <is>
          <t>Apparel</t>
        </is>
      </c>
      <c r="E771" s="20" t="inlineStr">
        <is>
          <t>Polo Shirt</t>
        </is>
      </c>
      <c r="F771" s="20" t="inlineStr">
        <is>
          <t>SMB</t>
        </is>
      </c>
      <c r="G771" s="20" t="inlineStr">
        <is>
          <t>Pixel Studio</t>
        </is>
      </c>
      <c r="H771" s="20" t="n">
        <v>24</v>
      </c>
      <c r="I771" s="22" t="n">
        <v>3651.84</v>
      </c>
      <c r="J771" s="23" t="n">
        <v>0.2</v>
      </c>
      <c r="K771" s="24" t="n">
        <v>70115.33</v>
      </c>
      <c r="L771" s="24" t="n">
        <v>61071.51</v>
      </c>
      <c r="M771" s="24" t="n">
        <v>9043.82</v>
      </c>
    </row>
    <row r="772">
      <c r="A772" s="20" t="inlineStr">
        <is>
          <t>ORD-20240771</t>
        </is>
      </c>
      <c r="B772" s="21" t="n">
        <v>45779</v>
      </c>
      <c r="C772" s="20" t="inlineStr">
        <is>
          <t>Central</t>
        </is>
      </c>
      <c r="D772" s="20" t="inlineStr">
        <is>
          <t>Apparel</t>
        </is>
      </c>
      <c r="E772" s="20" t="inlineStr">
        <is>
          <t>Polo Shirt</t>
        </is>
      </c>
      <c r="F772" s="20" t="inlineStr">
        <is>
          <t>Consumer</t>
        </is>
      </c>
      <c r="G772" s="20" t="inlineStr">
        <is>
          <t>Retail Counter</t>
        </is>
      </c>
      <c r="H772" s="20" t="n">
        <v>16</v>
      </c>
      <c r="I772" s="22" t="n">
        <v>2957.2</v>
      </c>
      <c r="J772" s="23" t="n">
        <v>0.05</v>
      </c>
      <c r="K772" s="24" t="n">
        <v>44949.44</v>
      </c>
      <c r="L772" s="24" t="n">
        <v>32857.52</v>
      </c>
      <c r="M772" s="24" t="n">
        <v>12091.92</v>
      </c>
    </row>
    <row r="773">
      <c r="A773" s="20" t="inlineStr">
        <is>
          <t>ORD-20240772</t>
        </is>
      </c>
      <c r="B773" s="21" t="n">
        <v>45779</v>
      </c>
      <c r="C773" s="20" t="inlineStr">
        <is>
          <t>Central</t>
        </is>
      </c>
      <c r="D773" s="20" t="inlineStr">
        <is>
          <t>Apparel</t>
        </is>
      </c>
      <c r="E773" s="20" t="inlineStr">
        <is>
          <t>Formal Blazer</t>
        </is>
      </c>
      <c r="F773" s="20" t="inlineStr">
        <is>
          <t>Government</t>
        </is>
      </c>
      <c r="G773" s="20" t="inlineStr">
        <is>
          <t>Railways Zone W</t>
        </is>
      </c>
      <c r="H773" s="20" t="n">
        <v>14</v>
      </c>
      <c r="I773" s="22" t="n">
        <v>1186.29</v>
      </c>
      <c r="J773" s="23" t="n">
        <v>0</v>
      </c>
      <c r="K773" s="24" t="n">
        <v>16608.06</v>
      </c>
      <c r="L773" s="24" t="n">
        <v>12552.26</v>
      </c>
      <c r="M773" s="24" t="n">
        <v>4055.8</v>
      </c>
    </row>
    <row r="774">
      <c r="A774" s="20" t="inlineStr">
        <is>
          <t>ORD-20240773</t>
        </is>
      </c>
      <c r="B774" s="21" t="n">
        <v>45779</v>
      </c>
      <c r="C774" s="20" t="inlineStr">
        <is>
          <t>East</t>
        </is>
      </c>
      <c r="D774" s="20" t="inlineStr">
        <is>
          <t>Home &amp; Kitchen</t>
        </is>
      </c>
      <c r="E774" s="20" t="inlineStr">
        <is>
          <t>Coffee Maker</t>
        </is>
      </c>
      <c r="F774" s="20" t="inlineStr">
        <is>
          <t>Enterprise</t>
        </is>
      </c>
      <c r="G774" s="20" t="inlineStr">
        <is>
          <t>Wipro Tech</t>
        </is>
      </c>
      <c r="H774" s="20" t="n">
        <v>17</v>
      </c>
      <c r="I774" s="22" t="n">
        <v>6395.72</v>
      </c>
      <c r="J774" s="23" t="n">
        <v>0.15</v>
      </c>
      <c r="K774" s="24" t="n">
        <v>92418.14999999999</v>
      </c>
      <c r="L774" s="24" t="n">
        <v>81941.74000000001</v>
      </c>
      <c r="M774" s="24" t="n">
        <v>10476.41</v>
      </c>
    </row>
    <row r="775">
      <c r="A775" s="20" t="inlineStr">
        <is>
          <t>ORD-20240774</t>
        </is>
      </c>
      <c r="B775" s="21" t="n">
        <v>45779</v>
      </c>
      <c r="C775" s="20" t="inlineStr">
        <is>
          <t>East</t>
        </is>
      </c>
      <c r="D775" s="20" t="inlineStr">
        <is>
          <t>Electronics</t>
        </is>
      </c>
      <c r="E775" s="20" t="inlineStr">
        <is>
          <t>Keyboard Mech</t>
        </is>
      </c>
      <c r="F775" s="20" t="inlineStr">
        <is>
          <t>Government</t>
        </is>
      </c>
      <c r="G775" s="20" t="inlineStr">
        <is>
          <t>MH Education Dept</t>
        </is>
      </c>
      <c r="H775" s="20" t="n">
        <v>20</v>
      </c>
      <c r="I775" s="22" t="n">
        <v>41597.94</v>
      </c>
      <c r="J775" s="23" t="n">
        <v>0</v>
      </c>
      <c r="K775" s="24" t="n">
        <v>831958.8</v>
      </c>
      <c r="L775" s="24" t="n">
        <v>524231.23</v>
      </c>
      <c r="M775" s="24" t="n">
        <v>307727.57</v>
      </c>
    </row>
    <row r="776">
      <c r="A776" s="20" t="inlineStr">
        <is>
          <t>ORD-20240775</t>
        </is>
      </c>
      <c r="B776" s="21" t="n">
        <v>45780</v>
      </c>
      <c r="C776" s="20" t="inlineStr">
        <is>
          <t>Central</t>
        </is>
      </c>
      <c r="D776" s="20" t="inlineStr">
        <is>
          <t>Apparel</t>
        </is>
      </c>
      <c r="E776" s="20" t="inlineStr">
        <is>
          <t>Cap Embroidered</t>
        </is>
      </c>
      <c r="F776" s="20" t="inlineStr">
        <is>
          <t>Consumer</t>
        </is>
      </c>
      <c r="G776" s="20" t="inlineStr">
        <is>
          <t>Walk-in Delhi</t>
        </is>
      </c>
      <c r="H776" s="20" t="n">
        <v>13</v>
      </c>
      <c r="I776" s="22" t="n">
        <v>3444.5</v>
      </c>
      <c r="J776" s="23" t="n">
        <v>0</v>
      </c>
      <c r="K776" s="24" t="n">
        <v>44778.5</v>
      </c>
      <c r="L776" s="24" t="n">
        <v>34738.6</v>
      </c>
      <c r="M776" s="24" t="n">
        <v>10039.9</v>
      </c>
    </row>
    <row r="777">
      <c r="A777" s="20" t="inlineStr">
        <is>
          <t>ORD-20240776</t>
        </is>
      </c>
      <c r="B777" s="21" t="n">
        <v>45780</v>
      </c>
      <c r="C777" s="20" t="inlineStr">
        <is>
          <t>West</t>
        </is>
      </c>
      <c r="D777" s="20" t="inlineStr">
        <is>
          <t>Furniture</t>
        </is>
      </c>
      <c r="E777" s="20" t="inlineStr">
        <is>
          <t>Ergo Chair</t>
        </is>
      </c>
      <c r="F777" s="20" t="inlineStr">
        <is>
          <t>Consumer</t>
        </is>
      </c>
      <c r="G777" s="20" t="inlineStr">
        <is>
          <t>Walk-in Mumbai</t>
        </is>
      </c>
      <c r="H777" s="20" t="n">
        <v>14</v>
      </c>
      <c r="I777" s="22" t="n">
        <v>30358.12</v>
      </c>
      <c r="J777" s="23" t="n">
        <v>0</v>
      </c>
      <c r="K777" s="24" t="n">
        <v>425013.68</v>
      </c>
      <c r="L777" s="24" t="n">
        <v>233863.71</v>
      </c>
      <c r="M777" s="24" t="n">
        <v>191149.97</v>
      </c>
    </row>
    <row r="778">
      <c r="A778" s="20" t="inlineStr">
        <is>
          <t>ORD-20240777</t>
        </is>
      </c>
      <c r="B778" s="21" t="n">
        <v>45781</v>
      </c>
      <c r="C778" s="20" t="inlineStr">
        <is>
          <t>East</t>
        </is>
      </c>
      <c r="D778" s="20" t="inlineStr">
        <is>
          <t>Electronics</t>
        </is>
      </c>
      <c r="E778" s="20" t="inlineStr">
        <is>
          <t>Wireless Mouse</t>
        </is>
      </c>
      <c r="F778" s="20" t="inlineStr">
        <is>
          <t>Government</t>
        </is>
      </c>
      <c r="G778" s="20" t="inlineStr">
        <is>
          <t>State Health UP</t>
        </is>
      </c>
      <c r="H778" s="20" t="n">
        <v>6</v>
      </c>
      <c r="I778" s="22" t="n">
        <v>84123.91</v>
      </c>
      <c r="J778" s="23" t="n">
        <v>0</v>
      </c>
      <c r="K778" s="24" t="n">
        <v>504743.46</v>
      </c>
      <c r="L778" s="24" t="n">
        <v>339886.27</v>
      </c>
      <c r="M778" s="24" t="n">
        <v>164857.19</v>
      </c>
    </row>
    <row r="779">
      <c r="A779" s="20" t="inlineStr">
        <is>
          <t>ORD-20240778</t>
        </is>
      </c>
      <c r="B779" s="21" t="n">
        <v>45782</v>
      </c>
      <c r="C779" s="20" t="inlineStr">
        <is>
          <t>Central</t>
        </is>
      </c>
      <c r="D779" s="20" t="inlineStr">
        <is>
          <t>Office Supplies</t>
        </is>
      </c>
      <c r="E779" s="20" t="inlineStr">
        <is>
          <t>Whiteboard Kit</t>
        </is>
      </c>
      <c r="F779" s="20" t="inlineStr">
        <is>
          <t>Enterprise</t>
        </is>
      </c>
      <c r="G779" s="20" t="inlineStr">
        <is>
          <t>TCS Digital</t>
        </is>
      </c>
      <c r="H779" s="20" t="n">
        <v>7</v>
      </c>
      <c r="I779" s="22" t="n">
        <v>1190.28</v>
      </c>
      <c r="J779" s="23" t="n">
        <v>0.1</v>
      </c>
      <c r="K779" s="24" t="n">
        <v>7498.76</v>
      </c>
      <c r="L779" s="24" t="n">
        <v>6349.99</v>
      </c>
      <c r="M779" s="24" t="n">
        <v>1148.77</v>
      </c>
    </row>
    <row r="780">
      <c r="A780" s="20" t="inlineStr">
        <is>
          <t>ORD-20240779</t>
        </is>
      </c>
      <c r="B780" s="21" t="n">
        <v>45782</v>
      </c>
      <c r="C780" s="20" t="inlineStr">
        <is>
          <t>West</t>
        </is>
      </c>
      <c r="D780" s="20" t="inlineStr">
        <is>
          <t>Furniture</t>
        </is>
      </c>
      <c r="E780" s="20" t="inlineStr">
        <is>
          <t>Filing Cabinet</t>
        </is>
      </c>
      <c r="F780" s="20" t="inlineStr">
        <is>
          <t>SMB</t>
        </is>
      </c>
      <c r="G780" s="20" t="inlineStr">
        <is>
          <t>GreenFarm Agro</t>
        </is>
      </c>
      <c r="H780" s="20" t="n">
        <v>8</v>
      </c>
      <c r="I780" s="22" t="n">
        <v>33517.01</v>
      </c>
      <c r="J780" s="23" t="n">
        <v>0.12</v>
      </c>
      <c r="K780" s="24" t="n">
        <v>235959.75</v>
      </c>
      <c r="L780" s="24" t="n">
        <v>170209.35</v>
      </c>
      <c r="M780" s="24" t="n">
        <v>65750.39999999999</v>
      </c>
    </row>
    <row r="781">
      <c r="A781" s="20" t="inlineStr">
        <is>
          <t>ORD-20240780</t>
        </is>
      </c>
      <c r="B781" s="21" t="n">
        <v>45783</v>
      </c>
      <c r="C781" s="20" t="inlineStr">
        <is>
          <t>North</t>
        </is>
      </c>
      <c r="D781" s="20" t="inlineStr">
        <is>
          <t>Home &amp; Kitchen</t>
        </is>
      </c>
      <c r="E781" s="20" t="inlineStr">
        <is>
          <t>Air Fryer</t>
        </is>
      </c>
      <c r="F781" s="20" t="inlineStr">
        <is>
          <t>Enterprise</t>
        </is>
      </c>
      <c r="G781" s="20" t="inlineStr">
        <is>
          <t>Tech Mahindra</t>
        </is>
      </c>
      <c r="H781" s="20" t="n">
        <v>24</v>
      </c>
      <c r="I781" s="22" t="n">
        <v>23092.71</v>
      </c>
      <c r="J781" s="23" t="n">
        <v>0</v>
      </c>
      <c r="K781" s="24" t="n">
        <v>554225.04</v>
      </c>
      <c r="L781" s="24" t="n">
        <v>330614.07</v>
      </c>
      <c r="M781" s="24" t="n">
        <v>223610.97</v>
      </c>
    </row>
    <row r="782">
      <c r="A782" s="20" t="inlineStr">
        <is>
          <t>ORD-20240781</t>
        </is>
      </c>
      <c r="B782" s="21" t="n">
        <v>45783</v>
      </c>
      <c r="C782" s="20" t="inlineStr">
        <is>
          <t>South</t>
        </is>
      </c>
      <c r="D782" s="20" t="inlineStr">
        <is>
          <t>Electronics</t>
        </is>
      </c>
      <c r="E782" s="20" t="inlineStr">
        <is>
          <t>Wireless Mouse</t>
        </is>
      </c>
      <c r="F782" s="20" t="inlineStr">
        <is>
          <t>SMB</t>
        </is>
      </c>
      <c r="G782" s="20" t="inlineStr">
        <is>
          <t>Nova Logistics</t>
        </is>
      </c>
      <c r="H782" s="20" t="n">
        <v>17</v>
      </c>
      <c r="I782" s="22" t="n">
        <v>63248.17</v>
      </c>
      <c r="J782" s="23" t="n">
        <v>0.2</v>
      </c>
      <c r="K782" s="24" t="n">
        <v>860175.11</v>
      </c>
      <c r="L782" s="24" t="n">
        <v>640917.27</v>
      </c>
      <c r="M782" s="24" t="n">
        <v>219257.84</v>
      </c>
    </row>
    <row r="783">
      <c r="A783" s="20" t="inlineStr">
        <is>
          <t>ORD-20240782</t>
        </is>
      </c>
      <c r="B783" s="21" t="n">
        <v>45784</v>
      </c>
      <c r="C783" s="20" t="inlineStr">
        <is>
          <t>Central</t>
        </is>
      </c>
      <c r="D783" s="20" t="inlineStr">
        <is>
          <t>Electronics</t>
        </is>
      </c>
      <c r="E783" s="20" t="inlineStr">
        <is>
          <t>Laptop Pro 14</t>
        </is>
      </c>
      <c r="F783" s="20" t="inlineStr">
        <is>
          <t>Enterprise</t>
        </is>
      </c>
      <c r="G783" s="20" t="inlineStr">
        <is>
          <t>Infosys Ltd</t>
        </is>
      </c>
      <c r="H783" s="20" t="n">
        <v>25</v>
      </c>
      <c r="I783" s="22" t="n">
        <v>72260.17999999999</v>
      </c>
      <c r="J783" s="23" t="n">
        <v>0</v>
      </c>
      <c r="K783" s="24" t="n">
        <v>1806504.5</v>
      </c>
      <c r="L783" s="24" t="n">
        <v>1162440.9</v>
      </c>
      <c r="M783" s="24" t="n">
        <v>644063.6</v>
      </c>
    </row>
    <row r="784">
      <c r="A784" s="20" t="inlineStr">
        <is>
          <t>ORD-20240783</t>
        </is>
      </c>
      <c r="B784" s="21" t="n">
        <v>45784</v>
      </c>
      <c r="C784" s="20" t="inlineStr">
        <is>
          <t>West</t>
        </is>
      </c>
      <c r="D784" s="20" t="inlineStr">
        <is>
          <t>Furniture</t>
        </is>
      </c>
      <c r="E784" s="20" t="inlineStr">
        <is>
          <t>Bookshelf Oak</t>
        </is>
      </c>
      <c r="F784" s="20" t="inlineStr">
        <is>
          <t>Consumer</t>
        </is>
      </c>
      <c r="G784" s="20" t="inlineStr">
        <is>
          <t>Walk-in Mumbai</t>
        </is>
      </c>
      <c r="H784" s="20" t="n">
        <v>2</v>
      </c>
      <c r="I784" s="22" t="n">
        <v>25795.9</v>
      </c>
      <c r="J784" s="23" t="n">
        <v>0.05</v>
      </c>
      <c r="K784" s="24" t="n">
        <v>49012.21</v>
      </c>
      <c r="L784" s="24" t="n">
        <v>36541.8</v>
      </c>
      <c r="M784" s="24" t="n">
        <v>12470.41</v>
      </c>
    </row>
    <row r="785">
      <c r="A785" s="20" t="inlineStr">
        <is>
          <t>ORD-20240784</t>
        </is>
      </c>
      <c r="B785" s="21" t="n">
        <v>45784</v>
      </c>
      <c r="C785" s="20" t="inlineStr">
        <is>
          <t>East</t>
        </is>
      </c>
      <c r="D785" s="20" t="inlineStr">
        <is>
          <t>Home &amp; Kitchen</t>
        </is>
      </c>
      <c r="E785" s="20" t="inlineStr">
        <is>
          <t>Coffee Maker</t>
        </is>
      </c>
      <c r="F785" s="20" t="inlineStr">
        <is>
          <t>Consumer</t>
        </is>
      </c>
      <c r="G785" s="20" t="inlineStr">
        <is>
          <t>Retail Counter</t>
        </is>
      </c>
      <c r="H785" s="20" t="n">
        <v>15</v>
      </c>
      <c r="I785" s="22" t="n">
        <v>27128.56</v>
      </c>
      <c r="J785" s="23" t="n">
        <v>0.05</v>
      </c>
      <c r="K785" s="24" t="n">
        <v>386581.98</v>
      </c>
      <c r="L785" s="24" t="n">
        <v>249255.03</v>
      </c>
      <c r="M785" s="24" t="n">
        <v>137326.95</v>
      </c>
    </row>
    <row r="786">
      <c r="A786" s="20" t="inlineStr">
        <is>
          <t>ORD-20240785</t>
        </is>
      </c>
      <c r="B786" s="21" t="n">
        <v>45784</v>
      </c>
      <c r="C786" s="20" t="inlineStr">
        <is>
          <t>East</t>
        </is>
      </c>
      <c r="D786" s="20" t="inlineStr">
        <is>
          <t>Home &amp; Kitchen</t>
        </is>
      </c>
      <c r="E786" s="20" t="inlineStr">
        <is>
          <t>Coffee Maker</t>
        </is>
      </c>
      <c r="F786" s="20" t="inlineStr">
        <is>
          <t>Government</t>
        </is>
      </c>
      <c r="G786" s="20" t="inlineStr">
        <is>
          <t>State Health UP</t>
        </is>
      </c>
      <c r="H786" s="20" t="n">
        <v>10</v>
      </c>
      <c r="I786" s="22" t="n">
        <v>13246.74</v>
      </c>
      <c r="J786" s="23" t="n">
        <v>0.12</v>
      </c>
      <c r="K786" s="24" t="n">
        <v>116571.31</v>
      </c>
      <c r="L786" s="24" t="n">
        <v>89984.14</v>
      </c>
      <c r="M786" s="24" t="n">
        <v>26587.17</v>
      </c>
    </row>
    <row r="787">
      <c r="A787" s="20" t="inlineStr">
        <is>
          <t>ORD-20240786</t>
        </is>
      </c>
      <c r="B787" s="21" t="n">
        <v>45785</v>
      </c>
      <c r="C787" s="20" t="inlineStr">
        <is>
          <t>West</t>
        </is>
      </c>
      <c r="D787" s="20" t="inlineStr">
        <is>
          <t>Apparel</t>
        </is>
      </c>
      <c r="E787" s="20" t="inlineStr">
        <is>
          <t>Hoodie Soft</t>
        </is>
      </c>
      <c r="F787" s="20" t="inlineStr">
        <is>
          <t>Consumer</t>
        </is>
      </c>
      <c r="G787" s="20" t="inlineStr">
        <is>
          <t>Walk-in Delhi</t>
        </is>
      </c>
      <c r="H787" s="20" t="n">
        <v>23</v>
      </c>
      <c r="I787" s="22" t="n">
        <v>2789.14</v>
      </c>
      <c r="J787" s="23" t="n">
        <v>0.05</v>
      </c>
      <c r="K787" s="24" t="n">
        <v>60942.71</v>
      </c>
      <c r="L787" s="24" t="n">
        <v>49128.61</v>
      </c>
      <c r="M787" s="24" t="n">
        <v>11814.1</v>
      </c>
    </row>
    <row r="788">
      <c r="A788" s="20" t="inlineStr">
        <is>
          <t>ORD-20240787</t>
        </is>
      </c>
      <c r="B788" s="21" t="n">
        <v>45785</v>
      </c>
      <c r="C788" s="20" t="inlineStr">
        <is>
          <t>Central</t>
        </is>
      </c>
      <c r="D788" s="20" t="inlineStr">
        <is>
          <t>Electronics</t>
        </is>
      </c>
      <c r="E788" s="20" t="inlineStr">
        <is>
          <t>USB-C Hub</t>
        </is>
      </c>
      <c r="F788" s="20" t="inlineStr">
        <is>
          <t>Government</t>
        </is>
      </c>
      <c r="G788" s="20" t="inlineStr">
        <is>
          <t>State Health UP</t>
        </is>
      </c>
      <c r="H788" s="20" t="n">
        <v>19</v>
      </c>
      <c r="I788" s="22" t="n">
        <v>35611.81</v>
      </c>
      <c r="J788" s="23" t="n">
        <v>0.05</v>
      </c>
      <c r="K788" s="24" t="n">
        <v>642793.17</v>
      </c>
      <c r="L788" s="24" t="n">
        <v>457417.22</v>
      </c>
      <c r="M788" s="24" t="n">
        <v>185375.95</v>
      </c>
    </row>
    <row r="789">
      <c r="A789" s="20" t="inlineStr">
        <is>
          <t>ORD-20240788</t>
        </is>
      </c>
      <c r="B789" s="21" t="n">
        <v>45785</v>
      </c>
      <c r="C789" s="20" t="inlineStr">
        <is>
          <t>Central</t>
        </is>
      </c>
      <c r="D789" s="20" t="inlineStr">
        <is>
          <t>Apparel</t>
        </is>
      </c>
      <c r="E789" s="20" t="inlineStr">
        <is>
          <t>Hoodie Soft</t>
        </is>
      </c>
      <c r="F789" s="20" t="inlineStr">
        <is>
          <t>Consumer</t>
        </is>
      </c>
      <c r="G789" s="20" t="inlineStr">
        <is>
          <t>Walk-in Delhi</t>
        </is>
      </c>
      <c r="H789" s="20" t="n">
        <v>2</v>
      </c>
      <c r="I789" s="22" t="n">
        <v>2969.3</v>
      </c>
      <c r="J789" s="23" t="n">
        <v>0.1</v>
      </c>
      <c r="K789" s="24" t="n">
        <v>5344.74</v>
      </c>
      <c r="L789" s="24" t="n">
        <v>3420.8</v>
      </c>
      <c r="M789" s="24" t="n">
        <v>1923.94</v>
      </c>
    </row>
    <row r="790">
      <c r="A790" s="20" t="inlineStr">
        <is>
          <t>ORD-20240789</t>
        </is>
      </c>
      <c r="B790" s="21" t="n">
        <v>45785</v>
      </c>
      <c r="C790" s="20" t="inlineStr">
        <is>
          <t>North</t>
        </is>
      </c>
      <c r="D790" s="20" t="inlineStr">
        <is>
          <t>Electronics</t>
        </is>
      </c>
      <c r="E790" s="20" t="inlineStr">
        <is>
          <t>Wireless Mouse</t>
        </is>
      </c>
      <c r="F790" s="20" t="inlineStr">
        <is>
          <t>Consumer</t>
        </is>
      </c>
      <c r="G790" s="20" t="inlineStr">
        <is>
          <t>Walk-in Mumbai</t>
        </is>
      </c>
      <c r="H790" s="20" t="n">
        <v>8</v>
      </c>
      <c r="I790" s="22" t="n">
        <v>7825.88</v>
      </c>
      <c r="J790" s="23" t="n">
        <v>0</v>
      </c>
      <c r="K790" s="24" t="n">
        <v>62607.04</v>
      </c>
      <c r="L790" s="24" t="n">
        <v>38287.07</v>
      </c>
      <c r="M790" s="24" t="n">
        <v>24319.97</v>
      </c>
    </row>
    <row r="791">
      <c r="A791" s="20" t="inlineStr">
        <is>
          <t>ORD-20240790</t>
        </is>
      </c>
      <c r="B791" s="21" t="n">
        <v>45787</v>
      </c>
      <c r="C791" s="20" t="inlineStr">
        <is>
          <t>South</t>
        </is>
      </c>
      <c r="D791" s="20" t="inlineStr">
        <is>
          <t>Furniture</t>
        </is>
      </c>
      <c r="E791" s="20" t="inlineStr">
        <is>
          <t>Standing Desk</t>
        </is>
      </c>
      <c r="F791" s="20" t="inlineStr">
        <is>
          <t>Enterprise</t>
        </is>
      </c>
      <c r="G791" s="20" t="inlineStr">
        <is>
          <t>HCL Services</t>
        </is>
      </c>
      <c r="H791" s="20" t="n">
        <v>23</v>
      </c>
      <c r="I791" s="22" t="n">
        <v>34928.51</v>
      </c>
      <c r="J791" s="23" t="n">
        <v>0</v>
      </c>
      <c r="K791" s="24" t="n">
        <v>803355.73</v>
      </c>
      <c r="L791" s="24" t="n">
        <v>456208.94</v>
      </c>
      <c r="M791" s="24" t="n">
        <v>347146.79</v>
      </c>
    </row>
    <row r="792">
      <c r="A792" s="20" t="inlineStr">
        <is>
          <t>ORD-20240791</t>
        </is>
      </c>
      <c r="B792" s="21" t="n">
        <v>45787</v>
      </c>
      <c r="C792" s="20" t="inlineStr">
        <is>
          <t>West</t>
        </is>
      </c>
      <c r="D792" s="20" t="inlineStr">
        <is>
          <t>Furniture</t>
        </is>
      </c>
      <c r="E792" s="20" t="inlineStr">
        <is>
          <t>Ergo Chair</t>
        </is>
      </c>
      <c r="F792" s="20" t="inlineStr">
        <is>
          <t>Enterprise</t>
        </is>
      </c>
      <c r="G792" s="20" t="inlineStr">
        <is>
          <t>Tech Mahindra</t>
        </is>
      </c>
      <c r="H792" s="20" t="n">
        <v>15</v>
      </c>
      <c r="I792" s="22" t="n">
        <v>19105.34</v>
      </c>
      <c r="J792" s="23" t="n">
        <v>0</v>
      </c>
      <c r="K792" s="24" t="n">
        <v>286580.1</v>
      </c>
      <c r="L792" s="24" t="n">
        <v>177388.06</v>
      </c>
      <c r="M792" s="24" t="n">
        <v>109192.04</v>
      </c>
    </row>
    <row r="793">
      <c r="A793" s="20" t="inlineStr">
        <is>
          <t>ORD-20240792</t>
        </is>
      </c>
      <c r="B793" s="21" t="n">
        <v>45788</v>
      </c>
      <c r="C793" s="20" t="inlineStr">
        <is>
          <t>South</t>
        </is>
      </c>
      <c r="D793" s="20" t="inlineStr">
        <is>
          <t>Apparel</t>
        </is>
      </c>
      <c r="E793" s="20" t="inlineStr">
        <is>
          <t>Polo Shirt</t>
        </is>
      </c>
      <c r="F793" s="20" t="inlineStr">
        <is>
          <t>Consumer</t>
        </is>
      </c>
      <c r="G793" s="20" t="inlineStr">
        <is>
          <t>Retail Counter</t>
        </is>
      </c>
      <c r="H793" s="20" t="n">
        <v>5</v>
      </c>
      <c r="I793" s="22" t="n">
        <v>4659.06</v>
      </c>
      <c r="J793" s="23" t="n">
        <v>0.15</v>
      </c>
      <c r="K793" s="24" t="n">
        <v>19801.01</v>
      </c>
      <c r="L793" s="24" t="n">
        <v>17531.92</v>
      </c>
      <c r="M793" s="24" t="n">
        <v>2269.09</v>
      </c>
    </row>
    <row r="794">
      <c r="A794" s="20" t="inlineStr">
        <is>
          <t>ORD-20240793</t>
        </is>
      </c>
      <c r="B794" s="21" t="n">
        <v>45788</v>
      </c>
      <c r="C794" s="20" t="inlineStr">
        <is>
          <t>South</t>
        </is>
      </c>
      <c r="D794" s="20" t="inlineStr">
        <is>
          <t>Furniture</t>
        </is>
      </c>
      <c r="E794" s="20" t="inlineStr">
        <is>
          <t>Ergo Chair</t>
        </is>
      </c>
      <c r="F794" s="20" t="inlineStr">
        <is>
          <t>Government</t>
        </is>
      </c>
      <c r="G794" s="20" t="inlineStr">
        <is>
          <t>MH Education Dept</t>
        </is>
      </c>
      <c r="H794" s="20" t="n">
        <v>13</v>
      </c>
      <c r="I794" s="22" t="n">
        <v>40383.02</v>
      </c>
      <c r="J794" s="23" t="n">
        <v>0</v>
      </c>
      <c r="K794" s="24" t="n">
        <v>524979.26</v>
      </c>
      <c r="L794" s="24" t="n">
        <v>345608.42</v>
      </c>
      <c r="M794" s="24" t="n">
        <v>179370.84</v>
      </c>
    </row>
    <row r="795">
      <c r="A795" s="20" t="inlineStr">
        <is>
          <t>ORD-20240794</t>
        </is>
      </c>
      <c r="B795" s="21" t="n">
        <v>45789</v>
      </c>
      <c r="C795" s="20" t="inlineStr">
        <is>
          <t>West</t>
        </is>
      </c>
      <c r="D795" s="20" t="inlineStr">
        <is>
          <t>Home &amp; Kitchen</t>
        </is>
      </c>
      <c r="E795" s="20" t="inlineStr">
        <is>
          <t>Air Fryer</t>
        </is>
      </c>
      <c r="F795" s="20" t="inlineStr">
        <is>
          <t>Consumer</t>
        </is>
      </c>
      <c r="G795" s="20" t="inlineStr">
        <is>
          <t>Walk-in Delhi</t>
        </is>
      </c>
      <c r="H795" s="20" t="n">
        <v>12</v>
      </c>
      <c r="I795" s="22" t="n">
        <v>9338.690000000001</v>
      </c>
      <c r="J795" s="23" t="n">
        <v>0.05</v>
      </c>
      <c r="K795" s="24" t="n">
        <v>106461.07</v>
      </c>
      <c r="L795" s="24" t="n">
        <v>70443.42999999999</v>
      </c>
      <c r="M795" s="24" t="n">
        <v>36017.64</v>
      </c>
    </row>
    <row r="796">
      <c r="A796" s="20" t="inlineStr">
        <is>
          <t>ORD-20240795</t>
        </is>
      </c>
      <c r="B796" s="21" t="n">
        <v>45789</v>
      </c>
      <c r="C796" s="20" t="inlineStr">
        <is>
          <t>East</t>
        </is>
      </c>
      <c r="D796" s="20" t="inlineStr">
        <is>
          <t>Furniture</t>
        </is>
      </c>
      <c r="E796" s="20" t="inlineStr">
        <is>
          <t>Ergo Chair</t>
        </is>
      </c>
      <c r="F796" s="20" t="inlineStr">
        <is>
          <t>Government</t>
        </is>
      </c>
      <c r="G796" s="20" t="inlineStr">
        <is>
          <t>Municipal Corp Hyd</t>
        </is>
      </c>
      <c r="H796" s="20" t="n">
        <v>24</v>
      </c>
      <c r="I796" s="22" t="n">
        <v>2841.23</v>
      </c>
      <c r="J796" s="23" t="n">
        <v>0.15</v>
      </c>
      <c r="K796" s="24" t="n">
        <v>57961.09</v>
      </c>
      <c r="L796" s="24" t="n">
        <v>42044.11</v>
      </c>
      <c r="M796" s="24" t="n">
        <v>15916.98</v>
      </c>
    </row>
    <row r="797">
      <c r="A797" s="20" t="inlineStr">
        <is>
          <t>ORD-20240796</t>
        </is>
      </c>
      <c r="B797" s="21" t="n">
        <v>45790</v>
      </c>
      <c r="C797" s="20" t="inlineStr">
        <is>
          <t>Central</t>
        </is>
      </c>
      <c r="D797" s="20" t="inlineStr">
        <is>
          <t>Office Supplies</t>
        </is>
      </c>
      <c r="E797" s="20" t="inlineStr">
        <is>
          <t>Gel Pen Pack</t>
        </is>
      </c>
      <c r="F797" s="20" t="inlineStr">
        <is>
          <t>Government</t>
        </is>
      </c>
      <c r="G797" s="20" t="inlineStr">
        <is>
          <t>State Health UP</t>
        </is>
      </c>
      <c r="H797" s="20" t="n">
        <v>20</v>
      </c>
      <c r="I797" s="22" t="n">
        <v>525.64</v>
      </c>
      <c r="J797" s="23" t="n">
        <v>0.12</v>
      </c>
      <c r="K797" s="24" t="n">
        <v>9251.26</v>
      </c>
      <c r="L797" s="24" t="n">
        <v>6804.92</v>
      </c>
      <c r="M797" s="24" t="n">
        <v>2446.34</v>
      </c>
    </row>
    <row r="798">
      <c r="A798" s="20" t="inlineStr">
        <is>
          <t>ORD-20240797</t>
        </is>
      </c>
      <c r="B798" s="21" t="n">
        <v>45791</v>
      </c>
      <c r="C798" s="20" t="inlineStr">
        <is>
          <t>Central</t>
        </is>
      </c>
      <c r="D798" s="20" t="inlineStr">
        <is>
          <t>Office Supplies</t>
        </is>
      </c>
      <c r="E798" s="20" t="inlineStr">
        <is>
          <t>Whiteboard Kit</t>
        </is>
      </c>
      <c r="F798" s="20" t="inlineStr">
        <is>
          <t>Government</t>
        </is>
      </c>
      <c r="G798" s="20" t="inlineStr">
        <is>
          <t>MH Education Dept</t>
        </is>
      </c>
      <c r="H798" s="20" t="n">
        <v>11</v>
      </c>
      <c r="I798" s="22" t="n">
        <v>3025.26</v>
      </c>
      <c r="J798" s="23" t="n">
        <v>0</v>
      </c>
      <c r="K798" s="24" t="n">
        <v>33277.86</v>
      </c>
      <c r="L798" s="24" t="n">
        <v>24264.77</v>
      </c>
      <c r="M798" s="24" t="n">
        <v>9013.09</v>
      </c>
    </row>
    <row r="799">
      <c r="A799" s="20" t="inlineStr">
        <is>
          <t>ORD-20240798</t>
        </is>
      </c>
      <c r="B799" s="21" t="n">
        <v>45791</v>
      </c>
      <c r="C799" s="20" t="inlineStr">
        <is>
          <t>South</t>
        </is>
      </c>
      <c r="D799" s="20" t="inlineStr">
        <is>
          <t>Apparel</t>
        </is>
      </c>
      <c r="E799" s="20" t="inlineStr">
        <is>
          <t>Formal Blazer</t>
        </is>
      </c>
      <c r="F799" s="20" t="inlineStr">
        <is>
          <t>SMB</t>
        </is>
      </c>
      <c r="G799" s="20" t="inlineStr">
        <is>
          <t>SwiftPrint</t>
        </is>
      </c>
      <c r="H799" s="20" t="n">
        <v>24</v>
      </c>
      <c r="I799" s="22" t="n">
        <v>2571.47</v>
      </c>
      <c r="J799" s="23" t="n">
        <v>0.1</v>
      </c>
      <c r="K799" s="24" t="n">
        <v>55543.75</v>
      </c>
      <c r="L799" s="24" t="n">
        <v>34517.14</v>
      </c>
      <c r="M799" s="24" t="n">
        <v>21026.61</v>
      </c>
    </row>
    <row r="800">
      <c r="A800" s="20" t="inlineStr">
        <is>
          <t>ORD-20240799</t>
        </is>
      </c>
      <c r="B800" s="21" t="n">
        <v>45791</v>
      </c>
      <c r="C800" s="20" t="inlineStr">
        <is>
          <t>West</t>
        </is>
      </c>
      <c r="D800" s="20" t="inlineStr">
        <is>
          <t>Electronics</t>
        </is>
      </c>
      <c r="E800" s="20" t="inlineStr">
        <is>
          <t>Monitor 27in</t>
        </is>
      </c>
      <c r="F800" s="20" t="inlineStr">
        <is>
          <t>SMB</t>
        </is>
      </c>
      <c r="G800" s="20" t="inlineStr">
        <is>
          <t>BrightRetail Co</t>
        </is>
      </c>
      <c r="H800" s="20" t="n">
        <v>17</v>
      </c>
      <c r="I800" s="22" t="n">
        <v>44105.63</v>
      </c>
      <c r="J800" s="23" t="n">
        <v>0</v>
      </c>
      <c r="K800" s="24" t="n">
        <v>749795.71</v>
      </c>
      <c r="L800" s="24" t="n">
        <v>483217.38</v>
      </c>
      <c r="M800" s="24" t="n">
        <v>266578.33</v>
      </c>
    </row>
    <row r="801">
      <c r="A801" s="20" t="inlineStr">
        <is>
          <t>ORD-20240800</t>
        </is>
      </c>
      <c r="B801" s="21" t="n">
        <v>45792</v>
      </c>
      <c r="C801" s="20" t="inlineStr">
        <is>
          <t>West</t>
        </is>
      </c>
      <c r="D801" s="20" t="inlineStr">
        <is>
          <t>Office Supplies</t>
        </is>
      </c>
      <c r="E801" s="20" t="inlineStr">
        <is>
          <t>A4 Paper Ream</t>
        </is>
      </c>
      <c r="F801" s="20" t="inlineStr">
        <is>
          <t>Enterprise</t>
        </is>
      </c>
      <c r="G801" s="20" t="inlineStr">
        <is>
          <t>Wipro Tech</t>
        </is>
      </c>
      <c r="H801" s="20" t="n">
        <v>13</v>
      </c>
      <c r="I801" s="22" t="n">
        <v>2017.72</v>
      </c>
      <c r="J801" s="23" t="n">
        <v>0.1</v>
      </c>
      <c r="K801" s="24" t="n">
        <v>23607.32</v>
      </c>
      <c r="L801" s="24" t="n">
        <v>17880.81</v>
      </c>
      <c r="M801" s="24" t="n">
        <v>5726.51</v>
      </c>
    </row>
    <row r="802">
      <c r="A802" s="20" t="inlineStr">
        <is>
          <t>ORD-20240801</t>
        </is>
      </c>
      <c r="B802" s="21" t="n">
        <v>45793</v>
      </c>
      <c r="C802" s="20" t="inlineStr">
        <is>
          <t>West</t>
        </is>
      </c>
      <c r="D802" s="20" t="inlineStr">
        <is>
          <t>Office Supplies</t>
        </is>
      </c>
      <c r="E802" s="20" t="inlineStr">
        <is>
          <t>Stapler Heavy</t>
        </is>
      </c>
      <c r="F802" s="20" t="inlineStr">
        <is>
          <t>Consumer</t>
        </is>
      </c>
      <c r="G802" s="20" t="inlineStr">
        <is>
          <t>App User North</t>
        </is>
      </c>
      <c r="H802" s="20" t="n">
        <v>22</v>
      </c>
      <c r="I802" s="22" t="n">
        <v>3484.38</v>
      </c>
      <c r="J802" s="23" t="n">
        <v>0.1</v>
      </c>
      <c r="K802" s="24" t="n">
        <v>68990.72</v>
      </c>
      <c r="L802" s="24" t="n">
        <v>59723.89</v>
      </c>
      <c r="M802" s="24" t="n">
        <v>9266.83</v>
      </c>
    </row>
    <row r="803">
      <c r="A803" s="20" t="inlineStr">
        <is>
          <t>ORD-20240802</t>
        </is>
      </c>
      <c r="B803" s="21" t="n">
        <v>45794</v>
      </c>
      <c r="C803" s="20" t="inlineStr">
        <is>
          <t>South</t>
        </is>
      </c>
      <c r="D803" s="20" t="inlineStr">
        <is>
          <t>Furniture</t>
        </is>
      </c>
      <c r="E803" s="20" t="inlineStr">
        <is>
          <t>Ergo Chair</t>
        </is>
      </c>
      <c r="F803" s="20" t="inlineStr">
        <is>
          <t>Government</t>
        </is>
      </c>
      <c r="G803" s="20" t="inlineStr">
        <is>
          <t>State Health UP</t>
        </is>
      </c>
      <c r="H803" s="20" t="n">
        <v>18</v>
      </c>
      <c r="I803" s="22" t="n">
        <v>34722</v>
      </c>
      <c r="J803" s="23" t="n">
        <v>0.15</v>
      </c>
      <c r="K803" s="24" t="n">
        <v>531246.6</v>
      </c>
      <c r="L803" s="24" t="n">
        <v>436595.75</v>
      </c>
      <c r="M803" s="24" t="n">
        <v>94650.85000000001</v>
      </c>
    </row>
    <row r="804">
      <c r="A804" s="20" t="inlineStr">
        <is>
          <t>ORD-20240803</t>
        </is>
      </c>
      <c r="B804" s="21" t="n">
        <v>45794</v>
      </c>
      <c r="C804" s="20" t="inlineStr">
        <is>
          <t>West</t>
        </is>
      </c>
      <c r="D804" s="20" t="inlineStr">
        <is>
          <t>Home &amp; Kitchen</t>
        </is>
      </c>
      <c r="E804" s="20" t="inlineStr">
        <is>
          <t>Vacuum Robot</t>
        </is>
      </c>
      <c r="F804" s="20" t="inlineStr">
        <is>
          <t>Enterprise</t>
        </is>
      </c>
      <c r="G804" s="20" t="inlineStr">
        <is>
          <t>Infosys Ltd</t>
        </is>
      </c>
      <c r="H804" s="20" t="n">
        <v>16</v>
      </c>
      <c r="I804" s="22" t="n">
        <v>23876.91</v>
      </c>
      <c r="J804" s="23" t="n">
        <v>0.12</v>
      </c>
      <c r="K804" s="24" t="n">
        <v>336186.89</v>
      </c>
      <c r="L804" s="24" t="n">
        <v>270402.16</v>
      </c>
      <c r="M804" s="24" t="n">
        <v>65784.73</v>
      </c>
    </row>
    <row r="805">
      <c r="A805" s="20" t="inlineStr">
        <is>
          <t>ORD-20240804</t>
        </is>
      </c>
      <c r="B805" s="21" t="n">
        <v>45794</v>
      </c>
      <c r="C805" s="20" t="inlineStr">
        <is>
          <t>East</t>
        </is>
      </c>
      <c r="D805" s="20" t="inlineStr">
        <is>
          <t>Home &amp; Kitchen</t>
        </is>
      </c>
      <c r="E805" s="20" t="inlineStr">
        <is>
          <t>Air Fryer</t>
        </is>
      </c>
      <c r="F805" s="20" t="inlineStr">
        <is>
          <t>Consumer</t>
        </is>
      </c>
      <c r="G805" s="20" t="inlineStr">
        <is>
          <t>App User North</t>
        </is>
      </c>
      <c r="H805" s="20" t="n">
        <v>7</v>
      </c>
      <c r="I805" s="22" t="n">
        <v>27901.85</v>
      </c>
      <c r="J805" s="23" t="n">
        <v>0.05</v>
      </c>
      <c r="K805" s="24" t="n">
        <v>185547.3</v>
      </c>
      <c r="L805" s="24" t="n">
        <v>138597.11</v>
      </c>
      <c r="M805" s="24" t="n">
        <v>46950.19</v>
      </c>
    </row>
    <row r="806">
      <c r="A806" s="20" t="inlineStr">
        <is>
          <t>ORD-20240805</t>
        </is>
      </c>
      <c r="B806" s="21" t="n">
        <v>45795</v>
      </c>
      <c r="C806" s="20" t="inlineStr">
        <is>
          <t>West</t>
        </is>
      </c>
      <c r="D806" s="20" t="inlineStr">
        <is>
          <t>Furniture</t>
        </is>
      </c>
      <c r="E806" s="20" t="inlineStr">
        <is>
          <t>Ergo Chair</t>
        </is>
      </c>
      <c r="F806" s="20" t="inlineStr">
        <is>
          <t>Consumer</t>
        </is>
      </c>
      <c r="G806" s="20" t="inlineStr">
        <is>
          <t>Online Guest</t>
        </is>
      </c>
      <c r="H806" s="20" t="n">
        <v>1</v>
      </c>
      <c r="I806" s="22" t="n">
        <v>16859.31</v>
      </c>
      <c r="J806" s="23" t="n">
        <v>0.05</v>
      </c>
      <c r="K806" s="24" t="n">
        <v>16016.34</v>
      </c>
      <c r="L806" s="24" t="n">
        <v>10478.37</v>
      </c>
      <c r="M806" s="24" t="n">
        <v>5537.97</v>
      </c>
    </row>
    <row r="807">
      <c r="A807" s="20" t="inlineStr">
        <is>
          <t>ORD-20240806</t>
        </is>
      </c>
      <c r="B807" s="21" t="n">
        <v>45795</v>
      </c>
      <c r="C807" s="20" t="inlineStr">
        <is>
          <t>Central</t>
        </is>
      </c>
      <c r="D807" s="20" t="inlineStr">
        <is>
          <t>Office Supplies</t>
        </is>
      </c>
      <c r="E807" s="20" t="inlineStr">
        <is>
          <t>Stapler Heavy</t>
        </is>
      </c>
      <c r="F807" s="20" t="inlineStr">
        <is>
          <t>Consumer</t>
        </is>
      </c>
      <c r="G807" s="20" t="inlineStr">
        <is>
          <t>Retail Counter</t>
        </is>
      </c>
      <c r="H807" s="20" t="n">
        <v>11</v>
      </c>
      <c r="I807" s="22" t="n">
        <v>1553.43</v>
      </c>
      <c r="J807" s="23" t="n">
        <v>0</v>
      </c>
      <c r="K807" s="24" t="n">
        <v>17087.73</v>
      </c>
      <c r="L807" s="24" t="n">
        <v>10638.39</v>
      </c>
      <c r="M807" s="24" t="n">
        <v>6449.34</v>
      </c>
    </row>
    <row r="808">
      <c r="A808" s="20" t="inlineStr">
        <is>
          <t>ORD-20240807</t>
        </is>
      </c>
      <c r="B808" s="21" t="n">
        <v>45795</v>
      </c>
      <c r="C808" s="20" t="inlineStr">
        <is>
          <t>Central</t>
        </is>
      </c>
      <c r="D808" s="20" t="inlineStr">
        <is>
          <t>Furniture</t>
        </is>
      </c>
      <c r="E808" s="20" t="inlineStr">
        <is>
          <t>Standing Desk</t>
        </is>
      </c>
      <c r="F808" s="20" t="inlineStr">
        <is>
          <t>Government</t>
        </is>
      </c>
      <c r="G808" s="20" t="inlineStr">
        <is>
          <t>Municipal Corp Hyd</t>
        </is>
      </c>
      <c r="H808" s="20" t="n">
        <v>11</v>
      </c>
      <c r="I808" s="22" t="n">
        <v>10300.68</v>
      </c>
      <c r="J808" s="23" t="n">
        <v>0</v>
      </c>
      <c r="K808" s="24" t="n">
        <v>113307.48</v>
      </c>
      <c r="L808" s="24" t="n">
        <v>64003.08</v>
      </c>
      <c r="M808" s="24" t="n">
        <v>49304.4</v>
      </c>
    </row>
    <row r="809">
      <c r="A809" s="20" t="inlineStr">
        <is>
          <t>ORD-20240808</t>
        </is>
      </c>
      <c r="B809" s="21" t="n">
        <v>45795</v>
      </c>
      <c r="C809" s="20" t="inlineStr">
        <is>
          <t>East</t>
        </is>
      </c>
      <c r="D809" s="20" t="inlineStr">
        <is>
          <t>Office Supplies</t>
        </is>
      </c>
      <c r="E809" s="20" t="inlineStr">
        <is>
          <t>Gel Pen Pack</t>
        </is>
      </c>
      <c r="F809" s="20" t="inlineStr">
        <is>
          <t>Government</t>
        </is>
      </c>
      <c r="G809" s="20" t="inlineStr">
        <is>
          <t>Railways Zone W</t>
        </is>
      </c>
      <c r="H809" s="20" t="n">
        <v>20</v>
      </c>
      <c r="I809" s="22" t="n">
        <v>397.63</v>
      </c>
      <c r="J809" s="23" t="n">
        <v>0</v>
      </c>
      <c r="K809" s="24" t="n">
        <v>7952.6</v>
      </c>
      <c r="L809" s="24" t="n">
        <v>4835.34</v>
      </c>
      <c r="M809" s="24" t="n">
        <v>3117.26</v>
      </c>
    </row>
    <row r="810">
      <c r="A810" s="20" t="inlineStr">
        <is>
          <t>ORD-20240809</t>
        </is>
      </c>
      <c r="B810" s="21" t="n">
        <v>45796</v>
      </c>
      <c r="C810" s="20" t="inlineStr">
        <is>
          <t>West</t>
        </is>
      </c>
      <c r="D810" s="20" t="inlineStr">
        <is>
          <t>Furniture</t>
        </is>
      </c>
      <c r="E810" s="20" t="inlineStr">
        <is>
          <t>Conference Table</t>
        </is>
      </c>
      <c r="F810" s="20" t="inlineStr">
        <is>
          <t>Enterprise</t>
        </is>
      </c>
      <c r="G810" s="20" t="inlineStr">
        <is>
          <t>HCL Services</t>
        </is>
      </c>
      <c r="H810" s="20" t="n">
        <v>2</v>
      </c>
      <c r="I810" s="22" t="n">
        <v>21264.59</v>
      </c>
      <c r="J810" s="23" t="n">
        <v>0.2</v>
      </c>
      <c r="K810" s="24" t="n">
        <v>34023.34</v>
      </c>
      <c r="L810" s="24" t="n">
        <v>28137.13</v>
      </c>
      <c r="M810" s="24" t="n">
        <v>5886.21</v>
      </c>
    </row>
    <row r="811">
      <c r="A811" s="20" t="inlineStr">
        <is>
          <t>ORD-20240810</t>
        </is>
      </c>
      <c r="B811" s="21" t="n">
        <v>45797</v>
      </c>
      <c r="C811" s="20" t="inlineStr">
        <is>
          <t>North</t>
        </is>
      </c>
      <c r="D811" s="20" t="inlineStr">
        <is>
          <t>Office Supplies</t>
        </is>
      </c>
      <c r="E811" s="20" t="inlineStr">
        <is>
          <t>Notebook Set</t>
        </is>
      </c>
      <c r="F811" s="20" t="inlineStr">
        <is>
          <t>Government</t>
        </is>
      </c>
      <c r="G811" s="20" t="inlineStr">
        <is>
          <t>State Health UP</t>
        </is>
      </c>
      <c r="H811" s="20" t="n">
        <v>11</v>
      </c>
      <c r="I811" s="22" t="n">
        <v>2856.21</v>
      </c>
      <c r="J811" s="23" t="n">
        <v>0.05</v>
      </c>
      <c r="K811" s="24" t="n">
        <v>29847.39</v>
      </c>
      <c r="L811" s="24" t="n">
        <v>18704.52</v>
      </c>
      <c r="M811" s="24" t="n">
        <v>11142.87</v>
      </c>
    </row>
    <row r="812">
      <c r="A812" s="20" t="inlineStr">
        <is>
          <t>ORD-20240811</t>
        </is>
      </c>
      <c r="B812" s="21" t="n">
        <v>45797</v>
      </c>
      <c r="C812" s="20" t="inlineStr">
        <is>
          <t>South</t>
        </is>
      </c>
      <c r="D812" s="20" t="inlineStr">
        <is>
          <t>Apparel</t>
        </is>
      </c>
      <c r="E812" s="20" t="inlineStr">
        <is>
          <t>Cap Embroidered</t>
        </is>
      </c>
      <c r="F812" s="20" t="inlineStr">
        <is>
          <t>Consumer</t>
        </is>
      </c>
      <c r="G812" s="20" t="inlineStr">
        <is>
          <t>Walk-in Mumbai</t>
        </is>
      </c>
      <c r="H812" s="20" t="n">
        <v>13</v>
      </c>
      <c r="I812" s="22" t="n">
        <v>1129.23</v>
      </c>
      <c r="J812" s="23" t="n">
        <v>0.05</v>
      </c>
      <c r="K812" s="24" t="n">
        <v>13945.99</v>
      </c>
      <c r="L812" s="24" t="n">
        <v>9862.01</v>
      </c>
      <c r="M812" s="24" t="n">
        <v>4083.98</v>
      </c>
    </row>
    <row r="813">
      <c r="A813" s="20" t="inlineStr">
        <is>
          <t>ORD-20240812</t>
        </is>
      </c>
      <c r="B813" s="21" t="n">
        <v>45798</v>
      </c>
      <c r="C813" s="20" t="inlineStr">
        <is>
          <t>West</t>
        </is>
      </c>
      <c r="D813" s="20" t="inlineStr">
        <is>
          <t>Electronics</t>
        </is>
      </c>
      <c r="E813" s="20" t="inlineStr">
        <is>
          <t>USB-C Hub</t>
        </is>
      </c>
      <c r="F813" s="20" t="inlineStr">
        <is>
          <t>SMB</t>
        </is>
      </c>
      <c r="G813" s="20" t="inlineStr">
        <is>
          <t>GreenFarm Agro</t>
        </is>
      </c>
      <c r="H813" s="20" t="n">
        <v>19</v>
      </c>
      <c r="I813" s="22" t="n">
        <v>52189.93</v>
      </c>
      <c r="J813" s="23" t="n">
        <v>0.12</v>
      </c>
      <c r="K813" s="24" t="n">
        <v>872615.63</v>
      </c>
      <c r="L813" s="24" t="n">
        <v>622106.74</v>
      </c>
      <c r="M813" s="24" t="n">
        <v>250508.89</v>
      </c>
    </row>
    <row r="814">
      <c r="A814" s="20" t="inlineStr">
        <is>
          <t>ORD-20240813</t>
        </is>
      </c>
      <c r="B814" s="21" t="n">
        <v>45798</v>
      </c>
      <c r="C814" s="20" t="inlineStr">
        <is>
          <t>North</t>
        </is>
      </c>
      <c r="D814" s="20" t="inlineStr">
        <is>
          <t>Electronics</t>
        </is>
      </c>
      <c r="E814" s="20" t="inlineStr">
        <is>
          <t>USB-C Hub</t>
        </is>
      </c>
      <c r="F814" s="20" t="inlineStr">
        <is>
          <t>Government</t>
        </is>
      </c>
      <c r="G814" s="20" t="inlineStr">
        <is>
          <t>MH Education Dept</t>
        </is>
      </c>
      <c r="H814" s="20" t="n">
        <v>7</v>
      </c>
      <c r="I814" s="22" t="n">
        <v>69441.17999999999</v>
      </c>
      <c r="J814" s="23" t="n">
        <v>0.2</v>
      </c>
      <c r="K814" s="24" t="n">
        <v>388870.61</v>
      </c>
      <c r="L814" s="24" t="n">
        <v>323856.67</v>
      </c>
      <c r="M814" s="24" t="n">
        <v>65013.94</v>
      </c>
    </row>
    <row r="815">
      <c r="A815" s="20" t="inlineStr">
        <is>
          <t>ORD-20240814</t>
        </is>
      </c>
      <c r="B815" s="21" t="n">
        <v>45798</v>
      </c>
      <c r="C815" s="20" t="inlineStr">
        <is>
          <t>North</t>
        </is>
      </c>
      <c r="D815" s="20" t="inlineStr">
        <is>
          <t>Furniture</t>
        </is>
      </c>
      <c r="E815" s="20" t="inlineStr">
        <is>
          <t>Filing Cabinet</t>
        </is>
      </c>
      <c r="F815" s="20" t="inlineStr">
        <is>
          <t>Enterprise</t>
        </is>
      </c>
      <c r="G815" s="20" t="inlineStr">
        <is>
          <t>L&amp;T Infotech</t>
        </is>
      </c>
      <c r="H815" s="20" t="n">
        <v>17</v>
      </c>
      <c r="I815" s="22" t="n">
        <v>20994.25</v>
      </c>
      <c r="J815" s="23" t="n">
        <v>0.15</v>
      </c>
      <c r="K815" s="24" t="n">
        <v>303366.91</v>
      </c>
      <c r="L815" s="24" t="n">
        <v>264203.75</v>
      </c>
      <c r="M815" s="24" t="n">
        <v>39163.16</v>
      </c>
    </row>
    <row r="816">
      <c r="A816" s="20" t="inlineStr">
        <is>
          <t>ORD-20240815</t>
        </is>
      </c>
      <c r="B816" s="21" t="n">
        <v>45799</v>
      </c>
      <c r="C816" s="20" t="inlineStr">
        <is>
          <t>East</t>
        </is>
      </c>
      <c r="D816" s="20" t="inlineStr">
        <is>
          <t>Office Supplies</t>
        </is>
      </c>
      <c r="E816" s="20" t="inlineStr">
        <is>
          <t>A4 Paper Ream</t>
        </is>
      </c>
      <c r="F816" s="20" t="inlineStr">
        <is>
          <t>SMB</t>
        </is>
      </c>
      <c r="G816" s="20" t="inlineStr">
        <is>
          <t>CityCare Clinics</t>
        </is>
      </c>
      <c r="H816" s="20" t="n">
        <v>10</v>
      </c>
      <c r="I816" s="22" t="n">
        <v>630.3200000000001</v>
      </c>
      <c r="J816" s="23" t="n">
        <v>0.15</v>
      </c>
      <c r="K816" s="24" t="n">
        <v>5357.72</v>
      </c>
      <c r="L816" s="24" t="n">
        <v>4286.8</v>
      </c>
      <c r="M816" s="24" t="n">
        <v>1070.92</v>
      </c>
    </row>
    <row r="817">
      <c r="A817" s="20" t="inlineStr">
        <is>
          <t>ORD-20240816</t>
        </is>
      </c>
      <c r="B817" s="21" t="n">
        <v>45800</v>
      </c>
      <c r="C817" s="20" t="inlineStr">
        <is>
          <t>West</t>
        </is>
      </c>
      <c r="D817" s="20" t="inlineStr">
        <is>
          <t>Office Supplies</t>
        </is>
      </c>
      <c r="E817" s="20" t="inlineStr">
        <is>
          <t>A4 Paper Ream</t>
        </is>
      </c>
      <c r="F817" s="20" t="inlineStr">
        <is>
          <t>Consumer</t>
        </is>
      </c>
      <c r="G817" s="20" t="inlineStr">
        <is>
          <t>Walk-in Delhi</t>
        </is>
      </c>
      <c r="H817" s="20" t="n">
        <v>19</v>
      </c>
      <c r="I817" s="22" t="n">
        <v>3034.48</v>
      </c>
      <c r="J817" s="23" t="n">
        <v>0</v>
      </c>
      <c r="K817" s="24" t="n">
        <v>57655.12</v>
      </c>
      <c r="L817" s="24" t="n">
        <v>43785.71</v>
      </c>
      <c r="M817" s="24" t="n">
        <v>13869.41</v>
      </c>
    </row>
    <row r="818">
      <c r="A818" s="20" t="inlineStr">
        <is>
          <t>ORD-20240817</t>
        </is>
      </c>
      <c r="B818" s="21" t="n">
        <v>45801</v>
      </c>
      <c r="C818" s="20" t="inlineStr">
        <is>
          <t>West</t>
        </is>
      </c>
      <c r="D818" s="20" t="inlineStr">
        <is>
          <t>Office Supplies</t>
        </is>
      </c>
      <c r="E818" s="20" t="inlineStr">
        <is>
          <t>Stapler Heavy</t>
        </is>
      </c>
      <c r="F818" s="20" t="inlineStr">
        <is>
          <t>Government</t>
        </is>
      </c>
      <c r="G818" s="20" t="inlineStr">
        <is>
          <t>Municipal Corp Hyd</t>
        </is>
      </c>
      <c r="H818" s="20" t="n">
        <v>21</v>
      </c>
      <c r="I818" s="22" t="n">
        <v>1289.45</v>
      </c>
      <c r="J818" s="23" t="n">
        <v>0.05</v>
      </c>
      <c r="K818" s="24" t="n">
        <v>25724.53</v>
      </c>
      <c r="L818" s="24" t="n">
        <v>17133.03</v>
      </c>
      <c r="M818" s="24" t="n">
        <v>8591.5</v>
      </c>
    </row>
    <row r="819">
      <c r="A819" s="20" t="inlineStr">
        <is>
          <t>ORD-20240818</t>
        </is>
      </c>
      <c r="B819" s="21" t="n">
        <v>45801</v>
      </c>
      <c r="C819" s="20" t="inlineStr">
        <is>
          <t>North</t>
        </is>
      </c>
      <c r="D819" s="20" t="inlineStr">
        <is>
          <t>Office Supplies</t>
        </is>
      </c>
      <c r="E819" s="20" t="inlineStr">
        <is>
          <t>Gel Pen Pack</t>
        </is>
      </c>
      <c r="F819" s="20" t="inlineStr">
        <is>
          <t>SMB</t>
        </is>
      </c>
      <c r="G819" s="20" t="inlineStr">
        <is>
          <t>Nova Logistics</t>
        </is>
      </c>
      <c r="H819" s="20" t="n">
        <v>1</v>
      </c>
      <c r="I819" s="22" t="n">
        <v>2197.83</v>
      </c>
      <c r="J819" s="23" t="n">
        <v>0.05</v>
      </c>
      <c r="K819" s="24" t="n">
        <v>2087.94</v>
      </c>
      <c r="L819" s="24" t="n">
        <v>1214.98</v>
      </c>
      <c r="M819" s="24" t="n">
        <v>872.96</v>
      </c>
    </row>
    <row r="820">
      <c r="A820" s="20" t="inlineStr">
        <is>
          <t>ORD-20240819</t>
        </is>
      </c>
      <c r="B820" s="21" t="n">
        <v>45802</v>
      </c>
      <c r="C820" s="20" t="inlineStr">
        <is>
          <t>North</t>
        </is>
      </c>
      <c r="D820" s="20" t="inlineStr">
        <is>
          <t>Apparel</t>
        </is>
      </c>
      <c r="E820" s="20" t="inlineStr">
        <is>
          <t>Hoodie Soft</t>
        </is>
      </c>
      <c r="F820" s="20" t="inlineStr">
        <is>
          <t>Government</t>
        </is>
      </c>
      <c r="G820" s="20" t="inlineStr">
        <is>
          <t>State Health UP</t>
        </is>
      </c>
      <c r="H820" s="20" t="n">
        <v>2</v>
      </c>
      <c r="I820" s="22" t="n">
        <v>1180.64</v>
      </c>
      <c r="J820" s="23" t="n">
        <v>0.1</v>
      </c>
      <c r="K820" s="24" t="n">
        <v>2125.15</v>
      </c>
      <c r="L820" s="24" t="n">
        <v>1636.85</v>
      </c>
      <c r="M820" s="24" t="n">
        <v>488.3</v>
      </c>
    </row>
    <row r="821">
      <c r="A821" s="20" t="inlineStr">
        <is>
          <t>ORD-20240820</t>
        </is>
      </c>
      <c r="B821" s="21" t="n">
        <v>45802</v>
      </c>
      <c r="C821" s="20" t="inlineStr">
        <is>
          <t>West</t>
        </is>
      </c>
      <c r="D821" s="20" t="inlineStr">
        <is>
          <t>Home &amp; Kitchen</t>
        </is>
      </c>
      <c r="E821" s="20" t="inlineStr">
        <is>
          <t>Water Purifier</t>
        </is>
      </c>
      <c r="F821" s="20" t="inlineStr">
        <is>
          <t>SMB</t>
        </is>
      </c>
      <c r="G821" s="20" t="inlineStr">
        <is>
          <t>BrightRetail Co</t>
        </is>
      </c>
      <c r="H821" s="20" t="n">
        <v>15</v>
      </c>
      <c r="I821" s="22" t="n">
        <v>12992.54</v>
      </c>
      <c r="J821" s="23" t="n">
        <v>0.15</v>
      </c>
      <c r="K821" s="24" t="n">
        <v>165654.89</v>
      </c>
      <c r="L821" s="24" t="n">
        <v>111133.88</v>
      </c>
      <c r="M821" s="24" t="n">
        <v>54521.01</v>
      </c>
    </row>
    <row r="822">
      <c r="A822" s="20" t="inlineStr">
        <is>
          <t>ORD-20240821</t>
        </is>
      </c>
      <c r="B822" s="21" t="n">
        <v>45802</v>
      </c>
      <c r="C822" s="20" t="inlineStr">
        <is>
          <t>Central</t>
        </is>
      </c>
      <c r="D822" s="20" t="inlineStr">
        <is>
          <t>Apparel</t>
        </is>
      </c>
      <c r="E822" s="20" t="inlineStr">
        <is>
          <t>Polo Shirt</t>
        </is>
      </c>
      <c r="F822" s="20" t="inlineStr">
        <is>
          <t>Enterprise</t>
        </is>
      </c>
      <c r="G822" s="20" t="inlineStr">
        <is>
          <t>HCL Services</t>
        </is>
      </c>
      <c r="H822" s="20" t="n">
        <v>15</v>
      </c>
      <c r="I822" s="22" t="n">
        <v>3393.75</v>
      </c>
      <c r="J822" s="23" t="n">
        <v>0.2</v>
      </c>
      <c r="K822" s="24" t="n">
        <v>40725</v>
      </c>
      <c r="L822" s="24" t="n">
        <v>29574.81</v>
      </c>
      <c r="M822" s="24" t="n">
        <v>11150.19</v>
      </c>
    </row>
    <row r="823">
      <c r="A823" s="20" t="inlineStr">
        <is>
          <t>ORD-20240822</t>
        </is>
      </c>
      <c r="B823" s="21" t="n">
        <v>45803</v>
      </c>
      <c r="C823" s="20" t="inlineStr">
        <is>
          <t>Central</t>
        </is>
      </c>
      <c r="D823" s="20" t="inlineStr">
        <is>
          <t>Furniture</t>
        </is>
      </c>
      <c r="E823" s="20" t="inlineStr">
        <is>
          <t>Bookshelf Oak</t>
        </is>
      </c>
      <c r="F823" s="20" t="inlineStr">
        <is>
          <t>Government</t>
        </is>
      </c>
      <c r="G823" s="20" t="inlineStr">
        <is>
          <t>State Health UP</t>
        </is>
      </c>
      <c r="H823" s="20" t="n">
        <v>8</v>
      </c>
      <c r="I823" s="22" t="n">
        <v>42368.81</v>
      </c>
      <c r="J823" s="23" t="n">
        <v>0</v>
      </c>
      <c r="K823" s="24" t="n">
        <v>338950.48</v>
      </c>
      <c r="L823" s="24" t="n">
        <v>232907.3</v>
      </c>
      <c r="M823" s="24" t="n">
        <v>106043.18</v>
      </c>
    </row>
    <row r="824">
      <c r="A824" s="20" t="inlineStr">
        <is>
          <t>ORD-20240823</t>
        </is>
      </c>
      <c r="B824" s="21" t="n">
        <v>45803</v>
      </c>
      <c r="C824" s="20" t="inlineStr">
        <is>
          <t>South</t>
        </is>
      </c>
      <c r="D824" s="20" t="inlineStr">
        <is>
          <t>Furniture</t>
        </is>
      </c>
      <c r="E824" s="20" t="inlineStr">
        <is>
          <t>Conference Table</t>
        </is>
      </c>
      <c r="F824" s="20" t="inlineStr">
        <is>
          <t>Consumer</t>
        </is>
      </c>
      <c r="G824" s="20" t="inlineStr">
        <is>
          <t>Retail Counter</t>
        </is>
      </c>
      <c r="H824" s="20" t="n">
        <v>10</v>
      </c>
      <c r="I824" s="22" t="n">
        <v>17306.39</v>
      </c>
      <c r="J824" s="23" t="n">
        <v>0</v>
      </c>
      <c r="K824" s="24" t="n">
        <v>173063.9</v>
      </c>
      <c r="L824" s="24" t="n">
        <v>105975.93</v>
      </c>
      <c r="M824" s="24" t="n">
        <v>67087.97</v>
      </c>
    </row>
    <row r="825">
      <c r="A825" s="20" t="inlineStr">
        <is>
          <t>ORD-20240824</t>
        </is>
      </c>
      <c r="B825" s="21" t="n">
        <v>45803</v>
      </c>
      <c r="C825" s="20" t="inlineStr">
        <is>
          <t>South</t>
        </is>
      </c>
      <c r="D825" s="20" t="inlineStr">
        <is>
          <t>Home &amp; Kitchen</t>
        </is>
      </c>
      <c r="E825" s="20" t="inlineStr">
        <is>
          <t>Mixer Grinder</t>
        </is>
      </c>
      <c r="F825" s="20" t="inlineStr">
        <is>
          <t>Consumer</t>
        </is>
      </c>
      <c r="G825" s="20" t="inlineStr">
        <is>
          <t>Online Guest</t>
        </is>
      </c>
      <c r="H825" s="20" t="n">
        <v>1</v>
      </c>
      <c r="I825" s="22" t="n">
        <v>5062.82</v>
      </c>
      <c r="J825" s="23" t="n">
        <v>0.15</v>
      </c>
      <c r="K825" s="24" t="n">
        <v>4303.4</v>
      </c>
      <c r="L825" s="24" t="n">
        <v>3871.94</v>
      </c>
      <c r="M825" s="24" t="n">
        <v>431.46</v>
      </c>
    </row>
    <row r="826">
      <c r="A826" s="20" t="inlineStr">
        <is>
          <t>ORD-20240825</t>
        </is>
      </c>
      <c r="B826" s="21" t="n">
        <v>45804</v>
      </c>
      <c r="C826" s="20" t="inlineStr">
        <is>
          <t>East</t>
        </is>
      </c>
      <c r="D826" s="20" t="inlineStr">
        <is>
          <t>Furniture</t>
        </is>
      </c>
      <c r="E826" s="20" t="inlineStr">
        <is>
          <t>Ergo Chair</t>
        </is>
      </c>
      <c r="F826" s="20" t="inlineStr">
        <is>
          <t>Enterprise</t>
        </is>
      </c>
      <c r="G826" s="20" t="inlineStr">
        <is>
          <t>TCS Digital</t>
        </is>
      </c>
      <c r="H826" s="20" t="n">
        <v>3</v>
      </c>
      <c r="I826" s="22" t="n">
        <v>21360.4</v>
      </c>
      <c r="J826" s="23" t="n">
        <v>0</v>
      </c>
      <c r="K826" s="24" t="n">
        <v>64081.2</v>
      </c>
      <c r="L826" s="24" t="n">
        <v>47021.23</v>
      </c>
      <c r="M826" s="24" t="n">
        <v>17059.97</v>
      </c>
    </row>
    <row r="827">
      <c r="A827" s="20" t="inlineStr">
        <is>
          <t>ORD-20240826</t>
        </is>
      </c>
      <c r="B827" s="21" t="n">
        <v>45804</v>
      </c>
      <c r="C827" s="20" t="inlineStr">
        <is>
          <t>North</t>
        </is>
      </c>
      <c r="D827" s="20" t="inlineStr">
        <is>
          <t>Furniture</t>
        </is>
      </c>
      <c r="E827" s="20" t="inlineStr">
        <is>
          <t>Bookshelf Oak</t>
        </is>
      </c>
      <c r="F827" s="20" t="inlineStr">
        <is>
          <t>Enterprise</t>
        </is>
      </c>
      <c r="G827" s="20" t="inlineStr">
        <is>
          <t>TCS Digital</t>
        </is>
      </c>
      <c r="H827" s="20" t="n">
        <v>24</v>
      </c>
      <c r="I827" s="22" t="n">
        <v>42528.41</v>
      </c>
      <c r="J827" s="23" t="n">
        <v>0.1</v>
      </c>
      <c r="K827" s="24" t="n">
        <v>918613.66</v>
      </c>
      <c r="L827" s="24" t="n">
        <v>644057.13</v>
      </c>
      <c r="M827" s="24" t="n">
        <v>274556.53</v>
      </c>
    </row>
    <row r="828">
      <c r="A828" s="20" t="inlineStr">
        <is>
          <t>ORD-20240827</t>
        </is>
      </c>
      <c r="B828" s="21" t="n">
        <v>45804</v>
      </c>
      <c r="C828" s="20" t="inlineStr">
        <is>
          <t>South</t>
        </is>
      </c>
      <c r="D828" s="20" t="inlineStr">
        <is>
          <t>Electronics</t>
        </is>
      </c>
      <c r="E828" s="20" t="inlineStr">
        <is>
          <t>USB-C Hub</t>
        </is>
      </c>
      <c r="F828" s="20" t="inlineStr">
        <is>
          <t>Government</t>
        </is>
      </c>
      <c r="G828" s="20" t="inlineStr">
        <is>
          <t>MH Education Dept</t>
        </is>
      </c>
      <c r="H828" s="20" t="n">
        <v>5</v>
      </c>
      <c r="I828" s="22" t="n">
        <v>77938.31</v>
      </c>
      <c r="J828" s="23" t="n">
        <v>0</v>
      </c>
      <c r="K828" s="24" t="n">
        <v>389691.55</v>
      </c>
      <c r="L828" s="24" t="n">
        <v>215480.68</v>
      </c>
      <c r="M828" s="24" t="n">
        <v>174210.87</v>
      </c>
    </row>
    <row r="829">
      <c r="A829" s="20" t="inlineStr">
        <is>
          <t>ORD-20240828</t>
        </is>
      </c>
      <c r="B829" s="21" t="n">
        <v>45804</v>
      </c>
      <c r="C829" s="20" t="inlineStr">
        <is>
          <t>East</t>
        </is>
      </c>
      <c r="D829" s="20" t="inlineStr">
        <is>
          <t>Electronics</t>
        </is>
      </c>
      <c r="E829" s="20" t="inlineStr">
        <is>
          <t>Wireless Mouse</t>
        </is>
      </c>
      <c r="F829" s="20" t="inlineStr">
        <is>
          <t>Enterprise</t>
        </is>
      </c>
      <c r="G829" s="20" t="inlineStr">
        <is>
          <t>Tech Mahindra</t>
        </is>
      </c>
      <c r="H829" s="20" t="n">
        <v>19</v>
      </c>
      <c r="I829" s="22" t="n">
        <v>21125.75</v>
      </c>
      <c r="J829" s="23" t="n">
        <v>0.2</v>
      </c>
      <c r="K829" s="24" t="n">
        <v>321111.4</v>
      </c>
      <c r="L829" s="24" t="n">
        <v>306788.26</v>
      </c>
      <c r="M829" s="24" t="n">
        <v>14323.14</v>
      </c>
    </row>
    <row r="830">
      <c r="A830" s="20" t="inlineStr">
        <is>
          <t>ORD-20240829</t>
        </is>
      </c>
      <c r="B830" s="21" t="n">
        <v>45805</v>
      </c>
      <c r="C830" s="20" t="inlineStr">
        <is>
          <t>East</t>
        </is>
      </c>
      <c r="D830" s="20" t="inlineStr">
        <is>
          <t>Apparel</t>
        </is>
      </c>
      <c r="E830" s="20" t="inlineStr">
        <is>
          <t>Formal Blazer</t>
        </is>
      </c>
      <c r="F830" s="20" t="inlineStr">
        <is>
          <t>Government</t>
        </is>
      </c>
      <c r="G830" s="20" t="inlineStr">
        <is>
          <t>MH Education Dept</t>
        </is>
      </c>
      <c r="H830" s="20" t="n">
        <v>25</v>
      </c>
      <c r="I830" s="22" t="n">
        <v>3070.12</v>
      </c>
      <c r="J830" s="23" t="n">
        <v>0.05</v>
      </c>
      <c r="K830" s="24" t="n">
        <v>72915.35000000001</v>
      </c>
      <c r="L830" s="24" t="n">
        <v>44577.58</v>
      </c>
      <c r="M830" s="24" t="n">
        <v>28337.77</v>
      </c>
    </row>
    <row r="831">
      <c r="A831" s="20" t="inlineStr">
        <is>
          <t>ORD-20240830</t>
        </is>
      </c>
      <c r="B831" s="21" t="n">
        <v>45807</v>
      </c>
      <c r="C831" s="20" t="inlineStr">
        <is>
          <t>North</t>
        </is>
      </c>
      <c r="D831" s="20" t="inlineStr">
        <is>
          <t>Home &amp; Kitchen</t>
        </is>
      </c>
      <c r="E831" s="20" t="inlineStr">
        <is>
          <t>Air Fryer</t>
        </is>
      </c>
      <c r="F831" s="20" t="inlineStr">
        <is>
          <t>Consumer</t>
        </is>
      </c>
      <c r="G831" s="20" t="inlineStr">
        <is>
          <t>Online Guest</t>
        </is>
      </c>
      <c r="H831" s="20" t="n">
        <v>12</v>
      </c>
      <c r="I831" s="22" t="n">
        <v>19276.73</v>
      </c>
      <c r="J831" s="23" t="n">
        <v>0</v>
      </c>
      <c r="K831" s="24" t="n">
        <v>231320.76</v>
      </c>
      <c r="L831" s="24" t="n">
        <v>171276.41</v>
      </c>
      <c r="M831" s="24" t="n">
        <v>60044.35</v>
      </c>
    </row>
    <row r="832">
      <c r="A832" s="20" t="inlineStr">
        <is>
          <t>ORD-20240831</t>
        </is>
      </c>
      <c r="B832" s="21" t="n">
        <v>45808</v>
      </c>
      <c r="C832" s="20" t="inlineStr">
        <is>
          <t>East</t>
        </is>
      </c>
      <c r="D832" s="20" t="inlineStr">
        <is>
          <t>Electronics</t>
        </is>
      </c>
      <c r="E832" s="20" t="inlineStr">
        <is>
          <t>Laptop Pro 14</t>
        </is>
      </c>
      <c r="F832" s="20" t="inlineStr">
        <is>
          <t>SMB</t>
        </is>
      </c>
      <c r="G832" s="20" t="inlineStr">
        <is>
          <t>GreenFarm Agro</t>
        </is>
      </c>
      <c r="H832" s="20" t="n">
        <v>12</v>
      </c>
      <c r="I832" s="22" t="n">
        <v>84725.46000000001</v>
      </c>
      <c r="J832" s="23" t="n">
        <v>0</v>
      </c>
      <c r="K832" s="24" t="n">
        <v>1016705.52</v>
      </c>
      <c r="L832" s="24" t="n">
        <v>560441.66</v>
      </c>
      <c r="M832" s="24" t="n">
        <v>456263.86</v>
      </c>
    </row>
    <row r="833">
      <c r="A833" s="20" t="inlineStr">
        <is>
          <t>ORD-20240832</t>
        </is>
      </c>
      <c r="B833" s="21" t="n">
        <v>45808</v>
      </c>
      <c r="C833" s="20" t="inlineStr">
        <is>
          <t>West</t>
        </is>
      </c>
      <c r="D833" s="20" t="inlineStr">
        <is>
          <t>Electronics</t>
        </is>
      </c>
      <c r="E833" s="20" t="inlineStr">
        <is>
          <t>Keyboard Mech</t>
        </is>
      </c>
      <c r="F833" s="20" t="inlineStr">
        <is>
          <t>Consumer</t>
        </is>
      </c>
      <c r="G833" s="20" t="inlineStr">
        <is>
          <t>Retail Counter</t>
        </is>
      </c>
      <c r="H833" s="20" t="n">
        <v>7</v>
      </c>
      <c r="I833" s="22" t="n">
        <v>60745.51</v>
      </c>
      <c r="J833" s="23" t="n">
        <v>0.2</v>
      </c>
      <c r="K833" s="24" t="n">
        <v>340174.86</v>
      </c>
      <c r="L833" s="24" t="n">
        <v>319566.14</v>
      </c>
      <c r="M833" s="24" t="n">
        <v>20608.72</v>
      </c>
    </row>
    <row r="834">
      <c r="A834" s="20" t="inlineStr">
        <is>
          <t>ORD-20240833</t>
        </is>
      </c>
      <c r="B834" s="21" t="n">
        <v>45809</v>
      </c>
      <c r="C834" s="20" t="inlineStr">
        <is>
          <t>West</t>
        </is>
      </c>
      <c r="D834" s="20" t="inlineStr">
        <is>
          <t>Electronics</t>
        </is>
      </c>
      <c r="E834" s="20" t="inlineStr">
        <is>
          <t>Laptop Pro 14</t>
        </is>
      </c>
      <c r="F834" s="20" t="inlineStr">
        <is>
          <t>SMB</t>
        </is>
      </c>
      <c r="G834" s="20" t="inlineStr">
        <is>
          <t>SwiftPrint</t>
        </is>
      </c>
      <c r="H834" s="20" t="n">
        <v>8</v>
      </c>
      <c r="I834" s="22" t="n">
        <v>6522.9</v>
      </c>
      <c r="J834" s="23" t="n">
        <v>0</v>
      </c>
      <c r="K834" s="24" t="n">
        <v>52183.2</v>
      </c>
      <c r="L834" s="24" t="n">
        <v>28810.48</v>
      </c>
      <c r="M834" s="24" t="n">
        <v>23372.72</v>
      </c>
    </row>
    <row r="835">
      <c r="A835" s="20" t="inlineStr">
        <is>
          <t>ORD-20240834</t>
        </is>
      </c>
      <c r="B835" s="21" t="n">
        <v>45811</v>
      </c>
      <c r="C835" s="20" t="inlineStr">
        <is>
          <t>East</t>
        </is>
      </c>
      <c r="D835" s="20" t="inlineStr">
        <is>
          <t>Electronics</t>
        </is>
      </c>
      <c r="E835" s="20" t="inlineStr">
        <is>
          <t>Monitor 27in</t>
        </is>
      </c>
      <c r="F835" s="20" t="inlineStr">
        <is>
          <t>Government</t>
        </is>
      </c>
      <c r="G835" s="20" t="inlineStr">
        <is>
          <t>Delhi NDMC</t>
        </is>
      </c>
      <c r="H835" s="20" t="n">
        <v>10</v>
      </c>
      <c r="I835" s="22" t="n">
        <v>51354.53</v>
      </c>
      <c r="J835" s="23" t="n">
        <v>0.1</v>
      </c>
      <c r="K835" s="24" t="n">
        <v>462190.77</v>
      </c>
      <c r="L835" s="24" t="n">
        <v>294686.74</v>
      </c>
      <c r="M835" s="24" t="n">
        <v>167504.03</v>
      </c>
    </row>
    <row r="836">
      <c r="A836" s="20" t="inlineStr">
        <is>
          <t>ORD-20240835</t>
        </is>
      </c>
      <c r="B836" s="21" t="n">
        <v>45811</v>
      </c>
      <c r="C836" s="20" t="inlineStr">
        <is>
          <t>North</t>
        </is>
      </c>
      <c r="D836" s="20" t="inlineStr">
        <is>
          <t>Office Supplies</t>
        </is>
      </c>
      <c r="E836" s="20" t="inlineStr">
        <is>
          <t>Whiteboard Kit</t>
        </is>
      </c>
      <c r="F836" s="20" t="inlineStr">
        <is>
          <t>Government</t>
        </is>
      </c>
      <c r="G836" s="20" t="inlineStr">
        <is>
          <t>State Health UP</t>
        </is>
      </c>
      <c r="H836" s="20" t="n">
        <v>16</v>
      </c>
      <c r="I836" s="22" t="n">
        <v>2140.15</v>
      </c>
      <c r="J836" s="23" t="n">
        <v>0</v>
      </c>
      <c r="K836" s="24" t="n">
        <v>34242.4</v>
      </c>
      <c r="L836" s="24" t="n">
        <v>23370.06</v>
      </c>
      <c r="M836" s="24" t="n">
        <v>10872.34</v>
      </c>
    </row>
    <row r="837">
      <c r="A837" s="20" t="inlineStr">
        <is>
          <t>ORD-20240836</t>
        </is>
      </c>
      <c r="B837" s="21" t="n">
        <v>45812</v>
      </c>
      <c r="C837" s="20" t="inlineStr">
        <is>
          <t>East</t>
        </is>
      </c>
      <c r="D837" s="20" t="inlineStr">
        <is>
          <t>Electronics</t>
        </is>
      </c>
      <c r="E837" s="20" t="inlineStr">
        <is>
          <t>Keyboard Mech</t>
        </is>
      </c>
      <c r="F837" s="20" t="inlineStr">
        <is>
          <t>Enterprise</t>
        </is>
      </c>
      <c r="G837" s="20" t="inlineStr">
        <is>
          <t>Infosys Ltd</t>
        </is>
      </c>
      <c r="H837" s="20" t="n">
        <v>19</v>
      </c>
      <c r="I837" s="22" t="n">
        <v>40945.59</v>
      </c>
      <c r="J837" s="23" t="n">
        <v>0.2</v>
      </c>
      <c r="K837" s="24" t="n">
        <v>622372.97</v>
      </c>
      <c r="L837" s="24" t="n">
        <v>456051.2</v>
      </c>
      <c r="M837" s="24" t="n">
        <v>166321.77</v>
      </c>
    </row>
    <row r="838">
      <c r="A838" s="20" t="inlineStr">
        <is>
          <t>ORD-20240837</t>
        </is>
      </c>
      <c r="B838" s="21" t="n">
        <v>45812</v>
      </c>
      <c r="C838" s="20" t="inlineStr">
        <is>
          <t>West</t>
        </is>
      </c>
      <c r="D838" s="20" t="inlineStr">
        <is>
          <t>Apparel</t>
        </is>
      </c>
      <c r="E838" s="20" t="inlineStr">
        <is>
          <t>Cap Embroidered</t>
        </is>
      </c>
      <c r="F838" s="20" t="inlineStr">
        <is>
          <t>SMB</t>
        </is>
      </c>
      <c r="G838" s="20" t="inlineStr">
        <is>
          <t>GreenFarm Agro</t>
        </is>
      </c>
      <c r="H838" s="20" t="n">
        <v>18</v>
      </c>
      <c r="I838" s="22" t="n">
        <v>978.8200000000001</v>
      </c>
      <c r="J838" s="23" t="n">
        <v>0.05</v>
      </c>
      <c r="K838" s="24" t="n">
        <v>16737.82</v>
      </c>
      <c r="L838" s="24" t="n">
        <v>13426.02</v>
      </c>
      <c r="M838" s="24" t="n">
        <v>3311.8</v>
      </c>
    </row>
    <row r="839">
      <c r="A839" s="20" t="inlineStr">
        <is>
          <t>ORD-20240838</t>
        </is>
      </c>
      <c r="B839" s="21" t="n">
        <v>45812</v>
      </c>
      <c r="C839" s="20" t="inlineStr">
        <is>
          <t>North</t>
        </is>
      </c>
      <c r="D839" s="20" t="inlineStr">
        <is>
          <t>Office Supplies</t>
        </is>
      </c>
      <c r="E839" s="20" t="inlineStr">
        <is>
          <t>Stapler Heavy</t>
        </is>
      </c>
      <c r="F839" s="20" t="inlineStr">
        <is>
          <t>Consumer</t>
        </is>
      </c>
      <c r="G839" s="20" t="inlineStr">
        <is>
          <t>Online Guest</t>
        </is>
      </c>
      <c r="H839" s="20" t="n">
        <v>6</v>
      </c>
      <c r="I839" s="22" t="n">
        <v>2505.74</v>
      </c>
      <c r="J839" s="23" t="n">
        <v>0</v>
      </c>
      <c r="K839" s="24" t="n">
        <v>15034.44</v>
      </c>
      <c r="L839" s="24" t="n">
        <v>11013.48</v>
      </c>
      <c r="M839" s="24" t="n">
        <v>4020.96</v>
      </c>
    </row>
    <row r="840">
      <c r="A840" s="20" t="inlineStr">
        <is>
          <t>ORD-20240839</t>
        </is>
      </c>
      <c r="B840" s="21" t="n">
        <v>45812</v>
      </c>
      <c r="C840" s="20" t="inlineStr">
        <is>
          <t>South</t>
        </is>
      </c>
      <c r="D840" s="20" t="inlineStr">
        <is>
          <t>Office Supplies</t>
        </is>
      </c>
      <c r="E840" s="20" t="inlineStr">
        <is>
          <t>Whiteboard Kit</t>
        </is>
      </c>
      <c r="F840" s="20" t="inlineStr">
        <is>
          <t>Enterprise</t>
        </is>
      </c>
      <c r="G840" s="20" t="inlineStr">
        <is>
          <t>L&amp;T Infotech</t>
        </is>
      </c>
      <c r="H840" s="20" t="n">
        <v>8</v>
      </c>
      <c r="I840" s="22" t="n">
        <v>1590.75</v>
      </c>
      <c r="J840" s="23" t="n">
        <v>0</v>
      </c>
      <c r="K840" s="24" t="n">
        <v>12726</v>
      </c>
      <c r="L840" s="24" t="n">
        <v>7292.81</v>
      </c>
      <c r="M840" s="24" t="n">
        <v>5433.19</v>
      </c>
    </row>
    <row r="841">
      <c r="A841" s="20" t="inlineStr">
        <is>
          <t>ORD-20240840</t>
        </is>
      </c>
      <c r="B841" s="21" t="n">
        <v>45815</v>
      </c>
      <c r="C841" s="20" t="inlineStr">
        <is>
          <t>East</t>
        </is>
      </c>
      <c r="D841" s="20" t="inlineStr">
        <is>
          <t>Furniture</t>
        </is>
      </c>
      <c r="E841" s="20" t="inlineStr">
        <is>
          <t>Filing Cabinet</t>
        </is>
      </c>
      <c r="F841" s="20" t="inlineStr">
        <is>
          <t>Enterprise</t>
        </is>
      </c>
      <c r="G841" s="20" t="inlineStr">
        <is>
          <t>Infosys Ltd</t>
        </is>
      </c>
      <c r="H841" s="20" t="n">
        <v>20</v>
      </c>
      <c r="I841" s="22" t="n">
        <v>20968.96</v>
      </c>
      <c r="J841" s="23" t="n">
        <v>0.1</v>
      </c>
      <c r="K841" s="24" t="n">
        <v>377441.28</v>
      </c>
      <c r="L841" s="24" t="n">
        <v>272751.9</v>
      </c>
      <c r="M841" s="24" t="n">
        <v>104689.38</v>
      </c>
    </row>
    <row r="842">
      <c r="A842" s="20" t="inlineStr">
        <is>
          <t>ORD-20240841</t>
        </is>
      </c>
      <c r="B842" s="21" t="n">
        <v>45815</v>
      </c>
      <c r="C842" s="20" t="inlineStr">
        <is>
          <t>West</t>
        </is>
      </c>
      <c r="D842" s="20" t="inlineStr">
        <is>
          <t>Electronics</t>
        </is>
      </c>
      <c r="E842" s="20" t="inlineStr">
        <is>
          <t>USB-C Hub</t>
        </is>
      </c>
      <c r="F842" s="20" t="inlineStr">
        <is>
          <t>Consumer</t>
        </is>
      </c>
      <c r="G842" s="20" t="inlineStr">
        <is>
          <t>Retail Counter</t>
        </is>
      </c>
      <c r="H842" s="20" t="n">
        <v>3</v>
      </c>
      <c r="I842" s="22" t="n">
        <v>22940.36</v>
      </c>
      <c r="J842" s="23" t="n">
        <v>0</v>
      </c>
      <c r="K842" s="24" t="n">
        <v>68821.08</v>
      </c>
      <c r="L842" s="24" t="n">
        <v>45705.04</v>
      </c>
      <c r="M842" s="24" t="n">
        <v>23116.04</v>
      </c>
    </row>
    <row r="843">
      <c r="A843" s="20" t="inlineStr">
        <is>
          <t>ORD-20240842</t>
        </is>
      </c>
      <c r="B843" s="21" t="n">
        <v>45815</v>
      </c>
      <c r="C843" s="20" t="inlineStr">
        <is>
          <t>East</t>
        </is>
      </c>
      <c r="D843" s="20" t="inlineStr">
        <is>
          <t>Electronics</t>
        </is>
      </c>
      <c r="E843" s="20" t="inlineStr">
        <is>
          <t>Monitor 27in</t>
        </is>
      </c>
      <c r="F843" s="20" t="inlineStr">
        <is>
          <t>Consumer</t>
        </is>
      </c>
      <c r="G843" s="20" t="inlineStr">
        <is>
          <t>App User North</t>
        </is>
      </c>
      <c r="H843" s="20" t="n">
        <v>19</v>
      </c>
      <c r="I843" s="22" t="n">
        <v>73950.34</v>
      </c>
      <c r="J843" s="23" t="n">
        <v>0.15</v>
      </c>
      <c r="K843" s="24" t="n">
        <v>1194297.99</v>
      </c>
      <c r="L843" s="24" t="n">
        <v>831878.47</v>
      </c>
      <c r="M843" s="24" t="n">
        <v>362419.52</v>
      </c>
    </row>
    <row r="844">
      <c r="A844" s="20" t="inlineStr">
        <is>
          <t>ORD-20240843</t>
        </is>
      </c>
      <c r="B844" s="21" t="n">
        <v>45815</v>
      </c>
      <c r="C844" s="20" t="inlineStr">
        <is>
          <t>South</t>
        </is>
      </c>
      <c r="D844" s="20" t="inlineStr">
        <is>
          <t>Electronics</t>
        </is>
      </c>
      <c r="E844" s="20" t="inlineStr">
        <is>
          <t>USB-C Hub</t>
        </is>
      </c>
      <c r="F844" s="20" t="inlineStr">
        <is>
          <t>SMB</t>
        </is>
      </c>
      <c r="G844" s="20" t="inlineStr">
        <is>
          <t>Pixel Studio</t>
        </is>
      </c>
      <c r="H844" s="20" t="n">
        <v>1</v>
      </c>
      <c r="I844" s="22" t="n">
        <v>65762.24000000001</v>
      </c>
      <c r="J844" s="23" t="n">
        <v>0.05</v>
      </c>
      <c r="K844" s="24" t="n">
        <v>62474.13</v>
      </c>
      <c r="L844" s="24" t="n">
        <v>50071.09</v>
      </c>
      <c r="M844" s="24" t="n">
        <v>12403.04</v>
      </c>
    </row>
    <row r="845">
      <c r="A845" s="20" t="inlineStr">
        <is>
          <t>ORD-20240844</t>
        </is>
      </c>
      <c r="B845" s="21" t="n">
        <v>45816</v>
      </c>
      <c r="C845" s="20" t="inlineStr">
        <is>
          <t>North</t>
        </is>
      </c>
      <c r="D845" s="20" t="inlineStr">
        <is>
          <t>Furniture</t>
        </is>
      </c>
      <c r="E845" s="20" t="inlineStr">
        <is>
          <t>Conference Table</t>
        </is>
      </c>
      <c r="F845" s="20" t="inlineStr">
        <is>
          <t>SMB</t>
        </is>
      </c>
      <c r="G845" s="20" t="inlineStr">
        <is>
          <t>BrightRetail Co</t>
        </is>
      </c>
      <c r="H845" s="20" t="n">
        <v>5</v>
      </c>
      <c r="I845" s="22" t="n">
        <v>26873.18</v>
      </c>
      <c r="J845" s="23" t="n">
        <v>0</v>
      </c>
      <c r="K845" s="24" t="n">
        <v>134365.9</v>
      </c>
      <c r="L845" s="24" t="n">
        <v>78064.78</v>
      </c>
      <c r="M845" s="24" t="n">
        <v>56301.12</v>
      </c>
    </row>
    <row r="846">
      <c r="A846" s="20" t="inlineStr">
        <is>
          <t>ORD-20240845</t>
        </is>
      </c>
      <c r="B846" s="21" t="n">
        <v>45816</v>
      </c>
      <c r="C846" s="20" t="inlineStr">
        <is>
          <t>North</t>
        </is>
      </c>
      <c r="D846" s="20" t="inlineStr">
        <is>
          <t>Office Supplies</t>
        </is>
      </c>
      <c r="E846" s="20" t="inlineStr">
        <is>
          <t>Gel Pen Pack</t>
        </is>
      </c>
      <c r="F846" s="20" t="inlineStr">
        <is>
          <t>SMB</t>
        </is>
      </c>
      <c r="G846" s="20" t="inlineStr">
        <is>
          <t>BrightRetail Co</t>
        </is>
      </c>
      <c r="H846" s="20" t="n">
        <v>22</v>
      </c>
      <c r="I846" s="22" t="n">
        <v>629.2</v>
      </c>
      <c r="J846" s="23" t="n">
        <v>0</v>
      </c>
      <c r="K846" s="24" t="n">
        <v>13842.4</v>
      </c>
      <c r="L846" s="24" t="n">
        <v>7753.44</v>
      </c>
      <c r="M846" s="24" t="n">
        <v>6088.96</v>
      </c>
    </row>
    <row r="847">
      <c r="A847" s="20" t="inlineStr">
        <is>
          <t>ORD-20240846</t>
        </is>
      </c>
      <c r="B847" s="21" t="n">
        <v>45817</v>
      </c>
      <c r="C847" s="20" t="inlineStr">
        <is>
          <t>South</t>
        </is>
      </c>
      <c r="D847" s="20" t="inlineStr">
        <is>
          <t>Electronics</t>
        </is>
      </c>
      <c r="E847" s="20" t="inlineStr">
        <is>
          <t>Keyboard Mech</t>
        </is>
      </c>
      <c r="F847" s="20" t="inlineStr">
        <is>
          <t>Government</t>
        </is>
      </c>
      <c r="G847" s="20" t="inlineStr">
        <is>
          <t>Delhi NDMC</t>
        </is>
      </c>
      <c r="H847" s="20" t="n">
        <v>17</v>
      </c>
      <c r="I847" s="22" t="n">
        <v>38309.64</v>
      </c>
      <c r="J847" s="23" t="n">
        <v>0</v>
      </c>
      <c r="K847" s="24" t="n">
        <v>651263.88</v>
      </c>
      <c r="L847" s="24" t="n">
        <v>426115.07</v>
      </c>
      <c r="M847" s="24" t="n">
        <v>225148.81</v>
      </c>
    </row>
    <row r="848">
      <c r="A848" s="20" t="inlineStr">
        <is>
          <t>ORD-20240847</t>
        </is>
      </c>
      <c r="B848" s="21" t="n">
        <v>45817</v>
      </c>
      <c r="C848" s="20" t="inlineStr">
        <is>
          <t>Central</t>
        </is>
      </c>
      <c r="D848" s="20" t="inlineStr">
        <is>
          <t>Office Supplies</t>
        </is>
      </c>
      <c r="E848" s="20" t="inlineStr">
        <is>
          <t>Gel Pen Pack</t>
        </is>
      </c>
      <c r="F848" s="20" t="inlineStr">
        <is>
          <t>Government</t>
        </is>
      </c>
      <c r="G848" s="20" t="inlineStr">
        <is>
          <t>Railways Zone W</t>
        </is>
      </c>
      <c r="H848" s="20" t="n">
        <v>19</v>
      </c>
      <c r="I848" s="22" t="n">
        <v>214.66</v>
      </c>
      <c r="J848" s="23" t="n">
        <v>0</v>
      </c>
      <c r="K848" s="24" t="n">
        <v>4078.54</v>
      </c>
      <c r="L848" s="24" t="n">
        <v>3103.69</v>
      </c>
      <c r="M848" s="24" t="n">
        <v>974.85</v>
      </c>
    </row>
    <row r="849">
      <c r="A849" s="20" t="inlineStr">
        <is>
          <t>ORD-20240848</t>
        </is>
      </c>
      <c r="B849" s="21" t="n">
        <v>45818</v>
      </c>
      <c r="C849" s="20" t="inlineStr">
        <is>
          <t>East</t>
        </is>
      </c>
      <c r="D849" s="20" t="inlineStr">
        <is>
          <t>Office Supplies</t>
        </is>
      </c>
      <c r="E849" s="20" t="inlineStr">
        <is>
          <t>Notebook Set</t>
        </is>
      </c>
      <c r="F849" s="20" t="inlineStr">
        <is>
          <t>SMB</t>
        </is>
      </c>
      <c r="G849" s="20" t="inlineStr">
        <is>
          <t>Pixel Studio</t>
        </is>
      </c>
      <c r="H849" s="20" t="n">
        <v>23</v>
      </c>
      <c r="I849" s="22" t="n">
        <v>1059.59</v>
      </c>
      <c r="J849" s="23" t="n">
        <v>0.05</v>
      </c>
      <c r="K849" s="24" t="n">
        <v>23152.04</v>
      </c>
      <c r="L849" s="24" t="n">
        <v>18742.22</v>
      </c>
      <c r="M849" s="24" t="n">
        <v>4409.82</v>
      </c>
    </row>
    <row r="850">
      <c r="A850" s="20" t="inlineStr">
        <is>
          <t>ORD-20240849</t>
        </is>
      </c>
      <c r="B850" s="21" t="n">
        <v>45818</v>
      </c>
      <c r="C850" s="20" t="inlineStr">
        <is>
          <t>South</t>
        </is>
      </c>
      <c r="D850" s="20" t="inlineStr">
        <is>
          <t>Office Supplies</t>
        </is>
      </c>
      <c r="E850" s="20" t="inlineStr">
        <is>
          <t>Notebook Set</t>
        </is>
      </c>
      <c r="F850" s="20" t="inlineStr">
        <is>
          <t>Government</t>
        </is>
      </c>
      <c r="G850" s="20" t="inlineStr">
        <is>
          <t>Delhi NDMC</t>
        </is>
      </c>
      <c r="H850" s="20" t="n">
        <v>6</v>
      </c>
      <c r="I850" s="22" t="n">
        <v>2929.86</v>
      </c>
      <c r="J850" s="23" t="n">
        <v>0.12</v>
      </c>
      <c r="K850" s="24" t="n">
        <v>15469.66</v>
      </c>
      <c r="L850" s="24" t="n">
        <v>11383.23</v>
      </c>
      <c r="M850" s="24" t="n">
        <v>4086.43</v>
      </c>
    </row>
    <row r="851">
      <c r="A851" s="20" t="inlineStr">
        <is>
          <t>ORD-20240850</t>
        </is>
      </c>
      <c r="B851" s="21" t="n">
        <v>45820</v>
      </c>
      <c r="C851" s="20" t="inlineStr">
        <is>
          <t>East</t>
        </is>
      </c>
      <c r="D851" s="20" t="inlineStr">
        <is>
          <t>Office Supplies</t>
        </is>
      </c>
      <c r="E851" s="20" t="inlineStr">
        <is>
          <t>Stapler Heavy</t>
        </is>
      </c>
      <c r="F851" s="20" t="inlineStr">
        <is>
          <t>SMB</t>
        </is>
      </c>
      <c r="G851" s="20" t="inlineStr">
        <is>
          <t>SwiftPrint</t>
        </is>
      </c>
      <c r="H851" s="20" t="n">
        <v>13</v>
      </c>
      <c r="I851" s="22" t="n">
        <v>1842.85</v>
      </c>
      <c r="J851" s="23" t="n">
        <v>0.05</v>
      </c>
      <c r="K851" s="24" t="n">
        <v>22759.2</v>
      </c>
      <c r="L851" s="24" t="n">
        <v>13756.19</v>
      </c>
      <c r="M851" s="24" t="n">
        <v>9003.01</v>
      </c>
    </row>
    <row r="852">
      <c r="A852" s="20" t="inlineStr">
        <is>
          <t>ORD-20240851</t>
        </is>
      </c>
      <c r="B852" s="21" t="n">
        <v>45820</v>
      </c>
      <c r="C852" s="20" t="inlineStr">
        <is>
          <t>North</t>
        </is>
      </c>
      <c r="D852" s="20" t="inlineStr">
        <is>
          <t>Apparel</t>
        </is>
      </c>
      <c r="E852" s="20" t="inlineStr">
        <is>
          <t>Safety Vest</t>
        </is>
      </c>
      <c r="F852" s="20" t="inlineStr">
        <is>
          <t>Enterprise</t>
        </is>
      </c>
      <c r="G852" s="20" t="inlineStr">
        <is>
          <t>L&amp;T Infotech</t>
        </is>
      </c>
      <c r="H852" s="20" t="n">
        <v>19</v>
      </c>
      <c r="I852" s="22" t="n">
        <v>3468.74</v>
      </c>
      <c r="J852" s="23" t="n">
        <v>0</v>
      </c>
      <c r="K852" s="24" t="n">
        <v>65906.06</v>
      </c>
      <c r="L852" s="24" t="n">
        <v>46883.05</v>
      </c>
      <c r="M852" s="24" t="n">
        <v>19023.01</v>
      </c>
    </row>
    <row r="853">
      <c r="A853" s="20" t="inlineStr">
        <is>
          <t>ORD-20240852</t>
        </is>
      </c>
      <c r="B853" s="21" t="n">
        <v>45821</v>
      </c>
      <c r="C853" s="20" t="inlineStr">
        <is>
          <t>West</t>
        </is>
      </c>
      <c r="D853" s="20" t="inlineStr">
        <is>
          <t>Office Supplies</t>
        </is>
      </c>
      <c r="E853" s="20" t="inlineStr">
        <is>
          <t>Gel Pen Pack</t>
        </is>
      </c>
      <c r="F853" s="20" t="inlineStr">
        <is>
          <t>SMB</t>
        </is>
      </c>
      <c r="G853" s="20" t="inlineStr">
        <is>
          <t>Pixel Studio</t>
        </is>
      </c>
      <c r="H853" s="20" t="n">
        <v>9</v>
      </c>
      <c r="I853" s="22" t="n">
        <v>1224.17</v>
      </c>
      <c r="J853" s="23" t="n">
        <v>0.05</v>
      </c>
      <c r="K853" s="24" t="n">
        <v>10466.65</v>
      </c>
      <c r="L853" s="24" t="n">
        <v>7468.03</v>
      </c>
      <c r="M853" s="24" t="n">
        <v>2998.62</v>
      </c>
    </row>
    <row r="854">
      <c r="A854" s="20" t="inlineStr">
        <is>
          <t>ORD-20240853</t>
        </is>
      </c>
      <c r="B854" s="21" t="n">
        <v>45821</v>
      </c>
      <c r="C854" s="20" t="inlineStr">
        <is>
          <t>Central</t>
        </is>
      </c>
      <c r="D854" s="20" t="inlineStr">
        <is>
          <t>Home &amp; Kitchen</t>
        </is>
      </c>
      <c r="E854" s="20" t="inlineStr">
        <is>
          <t>Water Purifier</t>
        </is>
      </c>
      <c r="F854" s="20" t="inlineStr">
        <is>
          <t>SMB</t>
        </is>
      </c>
      <c r="G854" s="20" t="inlineStr">
        <is>
          <t>GreenFarm Agro</t>
        </is>
      </c>
      <c r="H854" s="20" t="n">
        <v>10</v>
      </c>
      <c r="I854" s="22" t="n">
        <v>3130.87</v>
      </c>
      <c r="J854" s="23" t="n">
        <v>0</v>
      </c>
      <c r="K854" s="24" t="n">
        <v>31308.7</v>
      </c>
      <c r="L854" s="24" t="n">
        <v>20835.42</v>
      </c>
      <c r="M854" s="24" t="n">
        <v>10473.28</v>
      </c>
    </row>
    <row r="855">
      <c r="A855" s="20" t="inlineStr">
        <is>
          <t>ORD-20240854</t>
        </is>
      </c>
      <c r="B855" s="21" t="n">
        <v>45822</v>
      </c>
      <c r="C855" s="20" t="inlineStr">
        <is>
          <t>East</t>
        </is>
      </c>
      <c r="D855" s="20" t="inlineStr">
        <is>
          <t>Office Supplies</t>
        </is>
      </c>
      <c r="E855" s="20" t="inlineStr">
        <is>
          <t>Stapler Heavy</t>
        </is>
      </c>
      <c r="F855" s="20" t="inlineStr">
        <is>
          <t>Enterprise</t>
        </is>
      </c>
      <c r="G855" s="20" t="inlineStr">
        <is>
          <t>Tech Mahindra</t>
        </is>
      </c>
      <c r="H855" s="20" t="n">
        <v>19</v>
      </c>
      <c r="I855" s="22" t="n">
        <v>1263.12</v>
      </c>
      <c r="J855" s="23" t="n">
        <v>0</v>
      </c>
      <c r="K855" s="24" t="n">
        <v>23999.28</v>
      </c>
      <c r="L855" s="24" t="n">
        <v>13270.8</v>
      </c>
      <c r="M855" s="24" t="n">
        <v>10728.48</v>
      </c>
    </row>
    <row r="856">
      <c r="A856" s="20" t="inlineStr">
        <is>
          <t>ORD-20240855</t>
        </is>
      </c>
      <c r="B856" s="21" t="n">
        <v>45822</v>
      </c>
      <c r="C856" s="20" t="inlineStr">
        <is>
          <t>South</t>
        </is>
      </c>
      <c r="D856" s="20" t="inlineStr">
        <is>
          <t>Apparel</t>
        </is>
      </c>
      <c r="E856" s="20" t="inlineStr">
        <is>
          <t>Safety Vest</t>
        </is>
      </c>
      <c r="F856" s="20" t="inlineStr">
        <is>
          <t>SMB</t>
        </is>
      </c>
      <c r="G856" s="20" t="inlineStr">
        <is>
          <t>Pixel Studio</t>
        </is>
      </c>
      <c r="H856" s="20" t="n">
        <v>22</v>
      </c>
      <c r="I856" s="22" t="n">
        <v>2763.66</v>
      </c>
      <c r="J856" s="23" t="n">
        <v>0.15</v>
      </c>
      <c r="K856" s="24" t="n">
        <v>51680.44</v>
      </c>
      <c r="L856" s="24" t="n">
        <v>34243.72</v>
      </c>
      <c r="M856" s="24" t="n">
        <v>17436.72</v>
      </c>
    </row>
    <row r="857">
      <c r="A857" s="20" t="inlineStr">
        <is>
          <t>ORD-20240856</t>
        </is>
      </c>
      <c r="B857" s="21" t="n">
        <v>45822</v>
      </c>
      <c r="C857" s="20" t="inlineStr">
        <is>
          <t>East</t>
        </is>
      </c>
      <c r="D857" s="20" t="inlineStr">
        <is>
          <t>Home &amp; Kitchen</t>
        </is>
      </c>
      <c r="E857" s="20" t="inlineStr">
        <is>
          <t>Mixer Grinder</t>
        </is>
      </c>
      <c r="F857" s="20" t="inlineStr">
        <is>
          <t>Enterprise</t>
        </is>
      </c>
      <c r="G857" s="20" t="inlineStr">
        <is>
          <t>HCL Services</t>
        </is>
      </c>
      <c r="H857" s="20" t="n">
        <v>5</v>
      </c>
      <c r="I857" s="22" t="n">
        <v>11878.84</v>
      </c>
      <c r="J857" s="23" t="n">
        <v>0</v>
      </c>
      <c r="K857" s="24" t="n">
        <v>59394.2</v>
      </c>
      <c r="L857" s="24" t="n">
        <v>38989.07</v>
      </c>
      <c r="M857" s="24" t="n">
        <v>20405.13</v>
      </c>
    </row>
    <row r="858">
      <c r="A858" s="20" t="inlineStr">
        <is>
          <t>ORD-20240857</t>
        </is>
      </c>
      <c r="B858" s="21" t="n">
        <v>45823</v>
      </c>
      <c r="C858" s="20" t="inlineStr">
        <is>
          <t>East</t>
        </is>
      </c>
      <c r="D858" s="20" t="inlineStr">
        <is>
          <t>Home &amp; Kitchen</t>
        </is>
      </c>
      <c r="E858" s="20" t="inlineStr">
        <is>
          <t>Water Purifier</t>
        </is>
      </c>
      <c r="F858" s="20" t="inlineStr">
        <is>
          <t>Government</t>
        </is>
      </c>
      <c r="G858" s="20" t="inlineStr">
        <is>
          <t>Delhi NDMC</t>
        </is>
      </c>
      <c r="H858" s="20" t="n">
        <v>1</v>
      </c>
      <c r="I858" s="22" t="n">
        <v>3661.48</v>
      </c>
      <c r="J858" s="23" t="n">
        <v>0.05</v>
      </c>
      <c r="K858" s="24" t="n">
        <v>3478.41</v>
      </c>
      <c r="L858" s="24" t="n">
        <v>2443.88</v>
      </c>
      <c r="M858" s="24" t="n">
        <v>1034.53</v>
      </c>
    </row>
    <row r="859">
      <c r="A859" s="20" t="inlineStr">
        <is>
          <t>ORD-20240858</t>
        </is>
      </c>
      <c r="B859" s="21" t="n">
        <v>45823</v>
      </c>
      <c r="C859" s="20" t="inlineStr">
        <is>
          <t>East</t>
        </is>
      </c>
      <c r="D859" s="20" t="inlineStr">
        <is>
          <t>Electronics</t>
        </is>
      </c>
      <c r="E859" s="20" t="inlineStr">
        <is>
          <t>Webcam HD</t>
        </is>
      </c>
      <c r="F859" s="20" t="inlineStr">
        <is>
          <t>Enterprise</t>
        </is>
      </c>
      <c r="G859" s="20" t="inlineStr">
        <is>
          <t>L&amp;T Infotech</t>
        </is>
      </c>
      <c r="H859" s="20" t="n">
        <v>3</v>
      </c>
      <c r="I859" s="22" t="n">
        <v>71061.24000000001</v>
      </c>
      <c r="J859" s="23" t="n">
        <v>0</v>
      </c>
      <c r="K859" s="24" t="n">
        <v>213183.72</v>
      </c>
      <c r="L859" s="24" t="n">
        <v>163567.09</v>
      </c>
      <c r="M859" s="24" t="n">
        <v>49616.63</v>
      </c>
    </row>
    <row r="860">
      <c r="A860" s="20" t="inlineStr">
        <is>
          <t>ORD-20240859</t>
        </is>
      </c>
      <c r="B860" s="21" t="n">
        <v>45823</v>
      </c>
      <c r="C860" s="20" t="inlineStr">
        <is>
          <t>North</t>
        </is>
      </c>
      <c r="D860" s="20" t="inlineStr">
        <is>
          <t>Apparel</t>
        </is>
      </c>
      <c r="E860" s="20" t="inlineStr">
        <is>
          <t>Hoodie Soft</t>
        </is>
      </c>
      <c r="F860" s="20" t="inlineStr">
        <is>
          <t>SMB</t>
        </is>
      </c>
      <c r="G860" s="20" t="inlineStr">
        <is>
          <t>CityCare Clinics</t>
        </is>
      </c>
      <c r="H860" s="20" t="n">
        <v>13</v>
      </c>
      <c r="I860" s="22" t="n">
        <v>3830.15</v>
      </c>
      <c r="J860" s="23" t="n">
        <v>0.2</v>
      </c>
      <c r="K860" s="24" t="n">
        <v>39833.56</v>
      </c>
      <c r="L860" s="24" t="n">
        <v>31671.72</v>
      </c>
      <c r="M860" s="24" t="n">
        <v>8161.84</v>
      </c>
    </row>
    <row r="861">
      <c r="A861" s="20" t="inlineStr">
        <is>
          <t>ORD-20240860</t>
        </is>
      </c>
      <c r="B861" s="21" t="n">
        <v>45823</v>
      </c>
      <c r="C861" s="20" t="inlineStr">
        <is>
          <t>West</t>
        </is>
      </c>
      <c r="D861" s="20" t="inlineStr">
        <is>
          <t>Furniture</t>
        </is>
      </c>
      <c r="E861" s="20" t="inlineStr">
        <is>
          <t>Ergo Chair</t>
        </is>
      </c>
      <c r="F861" s="20" t="inlineStr">
        <is>
          <t>Enterprise</t>
        </is>
      </c>
      <c r="G861" s="20" t="inlineStr">
        <is>
          <t>Infosys Ltd</t>
        </is>
      </c>
      <c r="H861" s="20" t="n">
        <v>1</v>
      </c>
      <c r="I861" s="22" t="n">
        <v>9018.450000000001</v>
      </c>
      <c r="J861" s="23" t="n">
        <v>0.1</v>
      </c>
      <c r="K861" s="24" t="n">
        <v>8116.61</v>
      </c>
      <c r="L861" s="24" t="n">
        <v>6704.11</v>
      </c>
      <c r="M861" s="24" t="n">
        <v>1412.5</v>
      </c>
    </row>
    <row r="862">
      <c r="A862" s="20" t="inlineStr">
        <is>
          <t>ORD-20240861</t>
        </is>
      </c>
      <c r="B862" s="21" t="n">
        <v>45824</v>
      </c>
      <c r="C862" s="20" t="inlineStr">
        <is>
          <t>Central</t>
        </is>
      </c>
      <c r="D862" s="20" t="inlineStr">
        <is>
          <t>Electronics</t>
        </is>
      </c>
      <c r="E862" s="20" t="inlineStr">
        <is>
          <t>Keyboard Mech</t>
        </is>
      </c>
      <c r="F862" s="20" t="inlineStr">
        <is>
          <t>Enterprise</t>
        </is>
      </c>
      <c r="G862" s="20" t="inlineStr">
        <is>
          <t>Infosys Ltd</t>
        </is>
      </c>
      <c r="H862" s="20" t="n">
        <v>7</v>
      </c>
      <c r="I862" s="22" t="n">
        <v>44780.57</v>
      </c>
      <c r="J862" s="23" t="n">
        <v>0</v>
      </c>
      <c r="K862" s="24" t="n">
        <v>313463.99</v>
      </c>
      <c r="L862" s="24" t="n">
        <v>199489.47</v>
      </c>
      <c r="M862" s="24" t="n">
        <v>113974.52</v>
      </c>
    </row>
    <row r="863">
      <c r="A863" s="20" t="inlineStr">
        <is>
          <t>ORD-20240862</t>
        </is>
      </c>
      <c r="B863" s="21" t="n">
        <v>45825</v>
      </c>
      <c r="C863" s="20" t="inlineStr">
        <is>
          <t>West</t>
        </is>
      </c>
      <c r="D863" s="20" t="inlineStr">
        <is>
          <t>Apparel</t>
        </is>
      </c>
      <c r="E863" s="20" t="inlineStr">
        <is>
          <t>Formal Blazer</t>
        </is>
      </c>
      <c r="F863" s="20" t="inlineStr">
        <is>
          <t>Government</t>
        </is>
      </c>
      <c r="G863" s="20" t="inlineStr">
        <is>
          <t>Railways Zone W</t>
        </is>
      </c>
      <c r="H863" s="20" t="n">
        <v>25</v>
      </c>
      <c r="I863" s="22" t="n">
        <v>1461.03</v>
      </c>
      <c r="J863" s="23" t="n">
        <v>0.05</v>
      </c>
      <c r="K863" s="24" t="n">
        <v>34699.46</v>
      </c>
      <c r="L863" s="24" t="n">
        <v>26522.7</v>
      </c>
      <c r="M863" s="24" t="n">
        <v>8176.76</v>
      </c>
    </row>
    <row r="864">
      <c r="A864" s="20" t="inlineStr">
        <is>
          <t>ORD-20240863</t>
        </is>
      </c>
      <c r="B864" s="21" t="n">
        <v>45825</v>
      </c>
      <c r="C864" s="20" t="inlineStr">
        <is>
          <t>West</t>
        </is>
      </c>
      <c r="D864" s="20" t="inlineStr">
        <is>
          <t>Office Supplies</t>
        </is>
      </c>
      <c r="E864" s="20" t="inlineStr">
        <is>
          <t>Notebook Set</t>
        </is>
      </c>
      <c r="F864" s="20" t="inlineStr">
        <is>
          <t>Consumer</t>
        </is>
      </c>
      <c r="G864" s="20" t="inlineStr">
        <is>
          <t>App User North</t>
        </is>
      </c>
      <c r="H864" s="20" t="n">
        <v>25</v>
      </c>
      <c r="I864" s="22" t="n">
        <v>3026.68</v>
      </c>
      <c r="J864" s="23" t="n">
        <v>0.1</v>
      </c>
      <c r="K864" s="24" t="n">
        <v>68100.3</v>
      </c>
      <c r="L864" s="24" t="n">
        <v>54632.78</v>
      </c>
      <c r="M864" s="24" t="n">
        <v>13467.52</v>
      </c>
    </row>
    <row r="865">
      <c r="A865" s="20" t="inlineStr">
        <is>
          <t>ORD-20240864</t>
        </is>
      </c>
      <c r="B865" s="21" t="n">
        <v>45826</v>
      </c>
      <c r="C865" s="20" t="inlineStr">
        <is>
          <t>North</t>
        </is>
      </c>
      <c r="D865" s="20" t="inlineStr">
        <is>
          <t>Home &amp; Kitchen</t>
        </is>
      </c>
      <c r="E865" s="20" t="inlineStr">
        <is>
          <t>Air Fryer</t>
        </is>
      </c>
      <c r="F865" s="20" t="inlineStr">
        <is>
          <t>Consumer</t>
        </is>
      </c>
      <c r="G865" s="20" t="inlineStr">
        <is>
          <t>Online Guest</t>
        </is>
      </c>
      <c r="H865" s="20" t="n">
        <v>16</v>
      </c>
      <c r="I865" s="22" t="n">
        <v>27862.73</v>
      </c>
      <c r="J865" s="23" t="n">
        <v>0.2</v>
      </c>
      <c r="K865" s="24" t="n">
        <v>356642.94</v>
      </c>
      <c r="L865" s="24" t="n">
        <v>245706.19</v>
      </c>
      <c r="M865" s="24" t="n">
        <v>110936.75</v>
      </c>
    </row>
    <row r="866">
      <c r="A866" s="20" t="inlineStr">
        <is>
          <t>ORD-20240865</t>
        </is>
      </c>
      <c r="B866" s="21" t="n">
        <v>45827</v>
      </c>
      <c r="C866" s="20" t="inlineStr">
        <is>
          <t>North</t>
        </is>
      </c>
      <c r="D866" s="20" t="inlineStr">
        <is>
          <t>Home &amp; Kitchen</t>
        </is>
      </c>
      <c r="E866" s="20" t="inlineStr">
        <is>
          <t>Mixer Grinder</t>
        </is>
      </c>
      <c r="F866" s="20" t="inlineStr">
        <is>
          <t>Consumer</t>
        </is>
      </c>
      <c r="G866" s="20" t="inlineStr">
        <is>
          <t>Walk-in Delhi</t>
        </is>
      </c>
      <c r="H866" s="20" t="n">
        <v>4</v>
      </c>
      <c r="I866" s="22" t="n">
        <v>14438.45</v>
      </c>
      <c r="J866" s="23" t="n">
        <v>0.05</v>
      </c>
      <c r="K866" s="24" t="n">
        <v>54866.11</v>
      </c>
      <c r="L866" s="24" t="n">
        <v>42098.51</v>
      </c>
      <c r="M866" s="24" t="n">
        <v>12767.6</v>
      </c>
    </row>
    <row r="867">
      <c r="A867" s="20" t="inlineStr">
        <is>
          <t>ORD-20240866</t>
        </is>
      </c>
      <c r="B867" s="21" t="n">
        <v>45827</v>
      </c>
      <c r="C867" s="20" t="inlineStr">
        <is>
          <t>Central</t>
        </is>
      </c>
      <c r="D867" s="20" t="inlineStr">
        <is>
          <t>Office Supplies</t>
        </is>
      </c>
      <c r="E867" s="20" t="inlineStr">
        <is>
          <t>Whiteboard Kit</t>
        </is>
      </c>
      <c r="F867" s="20" t="inlineStr">
        <is>
          <t>Enterprise</t>
        </is>
      </c>
      <c r="G867" s="20" t="inlineStr">
        <is>
          <t>TCS Digital</t>
        </is>
      </c>
      <c r="H867" s="20" t="n">
        <v>13</v>
      </c>
      <c r="I867" s="22" t="n">
        <v>1379.84</v>
      </c>
      <c r="J867" s="23" t="n">
        <v>0</v>
      </c>
      <c r="K867" s="24" t="n">
        <v>17937.92</v>
      </c>
      <c r="L867" s="24" t="n">
        <v>9934.190000000001</v>
      </c>
      <c r="M867" s="24" t="n">
        <v>8003.73</v>
      </c>
    </row>
    <row r="868">
      <c r="A868" s="20" t="inlineStr">
        <is>
          <t>ORD-20240867</t>
        </is>
      </c>
      <c r="B868" s="21" t="n">
        <v>45829</v>
      </c>
      <c r="C868" s="20" t="inlineStr">
        <is>
          <t>Central</t>
        </is>
      </c>
      <c r="D868" s="20" t="inlineStr">
        <is>
          <t>Furniture</t>
        </is>
      </c>
      <c r="E868" s="20" t="inlineStr">
        <is>
          <t>Bookshelf Oak</t>
        </is>
      </c>
      <c r="F868" s="20" t="inlineStr">
        <is>
          <t>Enterprise</t>
        </is>
      </c>
      <c r="G868" s="20" t="inlineStr">
        <is>
          <t>L&amp;T Infotech</t>
        </is>
      </c>
      <c r="H868" s="20" t="n">
        <v>1</v>
      </c>
      <c r="I868" s="22" t="n">
        <v>37846.8</v>
      </c>
      <c r="J868" s="23" t="n">
        <v>0</v>
      </c>
      <c r="K868" s="24" t="n">
        <v>37846.8</v>
      </c>
      <c r="L868" s="24" t="n">
        <v>24395.56</v>
      </c>
      <c r="M868" s="24" t="n">
        <v>13451.24</v>
      </c>
    </row>
    <row r="869">
      <c r="A869" s="20" t="inlineStr">
        <is>
          <t>ORD-20240868</t>
        </is>
      </c>
      <c r="B869" s="21" t="n">
        <v>45829</v>
      </c>
      <c r="C869" s="20" t="inlineStr">
        <is>
          <t>West</t>
        </is>
      </c>
      <c r="D869" s="20" t="inlineStr">
        <is>
          <t>Furniture</t>
        </is>
      </c>
      <c r="E869" s="20" t="inlineStr">
        <is>
          <t>Conference Table</t>
        </is>
      </c>
      <c r="F869" s="20" t="inlineStr">
        <is>
          <t>SMB</t>
        </is>
      </c>
      <c r="G869" s="20" t="inlineStr">
        <is>
          <t>CityCare Clinics</t>
        </is>
      </c>
      <c r="H869" s="20" t="n">
        <v>20</v>
      </c>
      <c r="I869" s="22" t="n">
        <v>6158.31</v>
      </c>
      <c r="J869" s="23" t="n">
        <v>0.05</v>
      </c>
      <c r="K869" s="24" t="n">
        <v>117007.89</v>
      </c>
      <c r="L869" s="24" t="n">
        <v>76331.41</v>
      </c>
      <c r="M869" s="24" t="n">
        <v>40676.48</v>
      </c>
    </row>
    <row r="870">
      <c r="A870" s="20" t="inlineStr">
        <is>
          <t>ORD-20240869</t>
        </is>
      </c>
      <c r="B870" s="21" t="n">
        <v>45830</v>
      </c>
      <c r="C870" s="20" t="inlineStr">
        <is>
          <t>South</t>
        </is>
      </c>
      <c r="D870" s="20" t="inlineStr">
        <is>
          <t>Furniture</t>
        </is>
      </c>
      <c r="E870" s="20" t="inlineStr">
        <is>
          <t>Ergo Chair</t>
        </is>
      </c>
      <c r="F870" s="20" t="inlineStr">
        <is>
          <t>Enterprise</t>
        </is>
      </c>
      <c r="G870" s="20" t="inlineStr">
        <is>
          <t>HCL Services</t>
        </is>
      </c>
      <c r="H870" s="20" t="n">
        <v>7</v>
      </c>
      <c r="I870" s="22" t="n">
        <v>6697.03</v>
      </c>
      <c r="J870" s="23" t="n">
        <v>0.12</v>
      </c>
      <c r="K870" s="24" t="n">
        <v>41253.7</v>
      </c>
      <c r="L870" s="24" t="n">
        <v>32877.42</v>
      </c>
      <c r="M870" s="24" t="n">
        <v>8376.280000000001</v>
      </c>
    </row>
    <row r="871">
      <c r="A871" s="20" t="inlineStr">
        <is>
          <t>ORD-20240870</t>
        </is>
      </c>
      <c r="B871" s="21" t="n">
        <v>45831</v>
      </c>
      <c r="C871" s="20" t="inlineStr">
        <is>
          <t>North</t>
        </is>
      </c>
      <c r="D871" s="20" t="inlineStr">
        <is>
          <t>Apparel</t>
        </is>
      </c>
      <c r="E871" s="20" t="inlineStr">
        <is>
          <t>Polo Shirt</t>
        </is>
      </c>
      <c r="F871" s="20" t="inlineStr">
        <is>
          <t>Consumer</t>
        </is>
      </c>
      <c r="G871" s="20" t="inlineStr">
        <is>
          <t>App User North</t>
        </is>
      </c>
      <c r="H871" s="20" t="n">
        <v>22</v>
      </c>
      <c r="I871" s="22" t="n">
        <v>1352.88</v>
      </c>
      <c r="J871" s="23" t="n">
        <v>0</v>
      </c>
      <c r="K871" s="24" t="n">
        <v>29763.36</v>
      </c>
      <c r="L871" s="24" t="n">
        <v>22740.8</v>
      </c>
      <c r="M871" s="24" t="n">
        <v>7022.56</v>
      </c>
    </row>
    <row r="872">
      <c r="A872" s="20" t="inlineStr">
        <is>
          <t>ORD-20240871</t>
        </is>
      </c>
      <c r="B872" s="21" t="n">
        <v>45832</v>
      </c>
      <c r="C872" s="20" t="inlineStr">
        <is>
          <t>West</t>
        </is>
      </c>
      <c r="D872" s="20" t="inlineStr">
        <is>
          <t>Home &amp; Kitchen</t>
        </is>
      </c>
      <c r="E872" s="20" t="inlineStr">
        <is>
          <t>Vacuum Robot</t>
        </is>
      </c>
      <c r="F872" s="20" t="inlineStr">
        <is>
          <t>Enterprise</t>
        </is>
      </c>
      <c r="G872" s="20" t="inlineStr">
        <is>
          <t>HCL Services</t>
        </is>
      </c>
      <c r="H872" s="20" t="n">
        <v>1</v>
      </c>
      <c r="I872" s="22" t="n">
        <v>10178.17</v>
      </c>
      <c r="J872" s="23" t="n">
        <v>0</v>
      </c>
      <c r="K872" s="24" t="n">
        <v>10178.17</v>
      </c>
      <c r="L872" s="24" t="n">
        <v>6569.35</v>
      </c>
      <c r="M872" s="24" t="n">
        <v>3608.82</v>
      </c>
    </row>
    <row r="873">
      <c r="A873" s="20" t="inlineStr">
        <is>
          <t>ORD-20240872</t>
        </is>
      </c>
      <c r="B873" s="21" t="n">
        <v>45834</v>
      </c>
      <c r="C873" s="20" t="inlineStr">
        <is>
          <t>South</t>
        </is>
      </c>
      <c r="D873" s="20" t="inlineStr">
        <is>
          <t>Electronics</t>
        </is>
      </c>
      <c r="E873" s="20" t="inlineStr">
        <is>
          <t>Webcam HD</t>
        </is>
      </c>
      <c r="F873" s="20" t="inlineStr">
        <is>
          <t>Government</t>
        </is>
      </c>
      <c r="G873" s="20" t="inlineStr">
        <is>
          <t>Railways Zone W</t>
        </is>
      </c>
      <c r="H873" s="20" t="n">
        <v>12</v>
      </c>
      <c r="I873" s="22" t="n">
        <v>38179.69</v>
      </c>
      <c r="J873" s="23" t="n">
        <v>0</v>
      </c>
      <c r="K873" s="24" t="n">
        <v>458156.28</v>
      </c>
      <c r="L873" s="24" t="n">
        <v>312463.5</v>
      </c>
      <c r="M873" s="24" t="n">
        <v>145692.78</v>
      </c>
    </row>
    <row r="874">
      <c r="A874" s="20" t="inlineStr">
        <is>
          <t>ORD-20240873</t>
        </is>
      </c>
      <c r="B874" s="21" t="n">
        <v>45834</v>
      </c>
      <c r="C874" s="20" t="inlineStr">
        <is>
          <t>East</t>
        </is>
      </c>
      <c r="D874" s="20" t="inlineStr">
        <is>
          <t>Home &amp; Kitchen</t>
        </is>
      </c>
      <c r="E874" s="20" t="inlineStr">
        <is>
          <t>Air Fryer</t>
        </is>
      </c>
      <c r="F874" s="20" t="inlineStr">
        <is>
          <t>Consumer</t>
        </is>
      </c>
      <c r="G874" s="20" t="inlineStr">
        <is>
          <t>App User North</t>
        </is>
      </c>
      <c r="H874" s="20" t="n">
        <v>1</v>
      </c>
      <c r="I874" s="22" t="n">
        <v>16057.74</v>
      </c>
      <c r="J874" s="23" t="n">
        <v>0.05</v>
      </c>
      <c r="K874" s="24" t="n">
        <v>15254.85</v>
      </c>
      <c r="L874" s="24" t="n">
        <v>9265.75</v>
      </c>
      <c r="M874" s="24" t="n">
        <v>5989.1</v>
      </c>
    </row>
    <row r="875">
      <c r="A875" s="20" t="inlineStr">
        <is>
          <t>ORD-20240874</t>
        </is>
      </c>
      <c r="B875" s="21" t="n">
        <v>45835</v>
      </c>
      <c r="C875" s="20" t="inlineStr">
        <is>
          <t>East</t>
        </is>
      </c>
      <c r="D875" s="20" t="inlineStr">
        <is>
          <t>Home &amp; Kitchen</t>
        </is>
      </c>
      <c r="E875" s="20" t="inlineStr">
        <is>
          <t>Air Fryer</t>
        </is>
      </c>
      <c r="F875" s="20" t="inlineStr">
        <is>
          <t>SMB</t>
        </is>
      </c>
      <c r="G875" s="20" t="inlineStr">
        <is>
          <t>Nova Logistics</t>
        </is>
      </c>
      <c r="H875" s="20" t="n">
        <v>12</v>
      </c>
      <c r="I875" s="22" t="n">
        <v>21587.55</v>
      </c>
      <c r="J875" s="23" t="n">
        <v>0.2</v>
      </c>
      <c r="K875" s="24" t="n">
        <v>207240.48</v>
      </c>
      <c r="L875" s="24" t="n">
        <v>199288.91</v>
      </c>
      <c r="M875" s="24" t="n">
        <v>7951.57</v>
      </c>
    </row>
    <row r="876">
      <c r="A876" s="20" t="inlineStr">
        <is>
          <t>ORD-20240875</t>
        </is>
      </c>
      <c r="B876" s="21" t="n">
        <v>45836</v>
      </c>
      <c r="C876" s="20" t="inlineStr">
        <is>
          <t>South</t>
        </is>
      </c>
      <c r="D876" s="20" t="inlineStr">
        <is>
          <t>Home &amp; Kitchen</t>
        </is>
      </c>
      <c r="E876" s="20" t="inlineStr">
        <is>
          <t>Water Purifier</t>
        </is>
      </c>
      <c r="F876" s="20" t="inlineStr">
        <is>
          <t>Enterprise</t>
        </is>
      </c>
      <c r="G876" s="20" t="inlineStr">
        <is>
          <t>TCS Digital</t>
        </is>
      </c>
      <c r="H876" s="20" t="n">
        <v>16</v>
      </c>
      <c r="I876" s="22" t="n">
        <v>25343.32</v>
      </c>
      <c r="J876" s="23" t="n">
        <v>0</v>
      </c>
      <c r="K876" s="24" t="n">
        <v>405493.12</v>
      </c>
      <c r="L876" s="24" t="n">
        <v>304883.43</v>
      </c>
      <c r="M876" s="24" t="n">
        <v>100609.69</v>
      </c>
    </row>
    <row r="877">
      <c r="A877" s="20" t="inlineStr">
        <is>
          <t>ORD-20240876</t>
        </is>
      </c>
      <c r="B877" s="21" t="n">
        <v>45836</v>
      </c>
      <c r="C877" s="20" t="inlineStr">
        <is>
          <t>North</t>
        </is>
      </c>
      <c r="D877" s="20" t="inlineStr">
        <is>
          <t>Home &amp; Kitchen</t>
        </is>
      </c>
      <c r="E877" s="20" t="inlineStr">
        <is>
          <t>Mixer Grinder</t>
        </is>
      </c>
      <c r="F877" s="20" t="inlineStr">
        <is>
          <t>SMB</t>
        </is>
      </c>
      <c r="G877" s="20" t="inlineStr">
        <is>
          <t>GreenFarm Agro</t>
        </is>
      </c>
      <c r="H877" s="20" t="n">
        <v>17</v>
      </c>
      <c r="I877" s="22" t="n">
        <v>25215.23</v>
      </c>
      <c r="J877" s="23" t="n">
        <v>0</v>
      </c>
      <c r="K877" s="24" t="n">
        <v>428658.91</v>
      </c>
      <c r="L877" s="24" t="n">
        <v>300660.72</v>
      </c>
      <c r="M877" s="24" t="n">
        <v>127998.19</v>
      </c>
    </row>
    <row r="878">
      <c r="A878" s="20" t="inlineStr">
        <is>
          <t>ORD-20240877</t>
        </is>
      </c>
      <c r="B878" s="21" t="n">
        <v>45837</v>
      </c>
      <c r="C878" s="20" t="inlineStr">
        <is>
          <t>South</t>
        </is>
      </c>
      <c r="D878" s="20" t="inlineStr">
        <is>
          <t>Furniture</t>
        </is>
      </c>
      <c r="E878" s="20" t="inlineStr">
        <is>
          <t>Filing Cabinet</t>
        </is>
      </c>
      <c r="F878" s="20" t="inlineStr">
        <is>
          <t>Consumer</t>
        </is>
      </c>
      <c r="G878" s="20" t="inlineStr">
        <is>
          <t>App User North</t>
        </is>
      </c>
      <c r="H878" s="20" t="n">
        <v>17</v>
      </c>
      <c r="I878" s="22" t="n">
        <v>18515.05</v>
      </c>
      <c r="J878" s="23" t="n">
        <v>0</v>
      </c>
      <c r="K878" s="24" t="n">
        <v>314755.85</v>
      </c>
      <c r="L878" s="24" t="n">
        <v>206392.53</v>
      </c>
      <c r="M878" s="24" t="n">
        <v>108363.32</v>
      </c>
    </row>
    <row r="879">
      <c r="A879" s="20" t="inlineStr">
        <is>
          <t>ORD-20240878</t>
        </is>
      </c>
      <c r="B879" s="21" t="n">
        <v>45837</v>
      </c>
      <c r="C879" s="20" t="inlineStr">
        <is>
          <t>West</t>
        </is>
      </c>
      <c r="D879" s="20" t="inlineStr">
        <is>
          <t>Home &amp; Kitchen</t>
        </is>
      </c>
      <c r="E879" s="20" t="inlineStr">
        <is>
          <t>Coffee Maker</t>
        </is>
      </c>
      <c r="F879" s="20" t="inlineStr">
        <is>
          <t>SMB</t>
        </is>
      </c>
      <c r="G879" s="20" t="inlineStr">
        <is>
          <t>SwiftPrint</t>
        </is>
      </c>
      <c r="H879" s="20" t="n">
        <v>19</v>
      </c>
      <c r="I879" s="22" t="n">
        <v>25761.94</v>
      </c>
      <c r="J879" s="23" t="n">
        <v>0.1</v>
      </c>
      <c r="K879" s="24" t="n">
        <v>440529.17</v>
      </c>
      <c r="L879" s="24" t="n">
        <v>276846.76</v>
      </c>
      <c r="M879" s="24" t="n">
        <v>163682.41</v>
      </c>
    </row>
    <row r="880">
      <c r="A880" s="20" t="inlineStr">
        <is>
          <t>ORD-20240879</t>
        </is>
      </c>
      <c r="B880" s="21" t="n">
        <v>45837</v>
      </c>
      <c r="C880" s="20" t="inlineStr">
        <is>
          <t>East</t>
        </is>
      </c>
      <c r="D880" s="20" t="inlineStr">
        <is>
          <t>Electronics</t>
        </is>
      </c>
      <c r="E880" s="20" t="inlineStr">
        <is>
          <t>Keyboard Mech</t>
        </is>
      </c>
      <c r="F880" s="20" t="inlineStr">
        <is>
          <t>SMB</t>
        </is>
      </c>
      <c r="G880" s="20" t="inlineStr">
        <is>
          <t>GreenFarm Agro</t>
        </is>
      </c>
      <c r="H880" s="20" t="n">
        <v>12</v>
      </c>
      <c r="I880" s="22" t="n">
        <v>15782.57</v>
      </c>
      <c r="J880" s="23" t="n">
        <v>0</v>
      </c>
      <c r="K880" s="24" t="n">
        <v>189390.84</v>
      </c>
      <c r="L880" s="24" t="n">
        <v>143050.34</v>
      </c>
      <c r="M880" s="24" t="n">
        <v>46340.5</v>
      </c>
    </row>
    <row r="881">
      <c r="A881" s="20" t="inlineStr">
        <is>
          <t>ORD-20240880</t>
        </is>
      </c>
      <c r="B881" s="21" t="n">
        <v>45837</v>
      </c>
      <c r="C881" s="20" t="inlineStr">
        <is>
          <t>South</t>
        </is>
      </c>
      <c r="D881" s="20" t="inlineStr">
        <is>
          <t>Electronics</t>
        </is>
      </c>
      <c r="E881" s="20" t="inlineStr">
        <is>
          <t>Webcam HD</t>
        </is>
      </c>
      <c r="F881" s="20" t="inlineStr">
        <is>
          <t>Government</t>
        </is>
      </c>
      <c r="G881" s="20" t="inlineStr">
        <is>
          <t>MH Education Dept</t>
        </is>
      </c>
      <c r="H881" s="20" t="n">
        <v>14</v>
      </c>
      <c r="I881" s="22" t="n">
        <v>22091.76</v>
      </c>
      <c r="J881" s="23" t="n">
        <v>0.05</v>
      </c>
      <c r="K881" s="24" t="n">
        <v>293820.41</v>
      </c>
      <c r="L881" s="24" t="n">
        <v>205720.3</v>
      </c>
      <c r="M881" s="24" t="n">
        <v>88100.11</v>
      </c>
    </row>
    <row r="882">
      <c r="A882" s="20" t="inlineStr">
        <is>
          <t>ORD-20240881</t>
        </is>
      </c>
      <c r="B882" s="21" t="n">
        <v>45838</v>
      </c>
      <c r="C882" s="20" t="inlineStr">
        <is>
          <t>North</t>
        </is>
      </c>
      <c r="D882" s="20" t="inlineStr">
        <is>
          <t>Office Supplies</t>
        </is>
      </c>
      <c r="E882" s="20" t="inlineStr">
        <is>
          <t>Notebook Set</t>
        </is>
      </c>
      <c r="F882" s="20" t="inlineStr">
        <is>
          <t>Consumer</t>
        </is>
      </c>
      <c r="G882" s="20" t="inlineStr">
        <is>
          <t>App User North</t>
        </is>
      </c>
      <c r="H882" s="20" t="n">
        <v>13</v>
      </c>
      <c r="I882" s="22" t="n">
        <v>1413.14</v>
      </c>
      <c r="J882" s="23" t="n">
        <v>0</v>
      </c>
      <c r="K882" s="24" t="n">
        <v>18370.82</v>
      </c>
      <c r="L882" s="24" t="n">
        <v>12106.69</v>
      </c>
      <c r="M882" s="24" t="n">
        <v>6264.13</v>
      </c>
    </row>
    <row r="883">
      <c r="A883" s="20" t="inlineStr">
        <is>
          <t>ORD-20240882</t>
        </is>
      </c>
      <c r="B883" s="21" t="n">
        <v>45838</v>
      </c>
      <c r="C883" s="20" t="inlineStr">
        <is>
          <t>East</t>
        </is>
      </c>
      <c r="D883" s="20" t="inlineStr">
        <is>
          <t>Furniture</t>
        </is>
      </c>
      <c r="E883" s="20" t="inlineStr">
        <is>
          <t>Ergo Chair</t>
        </is>
      </c>
      <c r="F883" s="20" t="inlineStr">
        <is>
          <t>SMB</t>
        </is>
      </c>
      <c r="G883" s="20" t="inlineStr">
        <is>
          <t>Nova Logistics</t>
        </is>
      </c>
      <c r="H883" s="20" t="n">
        <v>23</v>
      </c>
      <c r="I883" s="22" t="n">
        <v>38153.99</v>
      </c>
      <c r="J883" s="23" t="n">
        <v>0.15</v>
      </c>
      <c r="K883" s="24" t="n">
        <v>745910.5</v>
      </c>
      <c r="L883" s="24" t="n">
        <v>499732.86</v>
      </c>
      <c r="M883" s="24" t="n">
        <v>246177.64</v>
      </c>
    </row>
    <row r="884">
      <c r="A884" s="20" t="inlineStr">
        <is>
          <t>ORD-20240883</t>
        </is>
      </c>
      <c r="B884" s="21" t="n">
        <v>45839</v>
      </c>
      <c r="C884" s="20" t="inlineStr">
        <is>
          <t>West</t>
        </is>
      </c>
      <c r="D884" s="20" t="inlineStr">
        <is>
          <t>Apparel</t>
        </is>
      </c>
      <c r="E884" s="20" t="inlineStr">
        <is>
          <t>Hoodie Soft</t>
        </is>
      </c>
      <c r="F884" s="20" t="inlineStr">
        <is>
          <t>Consumer</t>
        </is>
      </c>
      <c r="G884" s="20" t="inlineStr">
        <is>
          <t>Retail Counter</t>
        </is>
      </c>
      <c r="H884" s="20" t="n">
        <v>16</v>
      </c>
      <c r="I884" s="22" t="n">
        <v>1181.61</v>
      </c>
      <c r="J884" s="23" t="n">
        <v>0</v>
      </c>
      <c r="K884" s="24" t="n">
        <v>18905.76</v>
      </c>
      <c r="L884" s="24" t="n">
        <v>11059.76</v>
      </c>
      <c r="M884" s="24" t="n">
        <v>7846</v>
      </c>
    </row>
    <row r="885">
      <c r="A885" s="20" t="inlineStr">
        <is>
          <t>ORD-20240884</t>
        </is>
      </c>
      <c r="B885" s="21" t="n">
        <v>45841</v>
      </c>
      <c r="C885" s="20" t="inlineStr">
        <is>
          <t>South</t>
        </is>
      </c>
      <c r="D885" s="20" t="inlineStr">
        <is>
          <t>Apparel</t>
        </is>
      </c>
      <c r="E885" s="20" t="inlineStr">
        <is>
          <t>Polo Shirt</t>
        </is>
      </c>
      <c r="F885" s="20" t="inlineStr">
        <is>
          <t>SMB</t>
        </is>
      </c>
      <c r="G885" s="20" t="inlineStr">
        <is>
          <t>Pixel Studio</t>
        </is>
      </c>
      <c r="H885" s="20" t="n">
        <v>25</v>
      </c>
      <c r="I885" s="22" t="n">
        <v>3606.67</v>
      </c>
      <c r="J885" s="23" t="n">
        <v>0</v>
      </c>
      <c r="K885" s="24" t="n">
        <v>90166.75</v>
      </c>
      <c r="L885" s="24" t="n">
        <v>61564.96</v>
      </c>
      <c r="M885" s="24" t="n">
        <v>28601.79</v>
      </c>
    </row>
    <row r="886">
      <c r="A886" s="20" t="inlineStr">
        <is>
          <t>ORD-20240885</t>
        </is>
      </c>
      <c r="B886" s="21" t="n">
        <v>45842</v>
      </c>
      <c r="C886" s="20" t="inlineStr">
        <is>
          <t>Central</t>
        </is>
      </c>
      <c r="D886" s="20" t="inlineStr">
        <is>
          <t>Apparel</t>
        </is>
      </c>
      <c r="E886" s="20" t="inlineStr">
        <is>
          <t>Polo Shirt</t>
        </is>
      </c>
      <c r="F886" s="20" t="inlineStr">
        <is>
          <t>SMB</t>
        </is>
      </c>
      <c r="G886" s="20" t="inlineStr">
        <is>
          <t>Nova Logistics</t>
        </is>
      </c>
      <c r="H886" s="20" t="n">
        <v>12</v>
      </c>
      <c r="I886" s="22" t="n">
        <v>2839.07</v>
      </c>
      <c r="J886" s="23" t="n">
        <v>0</v>
      </c>
      <c r="K886" s="24" t="n">
        <v>34068.84</v>
      </c>
      <c r="L886" s="24" t="n">
        <v>24865.67</v>
      </c>
      <c r="M886" s="24" t="n">
        <v>9203.17</v>
      </c>
    </row>
    <row r="887">
      <c r="A887" s="20" t="inlineStr">
        <is>
          <t>ORD-20240886</t>
        </is>
      </c>
      <c r="B887" s="21" t="n">
        <v>45843</v>
      </c>
      <c r="C887" s="20" t="inlineStr">
        <is>
          <t>Central</t>
        </is>
      </c>
      <c r="D887" s="20" t="inlineStr">
        <is>
          <t>Electronics</t>
        </is>
      </c>
      <c r="E887" s="20" t="inlineStr">
        <is>
          <t>Monitor 27in</t>
        </is>
      </c>
      <c r="F887" s="20" t="inlineStr">
        <is>
          <t>SMB</t>
        </is>
      </c>
      <c r="G887" s="20" t="inlineStr">
        <is>
          <t>Pixel Studio</t>
        </is>
      </c>
      <c r="H887" s="20" t="n">
        <v>2</v>
      </c>
      <c r="I887" s="22" t="n">
        <v>60479.72</v>
      </c>
      <c r="J887" s="23" t="n">
        <v>0</v>
      </c>
      <c r="K887" s="24" t="n">
        <v>120959.44</v>
      </c>
      <c r="L887" s="24" t="n">
        <v>80992.23</v>
      </c>
      <c r="M887" s="24" t="n">
        <v>39967.21</v>
      </c>
    </row>
    <row r="888">
      <c r="A888" s="20" t="inlineStr">
        <is>
          <t>ORD-20240887</t>
        </is>
      </c>
      <c r="B888" s="21" t="n">
        <v>45844</v>
      </c>
      <c r="C888" s="20" t="inlineStr">
        <is>
          <t>West</t>
        </is>
      </c>
      <c r="D888" s="20" t="inlineStr">
        <is>
          <t>Office Supplies</t>
        </is>
      </c>
      <c r="E888" s="20" t="inlineStr">
        <is>
          <t>Stapler Heavy</t>
        </is>
      </c>
      <c r="F888" s="20" t="inlineStr">
        <is>
          <t>Consumer</t>
        </is>
      </c>
      <c r="G888" s="20" t="inlineStr">
        <is>
          <t>App User North</t>
        </is>
      </c>
      <c r="H888" s="20" t="n">
        <v>9</v>
      </c>
      <c r="I888" s="22" t="n">
        <v>2930.44</v>
      </c>
      <c r="J888" s="23" t="n">
        <v>0.15</v>
      </c>
      <c r="K888" s="24" t="n">
        <v>22417.87</v>
      </c>
      <c r="L888" s="24" t="n">
        <v>14623.26</v>
      </c>
      <c r="M888" s="24" t="n">
        <v>7794.61</v>
      </c>
    </row>
    <row r="889">
      <c r="A889" s="20" t="inlineStr">
        <is>
          <t>ORD-20240888</t>
        </is>
      </c>
      <c r="B889" s="21" t="n">
        <v>45844</v>
      </c>
      <c r="C889" s="20" t="inlineStr">
        <is>
          <t>South</t>
        </is>
      </c>
      <c r="D889" s="20" t="inlineStr">
        <is>
          <t>Furniture</t>
        </is>
      </c>
      <c r="E889" s="20" t="inlineStr">
        <is>
          <t>Standing Desk</t>
        </is>
      </c>
      <c r="F889" s="20" t="inlineStr">
        <is>
          <t>SMB</t>
        </is>
      </c>
      <c r="G889" s="20" t="inlineStr">
        <is>
          <t>BrightRetail Co</t>
        </is>
      </c>
      <c r="H889" s="20" t="n">
        <v>10</v>
      </c>
      <c r="I889" s="22" t="n">
        <v>38388.21</v>
      </c>
      <c r="J889" s="23" t="n">
        <v>0</v>
      </c>
      <c r="K889" s="24" t="n">
        <v>383882.1</v>
      </c>
      <c r="L889" s="24" t="n">
        <v>255960.54</v>
      </c>
      <c r="M889" s="24" t="n">
        <v>127921.56</v>
      </c>
    </row>
    <row r="890">
      <c r="A890" s="20" t="inlineStr">
        <is>
          <t>ORD-20240889</t>
        </is>
      </c>
      <c r="B890" s="21" t="n">
        <v>45844</v>
      </c>
      <c r="C890" s="20" t="inlineStr">
        <is>
          <t>Central</t>
        </is>
      </c>
      <c r="D890" s="20" t="inlineStr">
        <is>
          <t>Home &amp; Kitchen</t>
        </is>
      </c>
      <c r="E890" s="20" t="inlineStr">
        <is>
          <t>Air Fryer</t>
        </is>
      </c>
      <c r="F890" s="20" t="inlineStr">
        <is>
          <t>Government</t>
        </is>
      </c>
      <c r="G890" s="20" t="inlineStr">
        <is>
          <t>Municipal Corp Hyd</t>
        </is>
      </c>
      <c r="H890" s="20" t="n">
        <v>7</v>
      </c>
      <c r="I890" s="22" t="n">
        <v>25470.1</v>
      </c>
      <c r="J890" s="23" t="n">
        <v>0.2</v>
      </c>
      <c r="K890" s="24" t="n">
        <v>142632.56</v>
      </c>
      <c r="L890" s="24" t="n">
        <v>108746.94</v>
      </c>
      <c r="M890" s="24" t="n">
        <v>33885.62</v>
      </c>
    </row>
    <row r="891">
      <c r="A891" s="20" t="inlineStr">
        <is>
          <t>ORD-20240890</t>
        </is>
      </c>
      <c r="B891" s="21" t="n">
        <v>45845</v>
      </c>
      <c r="C891" s="20" t="inlineStr">
        <is>
          <t>East</t>
        </is>
      </c>
      <c r="D891" s="20" t="inlineStr">
        <is>
          <t>Apparel</t>
        </is>
      </c>
      <c r="E891" s="20" t="inlineStr">
        <is>
          <t>Formal Blazer</t>
        </is>
      </c>
      <c r="F891" s="20" t="inlineStr">
        <is>
          <t>Government</t>
        </is>
      </c>
      <c r="G891" s="20" t="inlineStr">
        <is>
          <t>Delhi NDMC</t>
        </is>
      </c>
      <c r="H891" s="20" t="n">
        <v>23</v>
      </c>
      <c r="I891" s="22" t="n">
        <v>1641.92</v>
      </c>
      <c r="J891" s="23" t="n">
        <v>0.05</v>
      </c>
      <c r="K891" s="24" t="n">
        <v>35875.95</v>
      </c>
      <c r="L891" s="24" t="n">
        <v>23687.38</v>
      </c>
      <c r="M891" s="24" t="n">
        <v>12188.57</v>
      </c>
    </row>
    <row r="892">
      <c r="A892" s="20" t="inlineStr">
        <is>
          <t>ORD-20240891</t>
        </is>
      </c>
      <c r="B892" s="21" t="n">
        <v>45845</v>
      </c>
      <c r="C892" s="20" t="inlineStr">
        <is>
          <t>East</t>
        </is>
      </c>
      <c r="D892" s="20" t="inlineStr">
        <is>
          <t>Apparel</t>
        </is>
      </c>
      <c r="E892" s="20" t="inlineStr">
        <is>
          <t>Polo Shirt</t>
        </is>
      </c>
      <c r="F892" s="20" t="inlineStr">
        <is>
          <t>SMB</t>
        </is>
      </c>
      <c r="G892" s="20" t="inlineStr">
        <is>
          <t>CityCare Clinics</t>
        </is>
      </c>
      <c r="H892" s="20" t="n">
        <v>8</v>
      </c>
      <c r="I892" s="22" t="n">
        <v>2962.47</v>
      </c>
      <c r="J892" s="23" t="n">
        <v>0.12</v>
      </c>
      <c r="K892" s="24" t="n">
        <v>20855.79</v>
      </c>
      <c r="L892" s="24" t="n">
        <v>16725.35</v>
      </c>
      <c r="M892" s="24" t="n">
        <v>4130.44</v>
      </c>
    </row>
    <row r="893">
      <c r="A893" s="20" t="inlineStr">
        <is>
          <t>ORD-20240892</t>
        </is>
      </c>
      <c r="B893" s="21" t="n">
        <v>45846</v>
      </c>
      <c r="C893" s="20" t="inlineStr">
        <is>
          <t>South</t>
        </is>
      </c>
      <c r="D893" s="20" t="inlineStr">
        <is>
          <t>Home &amp; Kitchen</t>
        </is>
      </c>
      <c r="E893" s="20" t="inlineStr">
        <is>
          <t>Vacuum Robot</t>
        </is>
      </c>
      <c r="F893" s="20" t="inlineStr">
        <is>
          <t>Enterprise</t>
        </is>
      </c>
      <c r="G893" s="20" t="inlineStr">
        <is>
          <t>Infosys Ltd</t>
        </is>
      </c>
      <c r="H893" s="20" t="n">
        <v>3</v>
      </c>
      <c r="I893" s="22" t="n">
        <v>19246.6</v>
      </c>
      <c r="J893" s="23" t="n">
        <v>0.15</v>
      </c>
      <c r="K893" s="24" t="n">
        <v>49078.83</v>
      </c>
      <c r="L893" s="24" t="n">
        <v>39908.61</v>
      </c>
      <c r="M893" s="24" t="n">
        <v>9170.219999999999</v>
      </c>
    </row>
    <row r="894">
      <c r="A894" s="20" t="inlineStr">
        <is>
          <t>ORD-20240893</t>
        </is>
      </c>
      <c r="B894" s="21" t="n">
        <v>45846</v>
      </c>
      <c r="C894" s="20" t="inlineStr">
        <is>
          <t>Central</t>
        </is>
      </c>
      <c r="D894" s="20" t="inlineStr">
        <is>
          <t>Apparel</t>
        </is>
      </c>
      <c r="E894" s="20" t="inlineStr">
        <is>
          <t>Safety Vest</t>
        </is>
      </c>
      <c r="F894" s="20" t="inlineStr">
        <is>
          <t>SMB</t>
        </is>
      </c>
      <c r="G894" s="20" t="inlineStr">
        <is>
          <t>BrightRetail Co</t>
        </is>
      </c>
      <c r="H894" s="20" t="n">
        <v>17</v>
      </c>
      <c r="I894" s="22" t="n">
        <v>1027.62</v>
      </c>
      <c r="J894" s="23" t="n">
        <v>0.05</v>
      </c>
      <c r="K894" s="24" t="n">
        <v>16596.06</v>
      </c>
      <c r="L894" s="24" t="n">
        <v>12900.67</v>
      </c>
      <c r="M894" s="24" t="n">
        <v>3695.39</v>
      </c>
    </row>
    <row r="895">
      <c r="A895" s="20" t="inlineStr">
        <is>
          <t>ORD-20240894</t>
        </is>
      </c>
      <c r="B895" s="21" t="n">
        <v>45847</v>
      </c>
      <c r="C895" s="20" t="inlineStr">
        <is>
          <t>Central</t>
        </is>
      </c>
      <c r="D895" s="20" t="inlineStr">
        <is>
          <t>Office Supplies</t>
        </is>
      </c>
      <c r="E895" s="20" t="inlineStr">
        <is>
          <t>Whiteboard Kit</t>
        </is>
      </c>
      <c r="F895" s="20" t="inlineStr">
        <is>
          <t>Government</t>
        </is>
      </c>
      <c r="G895" s="20" t="inlineStr">
        <is>
          <t>MH Education Dept</t>
        </is>
      </c>
      <c r="H895" s="20" t="n">
        <v>7</v>
      </c>
      <c r="I895" s="22" t="n">
        <v>1073.64</v>
      </c>
      <c r="J895" s="23" t="n">
        <v>0</v>
      </c>
      <c r="K895" s="24" t="n">
        <v>7515.48</v>
      </c>
      <c r="L895" s="24" t="n">
        <v>5134.66</v>
      </c>
      <c r="M895" s="24" t="n">
        <v>2380.82</v>
      </c>
    </row>
    <row r="896">
      <c r="A896" s="20" t="inlineStr">
        <is>
          <t>ORD-20240895</t>
        </is>
      </c>
      <c r="B896" s="21" t="n">
        <v>45848</v>
      </c>
      <c r="C896" s="20" t="inlineStr">
        <is>
          <t>South</t>
        </is>
      </c>
      <c r="D896" s="20" t="inlineStr">
        <is>
          <t>Home &amp; Kitchen</t>
        </is>
      </c>
      <c r="E896" s="20" t="inlineStr">
        <is>
          <t>Vacuum Robot</t>
        </is>
      </c>
      <c r="F896" s="20" t="inlineStr">
        <is>
          <t>Consumer</t>
        </is>
      </c>
      <c r="G896" s="20" t="inlineStr">
        <is>
          <t>Walk-in Delhi</t>
        </is>
      </c>
      <c r="H896" s="20" t="n">
        <v>8</v>
      </c>
      <c r="I896" s="22" t="n">
        <v>10976.6</v>
      </c>
      <c r="J896" s="23" t="n">
        <v>0</v>
      </c>
      <c r="K896" s="24" t="n">
        <v>87812.8</v>
      </c>
      <c r="L896" s="24" t="n">
        <v>57147.03</v>
      </c>
      <c r="M896" s="24" t="n">
        <v>30665.77</v>
      </c>
    </row>
    <row r="897">
      <c r="A897" s="20" t="inlineStr">
        <is>
          <t>ORD-20240896</t>
        </is>
      </c>
      <c r="B897" s="21" t="n">
        <v>45848</v>
      </c>
      <c r="C897" s="20" t="inlineStr">
        <is>
          <t>West</t>
        </is>
      </c>
      <c r="D897" s="20" t="inlineStr">
        <is>
          <t>Home &amp; Kitchen</t>
        </is>
      </c>
      <c r="E897" s="20" t="inlineStr">
        <is>
          <t>Mixer Grinder</t>
        </is>
      </c>
      <c r="F897" s="20" t="inlineStr">
        <is>
          <t>SMB</t>
        </is>
      </c>
      <c r="G897" s="20" t="inlineStr">
        <is>
          <t>GreenFarm Agro</t>
        </is>
      </c>
      <c r="H897" s="20" t="n">
        <v>18</v>
      </c>
      <c r="I897" s="22" t="n">
        <v>14076.7</v>
      </c>
      <c r="J897" s="23" t="n">
        <v>0.1</v>
      </c>
      <c r="K897" s="24" t="n">
        <v>228042.54</v>
      </c>
      <c r="L897" s="24" t="n">
        <v>171523.72</v>
      </c>
      <c r="M897" s="24" t="n">
        <v>56518.82</v>
      </c>
    </row>
    <row r="898">
      <c r="A898" s="20" t="inlineStr">
        <is>
          <t>ORD-20240897</t>
        </is>
      </c>
      <c r="B898" s="21" t="n">
        <v>45848</v>
      </c>
      <c r="C898" s="20" t="inlineStr">
        <is>
          <t>South</t>
        </is>
      </c>
      <c r="D898" s="20" t="inlineStr">
        <is>
          <t>Office Supplies</t>
        </is>
      </c>
      <c r="E898" s="20" t="inlineStr">
        <is>
          <t>Whiteboard Kit</t>
        </is>
      </c>
      <c r="F898" s="20" t="inlineStr">
        <is>
          <t>Government</t>
        </is>
      </c>
      <c r="G898" s="20" t="inlineStr">
        <is>
          <t>MH Education Dept</t>
        </is>
      </c>
      <c r="H898" s="20" t="n">
        <v>21</v>
      </c>
      <c r="I898" s="22" t="n">
        <v>3102.05</v>
      </c>
      <c r="J898" s="23" t="n">
        <v>0.2</v>
      </c>
      <c r="K898" s="24" t="n">
        <v>52114.44</v>
      </c>
      <c r="L898" s="24" t="n">
        <v>39561.63</v>
      </c>
      <c r="M898" s="24" t="n">
        <v>12552.81</v>
      </c>
    </row>
    <row r="899">
      <c r="A899" s="20" t="inlineStr">
        <is>
          <t>ORD-20240898</t>
        </is>
      </c>
      <c r="B899" s="21" t="n">
        <v>45850</v>
      </c>
      <c r="C899" s="20" t="inlineStr">
        <is>
          <t>East</t>
        </is>
      </c>
      <c r="D899" s="20" t="inlineStr">
        <is>
          <t>Office Supplies</t>
        </is>
      </c>
      <c r="E899" s="20" t="inlineStr">
        <is>
          <t>Whiteboard Kit</t>
        </is>
      </c>
      <c r="F899" s="20" t="inlineStr">
        <is>
          <t>Government</t>
        </is>
      </c>
      <c r="G899" s="20" t="inlineStr">
        <is>
          <t>Railways Zone W</t>
        </is>
      </c>
      <c r="H899" s="20" t="n">
        <v>4</v>
      </c>
      <c r="I899" s="22" t="n">
        <v>3265.63</v>
      </c>
      <c r="J899" s="23" t="n">
        <v>0.05</v>
      </c>
      <c r="K899" s="24" t="n">
        <v>12409.39</v>
      </c>
      <c r="L899" s="24" t="n">
        <v>8963.66</v>
      </c>
      <c r="M899" s="24" t="n">
        <v>3445.73</v>
      </c>
    </row>
    <row r="900">
      <c r="A900" s="20" t="inlineStr">
        <is>
          <t>ORD-20240899</t>
        </is>
      </c>
      <c r="B900" s="21" t="n">
        <v>45851</v>
      </c>
      <c r="C900" s="20" t="inlineStr">
        <is>
          <t>South</t>
        </is>
      </c>
      <c r="D900" s="20" t="inlineStr">
        <is>
          <t>Office Supplies</t>
        </is>
      </c>
      <c r="E900" s="20" t="inlineStr">
        <is>
          <t>Notebook Set</t>
        </is>
      </c>
      <c r="F900" s="20" t="inlineStr">
        <is>
          <t>Government</t>
        </is>
      </c>
      <c r="G900" s="20" t="inlineStr">
        <is>
          <t>Railways Zone W</t>
        </is>
      </c>
      <c r="H900" s="20" t="n">
        <v>19</v>
      </c>
      <c r="I900" s="22" t="n">
        <v>3402.91</v>
      </c>
      <c r="J900" s="23" t="n">
        <v>0.05</v>
      </c>
      <c r="K900" s="24" t="n">
        <v>61422.53</v>
      </c>
      <c r="L900" s="24" t="n">
        <v>46452.66</v>
      </c>
      <c r="M900" s="24" t="n">
        <v>14969.87</v>
      </c>
    </row>
    <row r="901">
      <c r="A901" s="20" t="inlineStr">
        <is>
          <t>ORD-20240900</t>
        </is>
      </c>
      <c r="B901" s="21" t="n">
        <v>45851</v>
      </c>
      <c r="C901" s="20" t="inlineStr">
        <is>
          <t>West</t>
        </is>
      </c>
      <c r="D901" s="20" t="inlineStr">
        <is>
          <t>Electronics</t>
        </is>
      </c>
      <c r="E901" s="20" t="inlineStr">
        <is>
          <t>USB-C Hub</t>
        </is>
      </c>
      <c r="F901" s="20" t="inlineStr">
        <is>
          <t>Government</t>
        </is>
      </c>
      <c r="G901" s="20" t="inlineStr">
        <is>
          <t>Delhi NDMC</t>
        </is>
      </c>
      <c r="H901" s="20" t="n">
        <v>11</v>
      </c>
      <c r="I901" s="22" t="n">
        <v>18398.6</v>
      </c>
      <c r="J901" s="23" t="n">
        <v>0.2</v>
      </c>
      <c r="K901" s="24" t="n">
        <v>161907.68</v>
      </c>
      <c r="L901" s="24" t="n">
        <v>121174</v>
      </c>
      <c r="M901" s="24" t="n">
        <v>40733.68</v>
      </c>
    </row>
    <row r="902">
      <c r="A902" s="20" t="inlineStr">
        <is>
          <t>ORD-20240901</t>
        </is>
      </c>
      <c r="B902" s="21" t="n">
        <v>45852</v>
      </c>
      <c r="C902" s="20" t="inlineStr">
        <is>
          <t>East</t>
        </is>
      </c>
      <c r="D902" s="20" t="inlineStr">
        <is>
          <t>Apparel</t>
        </is>
      </c>
      <c r="E902" s="20" t="inlineStr">
        <is>
          <t>Hoodie Soft</t>
        </is>
      </c>
      <c r="F902" s="20" t="inlineStr">
        <is>
          <t>SMB</t>
        </is>
      </c>
      <c r="G902" s="20" t="inlineStr">
        <is>
          <t>GreenFarm Agro</t>
        </is>
      </c>
      <c r="H902" s="20" t="n">
        <v>13</v>
      </c>
      <c r="I902" s="22" t="n">
        <v>1479.94</v>
      </c>
      <c r="J902" s="23" t="n">
        <v>0.2</v>
      </c>
      <c r="K902" s="24" t="n">
        <v>15391.38</v>
      </c>
      <c r="L902" s="24" t="n">
        <v>12587.12</v>
      </c>
      <c r="M902" s="24" t="n">
        <v>2804.26</v>
      </c>
    </row>
    <row r="903">
      <c r="A903" s="20" t="inlineStr">
        <is>
          <t>ORD-20240902</t>
        </is>
      </c>
      <c r="B903" s="21" t="n">
        <v>45852</v>
      </c>
      <c r="C903" s="20" t="inlineStr">
        <is>
          <t>East</t>
        </is>
      </c>
      <c r="D903" s="20" t="inlineStr">
        <is>
          <t>Electronics</t>
        </is>
      </c>
      <c r="E903" s="20" t="inlineStr">
        <is>
          <t>Laptop Pro 14</t>
        </is>
      </c>
      <c r="F903" s="20" t="inlineStr">
        <is>
          <t>Government</t>
        </is>
      </c>
      <c r="G903" s="20" t="inlineStr">
        <is>
          <t>Railways Zone W</t>
        </is>
      </c>
      <c r="H903" s="20" t="n">
        <v>7</v>
      </c>
      <c r="I903" s="22" t="n">
        <v>28968.37</v>
      </c>
      <c r="J903" s="23" t="n">
        <v>0</v>
      </c>
      <c r="K903" s="24" t="n">
        <v>202778.59</v>
      </c>
      <c r="L903" s="24" t="n">
        <v>118024.52</v>
      </c>
      <c r="M903" s="24" t="n">
        <v>84754.07000000001</v>
      </c>
    </row>
    <row r="904">
      <c r="A904" s="20" t="inlineStr">
        <is>
          <t>ORD-20240903</t>
        </is>
      </c>
      <c r="B904" s="21" t="n">
        <v>45853</v>
      </c>
      <c r="C904" s="20" t="inlineStr">
        <is>
          <t>Central</t>
        </is>
      </c>
      <c r="D904" s="20" t="inlineStr">
        <is>
          <t>Home &amp; Kitchen</t>
        </is>
      </c>
      <c r="E904" s="20" t="inlineStr">
        <is>
          <t>Mixer Grinder</t>
        </is>
      </c>
      <c r="F904" s="20" t="inlineStr">
        <is>
          <t>Consumer</t>
        </is>
      </c>
      <c r="G904" s="20" t="inlineStr">
        <is>
          <t>App User North</t>
        </is>
      </c>
      <c r="H904" s="20" t="n">
        <v>20</v>
      </c>
      <c r="I904" s="22" t="n">
        <v>23004.99</v>
      </c>
      <c r="J904" s="23" t="n">
        <v>0.2</v>
      </c>
      <c r="K904" s="24" t="n">
        <v>368079.84</v>
      </c>
      <c r="L904" s="24" t="n">
        <v>298213.86</v>
      </c>
      <c r="M904" s="24" t="n">
        <v>69865.98</v>
      </c>
    </row>
    <row r="905">
      <c r="A905" s="20" t="inlineStr">
        <is>
          <t>ORD-20240904</t>
        </is>
      </c>
      <c r="B905" s="21" t="n">
        <v>45854</v>
      </c>
      <c r="C905" s="20" t="inlineStr">
        <is>
          <t>South</t>
        </is>
      </c>
      <c r="D905" s="20" t="inlineStr">
        <is>
          <t>Home &amp; Kitchen</t>
        </is>
      </c>
      <c r="E905" s="20" t="inlineStr">
        <is>
          <t>Vacuum Robot</t>
        </is>
      </c>
      <c r="F905" s="20" t="inlineStr">
        <is>
          <t>Enterprise</t>
        </is>
      </c>
      <c r="G905" s="20" t="inlineStr">
        <is>
          <t>TCS Digital</t>
        </is>
      </c>
      <c r="H905" s="20" t="n">
        <v>22</v>
      </c>
      <c r="I905" s="22" t="n">
        <v>22590.62</v>
      </c>
      <c r="J905" s="23" t="n">
        <v>0</v>
      </c>
      <c r="K905" s="24" t="n">
        <v>496993.64</v>
      </c>
      <c r="L905" s="24" t="n">
        <v>370667.39</v>
      </c>
      <c r="M905" s="24" t="n">
        <v>126326.25</v>
      </c>
    </row>
    <row r="906">
      <c r="A906" s="20" t="inlineStr">
        <is>
          <t>ORD-20240905</t>
        </is>
      </c>
      <c r="B906" s="21" t="n">
        <v>45854</v>
      </c>
      <c r="C906" s="20" t="inlineStr">
        <is>
          <t>West</t>
        </is>
      </c>
      <c r="D906" s="20" t="inlineStr">
        <is>
          <t>Apparel</t>
        </is>
      </c>
      <c r="E906" s="20" t="inlineStr">
        <is>
          <t>Safety Vest</t>
        </is>
      </c>
      <c r="F906" s="20" t="inlineStr">
        <is>
          <t>Government</t>
        </is>
      </c>
      <c r="G906" s="20" t="inlineStr">
        <is>
          <t>Municipal Corp Hyd</t>
        </is>
      </c>
      <c r="H906" s="20" t="n">
        <v>7</v>
      </c>
      <c r="I906" s="22" t="n">
        <v>2732.39</v>
      </c>
      <c r="J906" s="23" t="n">
        <v>0</v>
      </c>
      <c r="K906" s="24" t="n">
        <v>19126.73</v>
      </c>
      <c r="L906" s="24" t="n">
        <v>14563.3</v>
      </c>
      <c r="M906" s="24" t="n">
        <v>4563.43</v>
      </c>
    </row>
    <row r="907">
      <c r="A907" s="20" t="inlineStr">
        <is>
          <t>ORD-20240906</t>
        </is>
      </c>
      <c r="B907" s="21" t="n">
        <v>45855</v>
      </c>
      <c r="C907" s="20" t="inlineStr">
        <is>
          <t>South</t>
        </is>
      </c>
      <c r="D907" s="20" t="inlineStr">
        <is>
          <t>Home &amp; Kitchen</t>
        </is>
      </c>
      <c r="E907" s="20" t="inlineStr">
        <is>
          <t>Water Purifier</t>
        </is>
      </c>
      <c r="F907" s="20" t="inlineStr">
        <is>
          <t>Government</t>
        </is>
      </c>
      <c r="G907" s="20" t="inlineStr">
        <is>
          <t>MH Education Dept</t>
        </is>
      </c>
      <c r="H907" s="20" t="n">
        <v>9</v>
      </c>
      <c r="I907" s="22" t="n">
        <v>13490.42</v>
      </c>
      <c r="J907" s="23" t="n">
        <v>0</v>
      </c>
      <c r="K907" s="24" t="n">
        <v>121413.78</v>
      </c>
      <c r="L907" s="24" t="n">
        <v>79152.08</v>
      </c>
      <c r="M907" s="24" t="n">
        <v>42261.7</v>
      </c>
    </row>
    <row r="908">
      <c r="A908" s="20" t="inlineStr">
        <is>
          <t>ORD-20240907</t>
        </is>
      </c>
      <c r="B908" s="21" t="n">
        <v>45855</v>
      </c>
      <c r="C908" s="20" t="inlineStr">
        <is>
          <t>West</t>
        </is>
      </c>
      <c r="D908" s="20" t="inlineStr">
        <is>
          <t>Electronics</t>
        </is>
      </c>
      <c r="E908" s="20" t="inlineStr">
        <is>
          <t>Laptop Pro 14</t>
        </is>
      </c>
      <c r="F908" s="20" t="inlineStr">
        <is>
          <t>Consumer</t>
        </is>
      </c>
      <c r="G908" s="20" t="inlineStr">
        <is>
          <t>App User North</t>
        </is>
      </c>
      <c r="H908" s="20" t="n">
        <v>4</v>
      </c>
      <c r="I908" s="22" t="n">
        <v>58156.37</v>
      </c>
      <c r="J908" s="23" t="n">
        <v>0</v>
      </c>
      <c r="K908" s="24" t="n">
        <v>232625.48</v>
      </c>
      <c r="L908" s="24" t="n">
        <v>128221.24</v>
      </c>
      <c r="M908" s="24" t="n">
        <v>104404.24</v>
      </c>
    </row>
    <row r="909">
      <c r="A909" s="20" t="inlineStr">
        <is>
          <t>ORD-20240908</t>
        </is>
      </c>
      <c r="B909" s="21" t="n">
        <v>45855</v>
      </c>
      <c r="C909" s="20" t="inlineStr">
        <is>
          <t>East</t>
        </is>
      </c>
      <c r="D909" s="20" t="inlineStr">
        <is>
          <t>Home &amp; Kitchen</t>
        </is>
      </c>
      <c r="E909" s="20" t="inlineStr">
        <is>
          <t>Air Fryer</t>
        </is>
      </c>
      <c r="F909" s="20" t="inlineStr">
        <is>
          <t>Consumer</t>
        </is>
      </c>
      <c r="G909" s="20" t="inlineStr">
        <is>
          <t>Walk-in Mumbai</t>
        </is>
      </c>
      <c r="H909" s="20" t="n">
        <v>1</v>
      </c>
      <c r="I909" s="22" t="n">
        <v>26706.56</v>
      </c>
      <c r="J909" s="23" t="n">
        <v>0.15</v>
      </c>
      <c r="K909" s="24" t="n">
        <v>22700.58</v>
      </c>
      <c r="L909" s="24" t="n">
        <v>18103.56</v>
      </c>
      <c r="M909" s="24" t="n">
        <v>4597.02</v>
      </c>
    </row>
    <row r="910">
      <c r="A910" s="20" t="inlineStr">
        <is>
          <t>ORD-20240909</t>
        </is>
      </c>
      <c r="B910" s="21" t="n">
        <v>45856</v>
      </c>
      <c r="C910" s="20" t="inlineStr">
        <is>
          <t>South</t>
        </is>
      </c>
      <c r="D910" s="20" t="inlineStr">
        <is>
          <t>Home &amp; Kitchen</t>
        </is>
      </c>
      <c r="E910" s="20" t="inlineStr">
        <is>
          <t>Air Fryer</t>
        </is>
      </c>
      <c r="F910" s="20" t="inlineStr">
        <is>
          <t>Consumer</t>
        </is>
      </c>
      <c r="G910" s="20" t="inlineStr">
        <is>
          <t>Walk-in Delhi</t>
        </is>
      </c>
      <c r="H910" s="20" t="n">
        <v>15</v>
      </c>
      <c r="I910" s="22" t="n">
        <v>13576.96</v>
      </c>
      <c r="J910" s="23" t="n">
        <v>0.2</v>
      </c>
      <c r="K910" s="24" t="n">
        <v>162923.52</v>
      </c>
      <c r="L910" s="24" t="n">
        <v>128147.17</v>
      </c>
      <c r="M910" s="24" t="n">
        <v>34776.35</v>
      </c>
    </row>
    <row r="911">
      <c r="A911" s="20" t="inlineStr">
        <is>
          <t>ORD-20240910</t>
        </is>
      </c>
      <c r="B911" s="21" t="n">
        <v>45856</v>
      </c>
      <c r="C911" s="20" t="inlineStr">
        <is>
          <t>South</t>
        </is>
      </c>
      <c r="D911" s="20" t="inlineStr">
        <is>
          <t>Furniture</t>
        </is>
      </c>
      <c r="E911" s="20" t="inlineStr">
        <is>
          <t>Bookshelf Oak</t>
        </is>
      </c>
      <c r="F911" s="20" t="inlineStr">
        <is>
          <t>Consumer</t>
        </is>
      </c>
      <c r="G911" s="20" t="inlineStr">
        <is>
          <t>Retail Counter</t>
        </is>
      </c>
      <c r="H911" s="20" t="n">
        <v>10</v>
      </c>
      <c r="I911" s="22" t="n">
        <v>38452.18</v>
      </c>
      <c r="J911" s="23" t="n">
        <v>0.05</v>
      </c>
      <c r="K911" s="24" t="n">
        <v>365295.71</v>
      </c>
      <c r="L911" s="24" t="n">
        <v>228847.93</v>
      </c>
      <c r="M911" s="24" t="n">
        <v>136447.78</v>
      </c>
    </row>
    <row r="912">
      <c r="A912" s="20" t="inlineStr">
        <is>
          <t>ORD-20240911</t>
        </is>
      </c>
      <c r="B912" s="21" t="n">
        <v>45857</v>
      </c>
      <c r="C912" s="20" t="inlineStr">
        <is>
          <t>West</t>
        </is>
      </c>
      <c r="D912" s="20" t="inlineStr">
        <is>
          <t>Electronics</t>
        </is>
      </c>
      <c r="E912" s="20" t="inlineStr">
        <is>
          <t>Keyboard Mech</t>
        </is>
      </c>
      <c r="F912" s="20" t="inlineStr">
        <is>
          <t>SMB</t>
        </is>
      </c>
      <c r="G912" s="20" t="inlineStr">
        <is>
          <t>SwiftPrint</t>
        </is>
      </c>
      <c r="H912" s="20" t="n">
        <v>20</v>
      </c>
      <c r="I912" s="22" t="n">
        <v>60057.31</v>
      </c>
      <c r="J912" s="23" t="n">
        <v>0.12</v>
      </c>
      <c r="K912" s="24" t="n">
        <v>1057008.66</v>
      </c>
      <c r="L912" s="24" t="n">
        <v>913446.5600000001</v>
      </c>
      <c r="M912" s="24" t="n">
        <v>143562.1</v>
      </c>
    </row>
    <row r="913">
      <c r="A913" s="20" t="inlineStr">
        <is>
          <t>ORD-20240912</t>
        </is>
      </c>
      <c r="B913" s="21" t="n">
        <v>45859</v>
      </c>
      <c r="C913" s="20" t="inlineStr">
        <is>
          <t>Central</t>
        </is>
      </c>
      <c r="D913" s="20" t="inlineStr">
        <is>
          <t>Office Supplies</t>
        </is>
      </c>
      <c r="E913" s="20" t="inlineStr">
        <is>
          <t>Whiteboard Kit</t>
        </is>
      </c>
      <c r="F913" s="20" t="inlineStr">
        <is>
          <t>Government</t>
        </is>
      </c>
      <c r="G913" s="20" t="inlineStr">
        <is>
          <t>Delhi NDMC</t>
        </is>
      </c>
      <c r="H913" s="20" t="n">
        <v>8</v>
      </c>
      <c r="I913" s="22" t="n">
        <v>825.21</v>
      </c>
      <c r="J913" s="23" t="n">
        <v>0.1</v>
      </c>
      <c r="K913" s="24" t="n">
        <v>5941.51</v>
      </c>
      <c r="L913" s="24" t="n">
        <v>3662.86</v>
      </c>
      <c r="M913" s="24" t="n">
        <v>2278.65</v>
      </c>
    </row>
    <row r="914">
      <c r="A914" s="20" t="inlineStr">
        <is>
          <t>ORD-20240913</t>
        </is>
      </c>
      <c r="B914" s="21" t="n">
        <v>45859</v>
      </c>
      <c r="C914" s="20" t="inlineStr">
        <is>
          <t>West</t>
        </is>
      </c>
      <c r="D914" s="20" t="inlineStr">
        <is>
          <t>Furniture</t>
        </is>
      </c>
      <c r="E914" s="20" t="inlineStr">
        <is>
          <t>Filing Cabinet</t>
        </is>
      </c>
      <c r="F914" s="20" t="inlineStr">
        <is>
          <t>SMB</t>
        </is>
      </c>
      <c r="G914" s="20" t="inlineStr">
        <is>
          <t>BrightRetail Co</t>
        </is>
      </c>
      <c r="H914" s="20" t="n">
        <v>4</v>
      </c>
      <c r="I914" s="22" t="n">
        <v>16571.52</v>
      </c>
      <c r="J914" s="23" t="n">
        <v>0.05</v>
      </c>
      <c r="K914" s="24" t="n">
        <v>62971.78</v>
      </c>
      <c r="L914" s="24" t="n">
        <v>42697.14</v>
      </c>
      <c r="M914" s="24" t="n">
        <v>20274.64</v>
      </c>
    </row>
    <row r="915">
      <c r="A915" s="20" t="inlineStr">
        <is>
          <t>ORD-20240914</t>
        </is>
      </c>
      <c r="B915" s="21" t="n">
        <v>45860</v>
      </c>
      <c r="C915" s="20" t="inlineStr">
        <is>
          <t>West</t>
        </is>
      </c>
      <c r="D915" s="20" t="inlineStr">
        <is>
          <t>Apparel</t>
        </is>
      </c>
      <c r="E915" s="20" t="inlineStr">
        <is>
          <t>Cap Embroidered</t>
        </is>
      </c>
      <c r="F915" s="20" t="inlineStr">
        <is>
          <t>Government</t>
        </is>
      </c>
      <c r="G915" s="20" t="inlineStr">
        <is>
          <t>Municipal Corp Hyd</t>
        </is>
      </c>
      <c r="H915" s="20" t="n">
        <v>7</v>
      </c>
      <c r="I915" s="22" t="n">
        <v>3412.69</v>
      </c>
      <c r="J915" s="23" t="n">
        <v>0.15</v>
      </c>
      <c r="K915" s="24" t="n">
        <v>20305.51</v>
      </c>
      <c r="L915" s="24" t="n">
        <v>13902.96</v>
      </c>
      <c r="M915" s="24" t="n">
        <v>6402.55</v>
      </c>
    </row>
    <row r="916">
      <c r="A916" s="20" t="inlineStr">
        <is>
          <t>ORD-20240915</t>
        </is>
      </c>
      <c r="B916" s="21" t="n">
        <v>45861</v>
      </c>
      <c r="C916" s="20" t="inlineStr">
        <is>
          <t>Central</t>
        </is>
      </c>
      <c r="D916" s="20" t="inlineStr">
        <is>
          <t>Office Supplies</t>
        </is>
      </c>
      <c r="E916" s="20" t="inlineStr">
        <is>
          <t>A4 Paper Ream</t>
        </is>
      </c>
      <c r="F916" s="20" t="inlineStr">
        <is>
          <t>Government</t>
        </is>
      </c>
      <c r="G916" s="20" t="inlineStr">
        <is>
          <t>Delhi NDMC</t>
        </is>
      </c>
      <c r="H916" s="20" t="n">
        <v>1</v>
      </c>
      <c r="I916" s="22" t="n">
        <v>1462.64</v>
      </c>
      <c r="J916" s="23" t="n">
        <v>0.05</v>
      </c>
      <c r="K916" s="24" t="n">
        <v>1389.51</v>
      </c>
      <c r="L916" s="24" t="n">
        <v>943.9</v>
      </c>
      <c r="M916" s="24" t="n">
        <v>445.61</v>
      </c>
    </row>
    <row r="917">
      <c r="A917" s="20" t="inlineStr">
        <is>
          <t>ORD-20240916</t>
        </is>
      </c>
      <c r="B917" s="21" t="n">
        <v>45862</v>
      </c>
      <c r="C917" s="20" t="inlineStr">
        <is>
          <t>West</t>
        </is>
      </c>
      <c r="D917" s="20" t="inlineStr">
        <is>
          <t>Furniture</t>
        </is>
      </c>
      <c r="E917" s="20" t="inlineStr">
        <is>
          <t>Bookshelf Oak</t>
        </is>
      </c>
      <c r="F917" s="20" t="inlineStr">
        <is>
          <t>SMB</t>
        </is>
      </c>
      <c r="G917" s="20" t="inlineStr">
        <is>
          <t>SwiftPrint</t>
        </is>
      </c>
      <c r="H917" s="20" t="n">
        <v>13</v>
      </c>
      <c r="I917" s="22" t="n">
        <v>32609.26</v>
      </c>
      <c r="J917" s="23" t="n">
        <v>0.05</v>
      </c>
      <c r="K917" s="24" t="n">
        <v>402724.36</v>
      </c>
      <c r="L917" s="24" t="n">
        <v>240279.26</v>
      </c>
      <c r="M917" s="24" t="n">
        <v>162445.1</v>
      </c>
    </row>
    <row r="918">
      <c r="A918" s="20" t="inlineStr">
        <is>
          <t>ORD-20240917</t>
        </is>
      </c>
      <c r="B918" s="21" t="n">
        <v>45864</v>
      </c>
      <c r="C918" s="20" t="inlineStr">
        <is>
          <t>West</t>
        </is>
      </c>
      <c r="D918" s="20" t="inlineStr">
        <is>
          <t>Apparel</t>
        </is>
      </c>
      <c r="E918" s="20" t="inlineStr">
        <is>
          <t>Formal Blazer</t>
        </is>
      </c>
      <c r="F918" s="20" t="inlineStr">
        <is>
          <t>SMB</t>
        </is>
      </c>
      <c r="G918" s="20" t="inlineStr">
        <is>
          <t>GreenFarm Agro</t>
        </is>
      </c>
      <c r="H918" s="20" t="n">
        <v>3</v>
      </c>
      <c r="I918" s="22" t="n">
        <v>2034.68</v>
      </c>
      <c r="J918" s="23" t="n">
        <v>0.2</v>
      </c>
      <c r="K918" s="24" t="n">
        <v>4883.23</v>
      </c>
      <c r="L918" s="24" t="n">
        <v>3922.66</v>
      </c>
      <c r="M918" s="24" t="n">
        <v>960.5700000000001</v>
      </c>
    </row>
    <row r="919">
      <c r="A919" s="20" t="inlineStr">
        <is>
          <t>ORD-20240918</t>
        </is>
      </c>
      <c r="B919" s="21" t="n">
        <v>45864</v>
      </c>
      <c r="C919" s="20" t="inlineStr">
        <is>
          <t>West</t>
        </is>
      </c>
      <c r="D919" s="20" t="inlineStr">
        <is>
          <t>Home &amp; Kitchen</t>
        </is>
      </c>
      <c r="E919" s="20" t="inlineStr">
        <is>
          <t>Vacuum Robot</t>
        </is>
      </c>
      <c r="F919" s="20" t="inlineStr">
        <is>
          <t>Consumer</t>
        </is>
      </c>
      <c r="G919" s="20" t="inlineStr">
        <is>
          <t>App User North</t>
        </is>
      </c>
      <c r="H919" s="20" t="n">
        <v>15</v>
      </c>
      <c r="I919" s="22" t="n">
        <v>12353.07</v>
      </c>
      <c r="J919" s="23" t="n">
        <v>0.12</v>
      </c>
      <c r="K919" s="24" t="n">
        <v>163060.52</v>
      </c>
      <c r="L919" s="24" t="n">
        <v>121571.87</v>
      </c>
      <c r="M919" s="24" t="n">
        <v>41488.65</v>
      </c>
    </row>
    <row r="920">
      <c r="A920" s="20" t="inlineStr">
        <is>
          <t>ORD-20240919</t>
        </is>
      </c>
      <c r="B920" s="21" t="n">
        <v>45866</v>
      </c>
      <c r="C920" s="20" t="inlineStr">
        <is>
          <t>South</t>
        </is>
      </c>
      <c r="D920" s="20" t="inlineStr">
        <is>
          <t>Home &amp; Kitchen</t>
        </is>
      </c>
      <c r="E920" s="20" t="inlineStr">
        <is>
          <t>Vacuum Robot</t>
        </is>
      </c>
      <c r="F920" s="20" t="inlineStr">
        <is>
          <t>Government</t>
        </is>
      </c>
      <c r="G920" s="20" t="inlineStr">
        <is>
          <t>State Health UP</t>
        </is>
      </c>
      <c r="H920" s="20" t="n">
        <v>21</v>
      </c>
      <c r="I920" s="22" t="n">
        <v>13388.46</v>
      </c>
      <c r="J920" s="23" t="n">
        <v>0.05</v>
      </c>
      <c r="K920" s="24" t="n">
        <v>267099.78</v>
      </c>
      <c r="L920" s="24" t="n">
        <v>163666.08</v>
      </c>
      <c r="M920" s="24" t="n">
        <v>103433.7</v>
      </c>
    </row>
    <row r="921">
      <c r="A921" s="20" t="inlineStr">
        <is>
          <t>ORD-20240920</t>
        </is>
      </c>
      <c r="B921" s="21" t="n">
        <v>45866</v>
      </c>
      <c r="C921" s="20" t="inlineStr">
        <is>
          <t>West</t>
        </is>
      </c>
      <c r="D921" s="20" t="inlineStr">
        <is>
          <t>Office Supplies</t>
        </is>
      </c>
      <c r="E921" s="20" t="inlineStr">
        <is>
          <t>Notebook Set</t>
        </is>
      </c>
      <c r="F921" s="20" t="inlineStr">
        <is>
          <t>Consumer</t>
        </is>
      </c>
      <c r="G921" s="20" t="inlineStr">
        <is>
          <t>Walk-in Delhi</t>
        </is>
      </c>
      <c r="H921" s="20" t="n">
        <v>22</v>
      </c>
      <c r="I921" s="22" t="n">
        <v>856.6900000000001</v>
      </c>
      <c r="J921" s="23" t="n">
        <v>0</v>
      </c>
      <c r="K921" s="24" t="n">
        <v>18847.18</v>
      </c>
      <c r="L921" s="24" t="n">
        <v>13051.59</v>
      </c>
      <c r="M921" s="24" t="n">
        <v>5795.59</v>
      </c>
    </row>
    <row r="922">
      <c r="A922" s="20" t="inlineStr">
        <is>
          <t>ORD-20240921</t>
        </is>
      </c>
      <c r="B922" s="21" t="n">
        <v>45866</v>
      </c>
      <c r="C922" s="20" t="inlineStr">
        <is>
          <t>East</t>
        </is>
      </c>
      <c r="D922" s="20" t="inlineStr">
        <is>
          <t>Furniture</t>
        </is>
      </c>
      <c r="E922" s="20" t="inlineStr">
        <is>
          <t>Standing Desk</t>
        </is>
      </c>
      <c r="F922" s="20" t="inlineStr">
        <is>
          <t>Consumer</t>
        </is>
      </c>
      <c r="G922" s="20" t="inlineStr">
        <is>
          <t>Online Guest</t>
        </is>
      </c>
      <c r="H922" s="20" t="n">
        <v>10</v>
      </c>
      <c r="I922" s="22" t="n">
        <v>11783.92</v>
      </c>
      <c r="J922" s="23" t="n">
        <v>0.2</v>
      </c>
      <c r="K922" s="24" t="n">
        <v>94271.36</v>
      </c>
      <c r="L922" s="24" t="n">
        <v>77681.62</v>
      </c>
      <c r="M922" s="24" t="n">
        <v>16589.74</v>
      </c>
    </row>
    <row r="923">
      <c r="A923" s="20" t="inlineStr">
        <is>
          <t>ORD-20240922</t>
        </is>
      </c>
      <c r="B923" s="21" t="n">
        <v>45866</v>
      </c>
      <c r="C923" s="20" t="inlineStr">
        <is>
          <t>Central</t>
        </is>
      </c>
      <c r="D923" s="20" t="inlineStr">
        <is>
          <t>Office Supplies</t>
        </is>
      </c>
      <c r="E923" s="20" t="inlineStr">
        <is>
          <t>Gel Pen Pack</t>
        </is>
      </c>
      <c r="F923" s="20" t="inlineStr">
        <is>
          <t>Enterprise</t>
        </is>
      </c>
      <c r="G923" s="20" t="inlineStr">
        <is>
          <t>HCL Services</t>
        </is>
      </c>
      <c r="H923" s="20" t="n">
        <v>10</v>
      </c>
      <c r="I923" s="22" t="n">
        <v>2126.22</v>
      </c>
      <c r="J923" s="23" t="n">
        <v>0.2</v>
      </c>
      <c r="K923" s="24" t="n">
        <v>17009.76</v>
      </c>
      <c r="L923" s="24" t="n">
        <v>12757.67</v>
      </c>
      <c r="M923" s="24" t="n">
        <v>4252.09</v>
      </c>
    </row>
    <row r="924">
      <c r="A924" s="20" t="inlineStr">
        <is>
          <t>ORD-20240923</t>
        </is>
      </c>
      <c r="B924" s="21" t="n">
        <v>45867</v>
      </c>
      <c r="C924" s="20" t="inlineStr">
        <is>
          <t>West</t>
        </is>
      </c>
      <c r="D924" s="20" t="inlineStr">
        <is>
          <t>Electronics</t>
        </is>
      </c>
      <c r="E924" s="20" t="inlineStr">
        <is>
          <t>USB-C Hub</t>
        </is>
      </c>
      <c r="F924" s="20" t="inlineStr">
        <is>
          <t>Consumer</t>
        </is>
      </c>
      <c r="G924" s="20" t="inlineStr">
        <is>
          <t>App User North</t>
        </is>
      </c>
      <c r="H924" s="20" t="n">
        <v>7</v>
      </c>
      <c r="I924" s="22" t="n">
        <v>17814.13</v>
      </c>
      <c r="J924" s="23" t="n">
        <v>0.2</v>
      </c>
      <c r="K924" s="24" t="n">
        <v>99759.13</v>
      </c>
      <c r="L924" s="24" t="n">
        <v>76360.69</v>
      </c>
      <c r="M924" s="24" t="n">
        <v>23398.44</v>
      </c>
    </row>
    <row r="925">
      <c r="A925" s="20" t="inlineStr">
        <is>
          <t>ORD-20240924</t>
        </is>
      </c>
      <c r="B925" s="21" t="n">
        <v>45868</v>
      </c>
      <c r="C925" s="20" t="inlineStr">
        <is>
          <t>Central</t>
        </is>
      </c>
      <c r="D925" s="20" t="inlineStr">
        <is>
          <t>Home &amp; Kitchen</t>
        </is>
      </c>
      <c r="E925" s="20" t="inlineStr">
        <is>
          <t>Mixer Grinder</t>
        </is>
      </c>
      <c r="F925" s="20" t="inlineStr">
        <is>
          <t>Government</t>
        </is>
      </c>
      <c r="G925" s="20" t="inlineStr">
        <is>
          <t>Delhi NDMC</t>
        </is>
      </c>
      <c r="H925" s="20" t="n">
        <v>14</v>
      </c>
      <c r="I925" s="22" t="n">
        <v>5039.49</v>
      </c>
      <c r="J925" s="23" t="n">
        <v>0</v>
      </c>
      <c r="K925" s="24" t="n">
        <v>70552.86</v>
      </c>
      <c r="L925" s="24" t="n">
        <v>53813.03</v>
      </c>
      <c r="M925" s="24" t="n">
        <v>16739.83</v>
      </c>
    </row>
    <row r="926">
      <c r="A926" s="20" t="inlineStr">
        <is>
          <t>ORD-20240925</t>
        </is>
      </c>
      <c r="B926" s="21" t="n">
        <v>45869</v>
      </c>
      <c r="C926" s="20" t="inlineStr">
        <is>
          <t>Central</t>
        </is>
      </c>
      <c r="D926" s="20" t="inlineStr">
        <is>
          <t>Furniture</t>
        </is>
      </c>
      <c r="E926" s="20" t="inlineStr">
        <is>
          <t>Standing Desk</t>
        </is>
      </c>
      <c r="F926" s="20" t="inlineStr">
        <is>
          <t>Enterprise</t>
        </is>
      </c>
      <c r="G926" s="20" t="inlineStr">
        <is>
          <t>Tech Mahindra</t>
        </is>
      </c>
      <c r="H926" s="20" t="n">
        <v>15</v>
      </c>
      <c r="I926" s="22" t="n">
        <v>24947.36</v>
      </c>
      <c r="J926" s="23" t="n">
        <v>0.1</v>
      </c>
      <c r="K926" s="24" t="n">
        <v>336789.36</v>
      </c>
      <c r="L926" s="24" t="n">
        <v>212537.9</v>
      </c>
      <c r="M926" s="24" t="n">
        <v>124251.46</v>
      </c>
    </row>
    <row r="927">
      <c r="A927" s="20" t="inlineStr">
        <is>
          <t>ORD-20240926</t>
        </is>
      </c>
      <c r="B927" s="21" t="n">
        <v>45869</v>
      </c>
      <c r="C927" s="20" t="inlineStr">
        <is>
          <t>East</t>
        </is>
      </c>
      <c r="D927" s="20" t="inlineStr">
        <is>
          <t>Apparel</t>
        </is>
      </c>
      <c r="E927" s="20" t="inlineStr">
        <is>
          <t>Safety Vest</t>
        </is>
      </c>
      <c r="F927" s="20" t="inlineStr">
        <is>
          <t>Consumer</t>
        </is>
      </c>
      <c r="G927" s="20" t="inlineStr">
        <is>
          <t>Walk-in Delhi</t>
        </is>
      </c>
      <c r="H927" s="20" t="n">
        <v>18</v>
      </c>
      <c r="I927" s="22" t="n">
        <v>2445.71</v>
      </c>
      <c r="J927" s="23" t="n">
        <v>0.1</v>
      </c>
      <c r="K927" s="24" t="n">
        <v>39620.5</v>
      </c>
      <c r="L927" s="24" t="n">
        <v>26244.37</v>
      </c>
      <c r="M927" s="24" t="n">
        <v>13376.13</v>
      </c>
    </row>
    <row r="928">
      <c r="A928" s="20" t="inlineStr">
        <is>
          <t>ORD-20240927</t>
        </is>
      </c>
      <c r="B928" s="21" t="n">
        <v>45869</v>
      </c>
      <c r="C928" s="20" t="inlineStr">
        <is>
          <t>South</t>
        </is>
      </c>
      <c r="D928" s="20" t="inlineStr">
        <is>
          <t>Office Supplies</t>
        </is>
      </c>
      <c r="E928" s="20" t="inlineStr">
        <is>
          <t>Whiteboard Kit</t>
        </is>
      </c>
      <c r="F928" s="20" t="inlineStr">
        <is>
          <t>SMB</t>
        </is>
      </c>
      <c r="G928" s="20" t="inlineStr">
        <is>
          <t>BrightRetail Co</t>
        </is>
      </c>
      <c r="H928" s="20" t="n">
        <v>21</v>
      </c>
      <c r="I928" s="22" t="n">
        <v>2577.73</v>
      </c>
      <c r="J928" s="23" t="n">
        <v>0.05</v>
      </c>
      <c r="K928" s="24" t="n">
        <v>51425.71</v>
      </c>
      <c r="L928" s="24" t="n">
        <v>38667.93</v>
      </c>
      <c r="M928" s="24" t="n">
        <v>12757.78</v>
      </c>
    </row>
    <row r="929">
      <c r="A929" s="20" t="inlineStr">
        <is>
          <t>ORD-20240928</t>
        </is>
      </c>
      <c r="B929" s="21" t="n">
        <v>45871</v>
      </c>
      <c r="C929" s="20" t="inlineStr">
        <is>
          <t>Central</t>
        </is>
      </c>
      <c r="D929" s="20" t="inlineStr">
        <is>
          <t>Apparel</t>
        </is>
      </c>
      <c r="E929" s="20" t="inlineStr">
        <is>
          <t>Hoodie Soft</t>
        </is>
      </c>
      <c r="F929" s="20" t="inlineStr">
        <is>
          <t>SMB</t>
        </is>
      </c>
      <c r="G929" s="20" t="inlineStr">
        <is>
          <t>GreenFarm Agro</t>
        </is>
      </c>
      <c r="H929" s="20" t="n">
        <v>18</v>
      </c>
      <c r="I929" s="22" t="n">
        <v>2087.85</v>
      </c>
      <c r="J929" s="23" t="n">
        <v>0</v>
      </c>
      <c r="K929" s="24" t="n">
        <v>37581.3</v>
      </c>
      <c r="L929" s="24" t="n">
        <v>28554.95</v>
      </c>
      <c r="M929" s="24" t="n">
        <v>9026.35</v>
      </c>
    </row>
    <row r="930">
      <c r="A930" s="20" t="inlineStr">
        <is>
          <t>ORD-20240929</t>
        </is>
      </c>
      <c r="B930" s="21" t="n">
        <v>45871</v>
      </c>
      <c r="C930" s="20" t="inlineStr">
        <is>
          <t>North</t>
        </is>
      </c>
      <c r="D930" s="20" t="inlineStr">
        <is>
          <t>Apparel</t>
        </is>
      </c>
      <c r="E930" s="20" t="inlineStr">
        <is>
          <t>Polo Shirt</t>
        </is>
      </c>
      <c r="F930" s="20" t="inlineStr">
        <is>
          <t>Enterprise</t>
        </is>
      </c>
      <c r="G930" s="20" t="inlineStr">
        <is>
          <t>Wipro Tech</t>
        </is>
      </c>
      <c r="H930" s="20" t="n">
        <v>21</v>
      </c>
      <c r="I930" s="22" t="n">
        <v>802.13</v>
      </c>
      <c r="J930" s="23" t="n">
        <v>0</v>
      </c>
      <c r="K930" s="24" t="n">
        <v>16844.73</v>
      </c>
      <c r="L930" s="24" t="n">
        <v>12449.03</v>
      </c>
      <c r="M930" s="24" t="n">
        <v>4395.7</v>
      </c>
    </row>
    <row r="931">
      <c r="A931" s="20" t="inlineStr">
        <is>
          <t>ORD-20240930</t>
        </is>
      </c>
      <c r="B931" s="21" t="n">
        <v>45872</v>
      </c>
      <c r="C931" s="20" t="inlineStr">
        <is>
          <t>North</t>
        </is>
      </c>
      <c r="D931" s="20" t="inlineStr">
        <is>
          <t>Home &amp; Kitchen</t>
        </is>
      </c>
      <c r="E931" s="20" t="inlineStr">
        <is>
          <t>Water Purifier</t>
        </is>
      </c>
      <c r="F931" s="20" t="inlineStr">
        <is>
          <t>SMB</t>
        </is>
      </c>
      <c r="G931" s="20" t="inlineStr">
        <is>
          <t>BrightRetail Co</t>
        </is>
      </c>
      <c r="H931" s="20" t="n">
        <v>8</v>
      </c>
      <c r="I931" s="22" t="n">
        <v>22019.69</v>
      </c>
      <c r="J931" s="23" t="n">
        <v>0.1</v>
      </c>
      <c r="K931" s="24" t="n">
        <v>158541.77</v>
      </c>
      <c r="L931" s="24" t="n">
        <v>111559.61</v>
      </c>
      <c r="M931" s="24" t="n">
        <v>46982.16</v>
      </c>
    </row>
    <row r="932">
      <c r="A932" s="20" t="inlineStr">
        <is>
          <t>ORD-20240931</t>
        </is>
      </c>
      <c r="B932" s="21" t="n">
        <v>45872</v>
      </c>
      <c r="C932" s="20" t="inlineStr">
        <is>
          <t>Central</t>
        </is>
      </c>
      <c r="D932" s="20" t="inlineStr">
        <is>
          <t>Apparel</t>
        </is>
      </c>
      <c r="E932" s="20" t="inlineStr">
        <is>
          <t>Formal Blazer</t>
        </is>
      </c>
      <c r="F932" s="20" t="inlineStr">
        <is>
          <t>Enterprise</t>
        </is>
      </c>
      <c r="G932" s="20" t="inlineStr">
        <is>
          <t>L&amp;T Infotech</t>
        </is>
      </c>
      <c r="H932" s="20" t="n">
        <v>19</v>
      </c>
      <c r="I932" s="22" t="n">
        <v>744.25</v>
      </c>
      <c r="J932" s="23" t="n">
        <v>0.1</v>
      </c>
      <c r="K932" s="24" t="n">
        <v>12726.68</v>
      </c>
      <c r="L932" s="24" t="n">
        <v>8666.5</v>
      </c>
      <c r="M932" s="24" t="n">
        <v>4060.18</v>
      </c>
    </row>
    <row r="933">
      <c r="A933" s="20" t="inlineStr">
        <is>
          <t>ORD-20240932</t>
        </is>
      </c>
      <c r="B933" s="21" t="n">
        <v>45873</v>
      </c>
      <c r="C933" s="20" t="inlineStr">
        <is>
          <t>North</t>
        </is>
      </c>
      <c r="D933" s="20" t="inlineStr">
        <is>
          <t>Furniture</t>
        </is>
      </c>
      <c r="E933" s="20" t="inlineStr">
        <is>
          <t>Bookshelf Oak</t>
        </is>
      </c>
      <c r="F933" s="20" t="inlineStr">
        <is>
          <t>Enterprise</t>
        </is>
      </c>
      <c r="G933" s="20" t="inlineStr">
        <is>
          <t>Wipro Tech</t>
        </is>
      </c>
      <c r="H933" s="20" t="n">
        <v>23</v>
      </c>
      <c r="I933" s="22" t="n">
        <v>2963.29</v>
      </c>
      <c r="J933" s="23" t="n">
        <v>0.1</v>
      </c>
      <c r="K933" s="24" t="n">
        <v>61340.1</v>
      </c>
      <c r="L933" s="24" t="n">
        <v>40836.67</v>
      </c>
      <c r="M933" s="24" t="n">
        <v>20503.43</v>
      </c>
    </row>
    <row r="934">
      <c r="A934" s="20" t="inlineStr">
        <is>
          <t>ORD-20240933</t>
        </is>
      </c>
      <c r="B934" s="21" t="n">
        <v>45874</v>
      </c>
      <c r="C934" s="20" t="inlineStr">
        <is>
          <t>East</t>
        </is>
      </c>
      <c r="D934" s="20" t="inlineStr">
        <is>
          <t>Home &amp; Kitchen</t>
        </is>
      </c>
      <c r="E934" s="20" t="inlineStr">
        <is>
          <t>Air Fryer</t>
        </is>
      </c>
      <c r="F934" s="20" t="inlineStr">
        <is>
          <t>Enterprise</t>
        </is>
      </c>
      <c r="G934" s="20" t="inlineStr">
        <is>
          <t>L&amp;T Infotech</t>
        </is>
      </c>
      <c r="H934" s="20" t="n">
        <v>20</v>
      </c>
      <c r="I934" s="22" t="n">
        <v>26674.14</v>
      </c>
      <c r="J934" s="23" t="n">
        <v>0.1</v>
      </c>
      <c r="K934" s="24" t="n">
        <v>480134.52</v>
      </c>
      <c r="L934" s="24" t="n">
        <v>409664.77</v>
      </c>
      <c r="M934" s="24" t="n">
        <v>70469.75</v>
      </c>
    </row>
    <row r="935">
      <c r="A935" s="20" t="inlineStr">
        <is>
          <t>ORD-20240934</t>
        </is>
      </c>
      <c r="B935" s="21" t="n">
        <v>45875</v>
      </c>
      <c r="C935" s="20" t="inlineStr">
        <is>
          <t>West</t>
        </is>
      </c>
      <c r="D935" s="20" t="inlineStr">
        <is>
          <t>Office Supplies</t>
        </is>
      </c>
      <c r="E935" s="20" t="inlineStr">
        <is>
          <t>Notebook Set</t>
        </is>
      </c>
      <c r="F935" s="20" t="inlineStr">
        <is>
          <t>SMB</t>
        </is>
      </c>
      <c r="G935" s="20" t="inlineStr">
        <is>
          <t>CityCare Clinics</t>
        </is>
      </c>
      <c r="H935" s="20" t="n">
        <v>5</v>
      </c>
      <c r="I935" s="22" t="n">
        <v>2757.73</v>
      </c>
      <c r="J935" s="23" t="n">
        <v>0.05</v>
      </c>
      <c r="K935" s="24" t="n">
        <v>13099.22</v>
      </c>
      <c r="L935" s="24" t="n">
        <v>10138.12</v>
      </c>
      <c r="M935" s="24" t="n">
        <v>2961.1</v>
      </c>
    </row>
    <row r="936">
      <c r="A936" s="20" t="inlineStr">
        <is>
          <t>ORD-20240935</t>
        </is>
      </c>
      <c r="B936" s="21" t="n">
        <v>45876</v>
      </c>
      <c r="C936" s="20" t="inlineStr">
        <is>
          <t>Central</t>
        </is>
      </c>
      <c r="D936" s="20" t="inlineStr">
        <is>
          <t>Office Supplies</t>
        </is>
      </c>
      <c r="E936" s="20" t="inlineStr">
        <is>
          <t>A4 Paper Ream</t>
        </is>
      </c>
      <c r="F936" s="20" t="inlineStr">
        <is>
          <t>SMB</t>
        </is>
      </c>
      <c r="G936" s="20" t="inlineStr">
        <is>
          <t>Pixel Studio</t>
        </is>
      </c>
      <c r="H936" s="20" t="n">
        <v>22</v>
      </c>
      <c r="I936" s="22" t="n">
        <v>1724.68</v>
      </c>
      <c r="J936" s="23" t="n">
        <v>0.2</v>
      </c>
      <c r="K936" s="24" t="n">
        <v>30354.37</v>
      </c>
      <c r="L936" s="24" t="n">
        <v>22023.3</v>
      </c>
      <c r="M936" s="24" t="n">
        <v>8331.07</v>
      </c>
    </row>
    <row r="937">
      <c r="A937" s="20" t="inlineStr">
        <is>
          <t>ORD-20240936</t>
        </is>
      </c>
      <c r="B937" s="21" t="n">
        <v>45877</v>
      </c>
      <c r="C937" s="20" t="inlineStr">
        <is>
          <t>Central</t>
        </is>
      </c>
      <c r="D937" s="20" t="inlineStr">
        <is>
          <t>Home &amp; Kitchen</t>
        </is>
      </c>
      <c r="E937" s="20" t="inlineStr">
        <is>
          <t>Mixer Grinder</t>
        </is>
      </c>
      <c r="F937" s="20" t="inlineStr">
        <is>
          <t>Government</t>
        </is>
      </c>
      <c r="G937" s="20" t="inlineStr">
        <is>
          <t>State Health UP</t>
        </is>
      </c>
      <c r="H937" s="20" t="n">
        <v>19</v>
      </c>
      <c r="I937" s="22" t="n">
        <v>15966.1</v>
      </c>
      <c r="J937" s="23" t="n">
        <v>0</v>
      </c>
      <c r="K937" s="24" t="n">
        <v>303355.9</v>
      </c>
      <c r="L937" s="24" t="n">
        <v>198224.5</v>
      </c>
      <c r="M937" s="24" t="n">
        <v>105131.4</v>
      </c>
    </row>
    <row r="938">
      <c r="A938" s="20" t="inlineStr">
        <is>
          <t>ORD-20240937</t>
        </is>
      </c>
      <c r="B938" s="21" t="n">
        <v>45877</v>
      </c>
      <c r="C938" s="20" t="inlineStr">
        <is>
          <t>Central</t>
        </is>
      </c>
      <c r="D938" s="20" t="inlineStr">
        <is>
          <t>Home &amp; Kitchen</t>
        </is>
      </c>
      <c r="E938" s="20" t="inlineStr">
        <is>
          <t>Vacuum Robot</t>
        </is>
      </c>
      <c r="F938" s="20" t="inlineStr">
        <is>
          <t>Enterprise</t>
        </is>
      </c>
      <c r="G938" s="20" t="inlineStr">
        <is>
          <t>Infosys Ltd</t>
        </is>
      </c>
      <c r="H938" s="20" t="n">
        <v>3</v>
      </c>
      <c r="I938" s="22" t="n">
        <v>2226.51</v>
      </c>
      <c r="J938" s="23" t="n">
        <v>0.05</v>
      </c>
      <c r="K938" s="24" t="n">
        <v>6345.55</v>
      </c>
      <c r="L938" s="24" t="n">
        <v>4674.07</v>
      </c>
      <c r="M938" s="24" t="n">
        <v>1671.48</v>
      </c>
    </row>
    <row r="939">
      <c r="A939" s="20" t="inlineStr">
        <is>
          <t>ORD-20240938</t>
        </is>
      </c>
      <c r="B939" s="21" t="n">
        <v>45877</v>
      </c>
      <c r="C939" s="20" t="inlineStr">
        <is>
          <t>West</t>
        </is>
      </c>
      <c r="D939" s="20" t="inlineStr">
        <is>
          <t>Apparel</t>
        </is>
      </c>
      <c r="E939" s="20" t="inlineStr">
        <is>
          <t>Hoodie Soft</t>
        </is>
      </c>
      <c r="F939" s="20" t="inlineStr">
        <is>
          <t>SMB</t>
        </is>
      </c>
      <c r="G939" s="20" t="inlineStr">
        <is>
          <t>Nova Logistics</t>
        </is>
      </c>
      <c r="H939" s="20" t="n">
        <v>16</v>
      </c>
      <c r="I939" s="22" t="n">
        <v>2927.69</v>
      </c>
      <c r="J939" s="23" t="n">
        <v>0.15</v>
      </c>
      <c r="K939" s="24" t="n">
        <v>39816.58</v>
      </c>
      <c r="L939" s="24" t="n">
        <v>30022.8</v>
      </c>
      <c r="M939" s="24" t="n">
        <v>9793.780000000001</v>
      </c>
    </row>
    <row r="940">
      <c r="A940" s="20" t="inlineStr">
        <is>
          <t>ORD-20240939</t>
        </is>
      </c>
      <c r="B940" s="21" t="n">
        <v>45878</v>
      </c>
      <c r="C940" s="20" t="inlineStr">
        <is>
          <t>East</t>
        </is>
      </c>
      <c r="D940" s="20" t="inlineStr">
        <is>
          <t>Electronics</t>
        </is>
      </c>
      <c r="E940" s="20" t="inlineStr">
        <is>
          <t>USB-C Hub</t>
        </is>
      </c>
      <c r="F940" s="20" t="inlineStr">
        <is>
          <t>Consumer</t>
        </is>
      </c>
      <c r="G940" s="20" t="inlineStr">
        <is>
          <t>Walk-in Delhi</t>
        </is>
      </c>
      <c r="H940" s="20" t="n">
        <v>2</v>
      </c>
      <c r="I940" s="22" t="n">
        <v>64502.35</v>
      </c>
      <c r="J940" s="23" t="n">
        <v>0</v>
      </c>
      <c r="K940" s="24" t="n">
        <v>129004.7</v>
      </c>
      <c r="L940" s="24" t="n">
        <v>84267.09</v>
      </c>
      <c r="M940" s="24" t="n">
        <v>44737.61</v>
      </c>
    </row>
    <row r="941">
      <c r="A941" s="20" t="inlineStr">
        <is>
          <t>ORD-20240940</t>
        </is>
      </c>
      <c r="B941" s="21" t="n">
        <v>45879</v>
      </c>
      <c r="C941" s="20" t="inlineStr">
        <is>
          <t>South</t>
        </is>
      </c>
      <c r="D941" s="20" t="inlineStr">
        <is>
          <t>Office Supplies</t>
        </is>
      </c>
      <c r="E941" s="20" t="inlineStr">
        <is>
          <t>Whiteboard Kit</t>
        </is>
      </c>
      <c r="F941" s="20" t="inlineStr">
        <is>
          <t>Government</t>
        </is>
      </c>
      <c r="G941" s="20" t="inlineStr">
        <is>
          <t>Delhi NDMC</t>
        </is>
      </c>
      <c r="H941" s="20" t="n">
        <v>18</v>
      </c>
      <c r="I941" s="22" t="n">
        <v>788.58</v>
      </c>
      <c r="J941" s="23" t="n">
        <v>0.05</v>
      </c>
      <c r="K941" s="24" t="n">
        <v>13484.72</v>
      </c>
      <c r="L941" s="24" t="n">
        <v>7962.12</v>
      </c>
      <c r="M941" s="24" t="n">
        <v>5522.6</v>
      </c>
    </row>
    <row r="942">
      <c r="A942" s="20" t="inlineStr">
        <is>
          <t>ORD-20240941</t>
        </is>
      </c>
      <c r="B942" s="21" t="n">
        <v>45880</v>
      </c>
      <c r="C942" s="20" t="inlineStr">
        <is>
          <t>North</t>
        </is>
      </c>
      <c r="D942" s="20" t="inlineStr">
        <is>
          <t>Apparel</t>
        </is>
      </c>
      <c r="E942" s="20" t="inlineStr">
        <is>
          <t>Formal Blazer</t>
        </is>
      </c>
      <c r="F942" s="20" t="inlineStr">
        <is>
          <t>Enterprise</t>
        </is>
      </c>
      <c r="G942" s="20" t="inlineStr">
        <is>
          <t>L&amp;T Infotech</t>
        </is>
      </c>
      <c r="H942" s="20" t="n">
        <v>13</v>
      </c>
      <c r="I942" s="22" t="n">
        <v>1551.25</v>
      </c>
      <c r="J942" s="23" t="n">
        <v>0.1</v>
      </c>
      <c r="K942" s="24" t="n">
        <v>18149.62</v>
      </c>
      <c r="L942" s="24" t="n">
        <v>15287.27</v>
      </c>
      <c r="M942" s="24" t="n">
        <v>2862.35</v>
      </c>
    </row>
    <row r="943">
      <c r="A943" s="20" t="inlineStr">
        <is>
          <t>ORD-20240942</t>
        </is>
      </c>
      <c r="B943" s="21" t="n">
        <v>45880</v>
      </c>
      <c r="C943" s="20" t="inlineStr">
        <is>
          <t>South</t>
        </is>
      </c>
      <c r="D943" s="20" t="inlineStr">
        <is>
          <t>Electronics</t>
        </is>
      </c>
      <c r="E943" s="20" t="inlineStr">
        <is>
          <t>Monitor 27in</t>
        </is>
      </c>
      <c r="F943" s="20" t="inlineStr">
        <is>
          <t>SMB</t>
        </is>
      </c>
      <c r="G943" s="20" t="inlineStr">
        <is>
          <t>Nova Logistics</t>
        </is>
      </c>
      <c r="H943" s="20" t="n">
        <v>10</v>
      </c>
      <c r="I943" s="22" t="n">
        <v>37191.3</v>
      </c>
      <c r="J943" s="23" t="n">
        <v>0.15</v>
      </c>
      <c r="K943" s="24" t="n">
        <v>316126.05</v>
      </c>
      <c r="L943" s="24" t="n">
        <v>218134.3</v>
      </c>
      <c r="M943" s="24" t="n">
        <v>97991.75</v>
      </c>
    </row>
    <row r="944">
      <c r="A944" s="20" t="inlineStr">
        <is>
          <t>ORD-20240943</t>
        </is>
      </c>
      <c r="B944" s="21" t="n">
        <v>45881</v>
      </c>
      <c r="C944" s="20" t="inlineStr">
        <is>
          <t>Central</t>
        </is>
      </c>
      <c r="D944" s="20" t="inlineStr">
        <is>
          <t>Office Supplies</t>
        </is>
      </c>
      <c r="E944" s="20" t="inlineStr">
        <is>
          <t>Gel Pen Pack</t>
        </is>
      </c>
      <c r="F944" s="20" t="inlineStr">
        <is>
          <t>Enterprise</t>
        </is>
      </c>
      <c r="G944" s="20" t="inlineStr">
        <is>
          <t>TCS Digital</t>
        </is>
      </c>
      <c r="H944" s="20" t="n">
        <v>10</v>
      </c>
      <c r="I944" s="22" t="n">
        <v>422.94</v>
      </c>
      <c r="J944" s="23" t="n">
        <v>0</v>
      </c>
      <c r="K944" s="24" t="n">
        <v>4229.4</v>
      </c>
      <c r="L944" s="24" t="n">
        <v>3229.76</v>
      </c>
      <c r="M944" s="24" t="n">
        <v>999.64</v>
      </c>
    </row>
    <row r="945">
      <c r="A945" s="20" t="inlineStr">
        <is>
          <t>ORD-20240944</t>
        </is>
      </c>
      <c r="B945" s="21" t="n">
        <v>45881</v>
      </c>
      <c r="C945" s="20" t="inlineStr">
        <is>
          <t>West</t>
        </is>
      </c>
      <c r="D945" s="20" t="inlineStr">
        <is>
          <t>Office Supplies</t>
        </is>
      </c>
      <c r="E945" s="20" t="inlineStr">
        <is>
          <t>A4 Paper Ream</t>
        </is>
      </c>
      <c r="F945" s="20" t="inlineStr">
        <is>
          <t>Enterprise</t>
        </is>
      </c>
      <c r="G945" s="20" t="inlineStr">
        <is>
          <t>HCL Services</t>
        </is>
      </c>
      <c r="H945" s="20" t="n">
        <v>1</v>
      </c>
      <c r="I945" s="22" t="n">
        <v>1636.15</v>
      </c>
      <c r="J945" s="23" t="n">
        <v>0</v>
      </c>
      <c r="K945" s="24" t="n">
        <v>1636.15</v>
      </c>
      <c r="L945" s="24" t="n">
        <v>1224.31</v>
      </c>
      <c r="M945" s="24" t="n">
        <v>411.84</v>
      </c>
    </row>
    <row r="946">
      <c r="A946" s="20" t="inlineStr">
        <is>
          <t>ORD-20240945</t>
        </is>
      </c>
      <c r="B946" s="21" t="n">
        <v>45881</v>
      </c>
      <c r="C946" s="20" t="inlineStr">
        <is>
          <t>South</t>
        </is>
      </c>
      <c r="D946" s="20" t="inlineStr">
        <is>
          <t>Apparel</t>
        </is>
      </c>
      <c r="E946" s="20" t="inlineStr">
        <is>
          <t>Cap Embroidered</t>
        </is>
      </c>
      <c r="F946" s="20" t="inlineStr">
        <is>
          <t>SMB</t>
        </is>
      </c>
      <c r="G946" s="20" t="inlineStr">
        <is>
          <t>BrightRetail Co</t>
        </is>
      </c>
      <c r="H946" s="20" t="n">
        <v>5</v>
      </c>
      <c r="I946" s="22" t="n">
        <v>2667.31</v>
      </c>
      <c r="J946" s="23" t="n">
        <v>0.05</v>
      </c>
      <c r="K946" s="24" t="n">
        <v>12669.72</v>
      </c>
      <c r="L946" s="24" t="n">
        <v>8053.37</v>
      </c>
      <c r="M946" s="24" t="n">
        <v>4616.35</v>
      </c>
    </row>
    <row r="947">
      <c r="A947" s="20" t="inlineStr">
        <is>
          <t>ORD-20240946</t>
        </is>
      </c>
      <c r="B947" s="21" t="n">
        <v>45881</v>
      </c>
      <c r="C947" s="20" t="inlineStr">
        <is>
          <t>Central</t>
        </is>
      </c>
      <c r="D947" s="20" t="inlineStr">
        <is>
          <t>Furniture</t>
        </is>
      </c>
      <c r="E947" s="20" t="inlineStr">
        <is>
          <t>Filing Cabinet</t>
        </is>
      </c>
      <c r="F947" s="20" t="inlineStr">
        <is>
          <t>SMB</t>
        </is>
      </c>
      <c r="G947" s="20" t="inlineStr">
        <is>
          <t>Nova Logistics</t>
        </is>
      </c>
      <c r="H947" s="20" t="n">
        <v>3</v>
      </c>
      <c r="I947" s="22" t="n">
        <v>13815.93</v>
      </c>
      <c r="J947" s="23" t="n">
        <v>0.12</v>
      </c>
      <c r="K947" s="24" t="n">
        <v>36474.06</v>
      </c>
      <c r="L947" s="24" t="n">
        <v>25879.36</v>
      </c>
      <c r="M947" s="24" t="n">
        <v>10594.7</v>
      </c>
    </row>
    <row r="948">
      <c r="A948" s="20" t="inlineStr">
        <is>
          <t>ORD-20240947</t>
        </is>
      </c>
      <c r="B948" s="21" t="n">
        <v>45882</v>
      </c>
      <c r="C948" s="20" t="inlineStr">
        <is>
          <t>West</t>
        </is>
      </c>
      <c r="D948" s="20" t="inlineStr">
        <is>
          <t>Home &amp; Kitchen</t>
        </is>
      </c>
      <c r="E948" s="20" t="inlineStr">
        <is>
          <t>Coffee Maker</t>
        </is>
      </c>
      <c r="F948" s="20" t="inlineStr">
        <is>
          <t>SMB</t>
        </is>
      </c>
      <c r="G948" s="20" t="inlineStr">
        <is>
          <t>BrightRetail Co</t>
        </is>
      </c>
      <c r="H948" s="20" t="n">
        <v>23</v>
      </c>
      <c r="I948" s="22" t="n">
        <v>22631.44</v>
      </c>
      <c r="J948" s="23" t="n">
        <v>0.2</v>
      </c>
      <c r="K948" s="24" t="n">
        <v>416418.5</v>
      </c>
      <c r="L948" s="24" t="n">
        <v>300459.34</v>
      </c>
      <c r="M948" s="24" t="n">
        <v>115959.16</v>
      </c>
    </row>
    <row r="949">
      <c r="A949" s="20" t="inlineStr">
        <is>
          <t>ORD-20240948</t>
        </is>
      </c>
      <c r="B949" s="21" t="n">
        <v>45883</v>
      </c>
      <c r="C949" s="20" t="inlineStr">
        <is>
          <t>East</t>
        </is>
      </c>
      <c r="D949" s="20" t="inlineStr">
        <is>
          <t>Electronics</t>
        </is>
      </c>
      <c r="E949" s="20" t="inlineStr">
        <is>
          <t>Laptop Pro 14</t>
        </is>
      </c>
      <c r="F949" s="20" t="inlineStr">
        <is>
          <t>Government</t>
        </is>
      </c>
      <c r="G949" s="20" t="inlineStr">
        <is>
          <t>Municipal Corp Hyd</t>
        </is>
      </c>
      <c r="H949" s="20" t="n">
        <v>14</v>
      </c>
      <c r="I949" s="22" t="n">
        <v>21704.36</v>
      </c>
      <c r="J949" s="23" t="n">
        <v>0</v>
      </c>
      <c r="K949" s="24" t="n">
        <v>303861.04</v>
      </c>
      <c r="L949" s="24" t="n">
        <v>223975.94</v>
      </c>
      <c r="M949" s="24" t="n">
        <v>79885.10000000001</v>
      </c>
    </row>
    <row r="950">
      <c r="A950" s="20" t="inlineStr">
        <is>
          <t>ORD-20240949</t>
        </is>
      </c>
      <c r="B950" s="21" t="n">
        <v>45883</v>
      </c>
      <c r="C950" s="20" t="inlineStr">
        <is>
          <t>West</t>
        </is>
      </c>
      <c r="D950" s="20" t="inlineStr">
        <is>
          <t>Home &amp; Kitchen</t>
        </is>
      </c>
      <c r="E950" s="20" t="inlineStr">
        <is>
          <t>Mixer Grinder</t>
        </is>
      </c>
      <c r="F950" s="20" t="inlineStr">
        <is>
          <t>SMB</t>
        </is>
      </c>
      <c r="G950" s="20" t="inlineStr">
        <is>
          <t>Pixel Studio</t>
        </is>
      </c>
      <c r="H950" s="20" t="n">
        <v>18</v>
      </c>
      <c r="I950" s="22" t="n">
        <v>15982.16</v>
      </c>
      <c r="J950" s="23" t="n">
        <v>0.05</v>
      </c>
      <c r="K950" s="24" t="n">
        <v>273294.94</v>
      </c>
      <c r="L950" s="24" t="n">
        <v>223629.16</v>
      </c>
      <c r="M950" s="24" t="n">
        <v>49665.78</v>
      </c>
    </row>
    <row r="951">
      <c r="A951" s="20" t="inlineStr">
        <is>
          <t>ORD-20240950</t>
        </is>
      </c>
      <c r="B951" s="21" t="n">
        <v>45883</v>
      </c>
      <c r="C951" s="20" t="inlineStr">
        <is>
          <t>West</t>
        </is>
      </c>
      <c r="D951" s="20" t="inlineStr">
        <is>
          <t>Home &amp; Kitchen</t>
        </is>
      </c>
      <c r="E951" s="20" t="inlineStr">
        <is>
          <t>Coffee Maker</t>
        </is>
      </c>
      <c r="F951" s="20" t="inlineStr">
        <is>
          <t>SMB</t>
        </is>
      </c>
      <c r="G951" s="20" t="inlineStr">
        <is>
          <t>BrightRetail Co</t>
        </is>
      </c>
      <c r="H951" s="20" t="n">
        <v>9</v>
      </c>
      <c r="I951" s="22" t="n">
        <v>12422.96</v>
      </c>
      <c r="J951" s="23" t="n">
        <v>0.05</v>
      </c>
      <c r="K951" s="24" t="n">
        <v>106216.31</v>
      </c>
      <c r="L951" s="24" t="n">
        <v>85961.84</v>
      </c>
      <c r="M951" s="24" t="n">
        <v>20254.47</v>
      </c>
    </row>
    <row r="952">
      <c r="A952" s="20" t="inlineStr">
        <is>
          <t>ORD-20240951</t>
        </is>
      </c>
      <c r="B952" s="21" t="n">
        <v>45884</v>
      </c>
      <c r="C952" s="20" t="inlineStr">
        <is>
          <t>North</t>
        </is>
      </c>
      <c r="D952" s="20" t="inlineStr">
        <is>
          <t>Electronics</t>
        </is>
      </c>
      <c r="E952" s="20" t="inlineStr">
        <is>
          <t>USB-C Hub</t>
        </is>
      </c>
      <c r="F952" s="20" t="inlineStr">
        <is>
          <t>Enterprise</t>
        </is>
      </c>
      <c r="G952" s="20" t="inlineStr">
        <is>
          <t>L&amp;T Infotech</t>
        </is>
      </c>
      <c r="H952" s="20" t="n">
        <v>23</v>
      </c>
      <c r="I952" s="22" t="n">
        <v>37156.55</v>
      </c>
      <c r="J952" s="23" t="n">
        <v>0.12</v>
      </c>
      <c r="K952" s="24" t="n">
        <v>752048.5699999999</v>
      </c>
      <c r="L952" s="24" t="n">
        <v>636832.8</v>
      </c>
      <c r="M952" s="24" t="n">
        <v>115215.77</v>
      </c>
    </row>
    <row r="953">
      <c r="A953" s="20" t="inlineStr">
        <is>
          <t>ORD-20240952</t>
        </is>
      </c>
      <c r="B953" s="21" t="n">
        <v>45886</v>
      </c>
      <c r="C953" s="20" t="inlineStr">
        <is>
          <t>Central</t>
        </is>
      </c>
      <c r="D953" s="20" t="inlineStr">
        <is>
          <t>Home &amp; Kitchen</t>
        </is>
      </c>
      <c r="E953" s="20" t="inlineStr">
        <is>
          <t>Air Fryer</t>
        </is>
      </c>
      <c r="F953" s="20" t="inlineStr">
        <is>
          <t>SMB</t>
        </is>
      </c>
      <c r="G953" s="20" t="inlineStr">
        <is>
          <t>Nova Logistics</t>
        </is>
      </c>
      <c r="H953" s="20" t="n">
        <v>11</v>
      </c>
      <c r="I953" s="22" t="n">
        <v>7442.32</v>
      </c>
      <c r="J953" s="23" t="n">
        <v>0</v>
      </c>
      <c r="K953" s="24" t="n">
        <v>81865.52</v>
      </c>
      <c r="L953" s="24" t="n">
        <v>57246.83</v>
      </c>
      <c r="M953" s="24" t="n">
        <v>24618.69</v>
      </c>
    </row>
    <row r="954">
      <c r="A954" s="20" t="inlineStr">
        <is>
          <t>ORD-20240953</t>
        </is>
      </c>
      <c r="B954" s="21" t="n">
        <v>45887</v>
      </c>
      <c r="C954" s="20" t="inlineStr">
        <is>
          <t>West</t>
        </is>
      </c>
      <c r="D954" s="20" t="inlineStr">
        <is>
          <t>Office Supplies</t>
        </is>
      </c>
      <c r="E954" s="20" t="inlineStr">
        <is>
          <t>Gel Pen Pack</t>
        </is>
      </c>
      <c r="F954" s="20" t="inlineStr">
        <is>
          <t>SMB</t>
        </is>
      </c>
      <c r="G954" s="20" t="inlineStr">
        <is>
          <t>SwiftPrint</t>
        </is>
      </c>
      <c r="H954" s="20" t="n">
        <v>12</v>
      </c>
      <c r="I954" s="22" t="n">
        <v>1959.26</v>
      </c>
      <c r="J954" s="23" t="n">
        <v>0.15</v>
      </c>
      <c r="K954" s="24" t="n">
        <v>19984.45</v>
      </c>
      <c r="L954" s="24" t="n">
        <v>14248.64</v>
      </c>
      <c r="M954" s="24" t="n">
        <v>5735.81</v>
      </c>
    </row>
    <row r="955">
      <c r="A955" s="20" t="inlineStr">
        <is>
          <t>ORD-20240954</t>
        </is>
      </c>
      <c r="B955" s="21" t="n">
        <v>45887</v>
      </c>
      <c r="C955" s="20" t="inlineStr">
        <is>
          <t>East</t>
        </is>
      </c>
      <c r="D955" s="20" t="inlineStr">
        <is>
          <t>Apparel</t>
        </is>
      </c>
      <c r="E955" s="20" t="inlineStr">
        <is>
          <t>Formal Blazer</t>
        </is>
      </c>
      <c r="F955" s="20" t="inlineStr">
        <is>
          <t>Consumer</t>
        </is>
      </c>
      <c r="G955" s="20" t="inlineStr">
        <is>
          <t>Retail Counter</t>
        </is>
      </c>
      <c r="H955" s="20" t="n">
        <v>23</v>
      </c>
      <c r="I955" s="22" t="n">
        <v>2570.5</v>
      </c>
      <c r="J955" s="23" t="n">
        <v>0.15</v>
      </c>
      <c r="K955" s="24" t="n">
        <v>50253.28</v>
      </c>
      <c r="L955" s="24" t="n">
        <v>38958.96</v>
      </c>
      <c r="M955" s="24" t="n">
        <v>11294.32</v>
      </c>
    </row>
    <row r="956">
      <c r="A956" s="20" t="inlineStr">
        <is>
          <t>ORD-20240955</t>
        </is>
      </c>
      <c r="B956" s="21" t="n">
        <v>45888</v>
      </c>
      <c r="C956" s="20" t="inlineStr">
        <is>
          <t>Central</t>
        </is>
      </c>
      <c r="D956" s="20" t="inlineStr">
        <is>
          <t>Office Supplies</t>
        </is>
      </c>
      <c r="E956" s="20" t="inlineStr">
        <is>
          <t>Stapler Heavy</t>
        </is>
      </c>
      <c r="F956" s="20" t="inlineStr">
        <is>
          <t>Consumer</t>
        </is>
      </c>
      <c r="G956" s="20" t="inlineStr">
        <is>
          <t>App User North</t>
        </is>
      </c>
      <c r="H956" s="20" t="n">
        <v>23</v>
      </c>
      <c r="I956" s="22" t="n">
        <v>3439.9</v>
      </c>
      <c r="J956" s="23" t="n">
        <v>0.1</v>
      </c>
      <c r="K956" s="24" t="n">
        <v>71205.92999999999</v>
      </c>
      <c r="L956" s="24" t="n">
        <v>61535.1</v>
      </c>
      <c r="M956" s="24" t="n">
        <v>9670.83</v>
      </c>
    </row>
    <row r="957">
      <c r="A957" s="20" t="inlineStr">
        <is>
          <t>ORD-20240956</t>
        </is>
      </c>
      <c r="B957" s="21" t="n">
        <v>45889</v>
      </c>
      <c r="C957" s="20" t="inlineStr">
        <is>
          <t>South</t>
        </is>
      </c>
      <c r="D957" s="20" t="inlineStr">
        <is>
          <t>Home &amp; Kitchen</t>
        </is>
      </c>
      <c r="E957" s="20" t="inlineStr">
        <is>
          <t>Coffee Maker</t>
        </is>
      </c>
      <c r="F957" s="20" t="inlineStr">
        <is>
          <t>SMB</t>
        </is>
      </c>
      <c r="G957" s="20" t="inlineStr">
        <is>
          <t>BrightRetail Co</t>
        </is>
      </c>
      <c r="H957" s="20" t="n">
        <v>20</v>
      </c>
      <c r="I957" s="22" t="n">
        <v>24512.54</v>
      </c>
      <c r="J957" s="23" t="n">
        <v>0.05</v>
      </c>
      <c r="K957" s="24" t="n">
        <v>465738.26</v>
      </c>
      <c r="L957" s="24" t="n">
        <v>325753.75</v>
      </c>
      <c r="M957" s="24" t="n">
        <v>139984.51</v>
      </c>
    </row>
    <row r="958">
      <c r="A958" s="20" t="inlineStr">
        <is>
          <t>ORD-20240957</t>
        </is>
      </c>
      <c r="B958" s="21" t="n">
        <v>45889</v>
      </c>
      <c r="C958" s="20" t="inlineStr">
        <is>
          <t>South</t>
        </is>
      </c>
      <c r="D958" s="20" t="inlineStr">
        <is>
          <t>Electronics</t>
        </is>
      </c>
      <c r="E958" s="20" t="inlineStr">
        <is>
          <t>USB-C Hub</t>
        </is>
      </c>
      <c r="F958" s="20" t="inlineStr">
        <is>
          <t>Consumer</t>
        </is>
      </c>
      <c r="G958" s="20" t="inlineStr">
        <is>
          <t>Walk-in Mumbai</t>
        </is>
      </c>
      <c r="H958" s="20" t="n">
        <v>9</v>
      </c>
      <c r="I958" s="22" t="n">
        <v>82609.12</v>
      </c>
      <c r="J958" s="23" t="n">
        <v>0.2</v>
      </c>
      <c r="K958" s="24" t="n">
        <v>594785.66</v>
      </c>
      <c r="L958" s="24" t="n">
        <v>521317.03</v>
      </c>
      <c r="M958" s="24" t="n">
        <v>73468.63</v>
      </c>
    </row>
    <row r="959">
      <c r="A959" s="20" t="inlineStr">
        <is>
          <t>ORD-20240958</t>
        </is>
      </c>
      <c r="B959" s="21" t="n">
        <v>45890</v>
      </c>
      <c r="C959" s="20" t="inlineStr">
        <is>
          <t>West</t>
        </is>
      </c>
      <c r="D959" s="20" t="inlineStr">
        <is>
          <t>Office Supplies</t>
        </is>
      </c>
      <c r="E959" s="20" t="inlineStr">
        <is>
          <t>Notebook Set</t>
        </is>
      </c>
      <c r="F959" s="20" t="inlineStr">
        <is>
          <t>Government</t>
        </is>
      </c>
      <c r="G959" s="20" t="inlineStr">
        <is>
          <t>Delhi NDMC</t>
        </is>
      </c>
      <c r="H959" s="20" t="n">
        <v>7</v>
      </c>
      <c r="I959" s="22" t="n">
        <v>2923.47</v>
      </c>
      <c r="J959" s="23" t="n">
        <v>0.12</v>
      </c>
      <c r="K959" s="24" t="n">
        <v>18008.58</v>
      </c>
      <c r="L959" s="24" t="n">
        <v>15514.24</v>
      </c>
      <c r="M959" s="24" t="n">
        <v>2494.34</v>
      </c>
    </row>
    <row r="960">
      <c r="A960" s="20" t="inlineStr">
        <is>
          <t>ORD-20240959</t>
        </is>
      </c>
      <c r="B960" s="21" t="n">
        <v>45890</v>
      </c>
      <c r="C960" s="20" t="inlineStr">
        <is>
          <t>East</t>
        </is>
      </c>
      <c r="D960" s="20" t="inlineStr">
        <is>
          <t>Furniture</t>
        </is>
      </c>
      <c r="E960" s="20" t="inlineStr">
        <is>
          <t>Ergo Chair</t>
        </is>
      </c>
      <c r="F960" s="20" t="inlineStr">
        <is>
          <t>SMB</t>
        </is>
      </c>
      <c r="G960" s="20" t="inlineStr">
        <is>
          <t>BrightRetail Co</t>
        </is>
      </c>
      <c r="H960" s="20" t="n">
        <v>25</v>
      </c>
      <c r="I960" s="22" t="n">
        <v>14439.64</v>
      </c>
      <c r="J960" s="23" t="n">
        <v>0.15</v>
      </c>
      <c r="K960" s="24" t="n">
        <v>306842.35</v>
      </c>
      <c r="L960" s="24" t="n">
        <v>242502.72</v>
      </c>
      <c r="M960" s="24" t="n">
        <v>64339.63</v>
      </c>
    </row>
    <row r="961">
      <c r="A961" s="20" t="inlineStr">
        <is>
          <t>ORD-20240960</t>
        </is>
      </c>
      <c r="B961" s="21" t="n">
        <v>45891</v>
      </c>
      <c r="C961" s="20" t="inlineStr">
        <is>
          <t>North</t>
        </is>
      </c>
      <c r="D961" s="20" t="inlineStr">
        <is>
          <t>Office Supplies</t>
        </is>
      </c>
      <c r="E961" s="20" t="inlineStr">
        <is>
          <t>Notebook Set</t>
        </is>
      </c>
      <c r="F961" s="20" t="inlineStr">
        <is>
          <t>SMB</t>
        </is>
      </c>
      <c r="G961" s="20" t="inlineStr">
        <is>
          <t>GreenFarm Agro</t>
        </is>
      </c>
      <c r="H961" s="20" t="n">
        <v>17</v>
      </c>
      <c r="I961" s="22" t="n">
        <v>2297.71</v>
      </c>
      <c r="J961" s="23" t="n">
        <v>0.05</v>
      </c>
      <c r="K961" s="24" t="n">
        <v>37108.02</v>
      </c>
      <c r="L961" s="24" t="n">
        <v>23114.1</v>
      </c>
      <c r="M961" s="24" t="n">
        <v>13993.92</v>
      </c>
    </row>
    <row r="962">
      <c r="A962" s="20" t="inlineStr">
        <is>
          <t>ORD-20240961</t>
        </is>
      </c>
      <c r="B962" s="21" t="n">
        <v>45891</v>
      </c>
      <c r="C962" s="20" t="inlineStr">
        <is>
          <t>North</t>
        </is>
      </c>
      <c r="D962" s="20" t="inlineStr">
        <is>
          <t>Apparel</t>
        </is>
      </c>
      <c r="E962" s="20" t="inlineStr">
        <is>
          <t>Polo Shirt</t>
        </is>
      </c>
      <c r="F962" s="20" t="inlineStr">
        <is>
          <t>Consumer</t>
        </is>
      </c>
      <c r="G962" s="20" t="inlineStr">
        <is>
          <t>Retail Counter</t>
        </is>
      </c>
      <c r="H962" s="20" t="n">
        <v>5</v>
      </c>
      <c r="I962" s="22" t="n">
        <v>607.71</v>
      </c>
      <c r="J962" s="23" t="n">
        <v>0.05</v>
      </c>
      <c r="K962" s="24" t="n">
        <v>2886.62</v>
      </c>
      <c r="L962" s="24" t="n">
        <v>2107.52</v>
      </c>
      <c r="M962" s="24" t="n">
        <v>779.1</v>
      </c>
    </row>
    <row r="963">
      <c r="A963" s="20" t="inlineStr">
        <is>
          <t>ORD-20240962</t>
        </is>
      </c>
      <c r="B963" s="21" t="n">
        <v>45891</v>
      </c>
      <c r="C963" s="20" t="inlineStr">
        <is>
          <t>West</t>
        </is>
      </c>
      <c r="D963" s="20" t="inlineStr">
        <is>
          <t>Electronics</t>
        </is>
      </c>
      <c r="E963" s="20" t="inlineStr">
        <is>
          <t>Webcam HD</t>
        </is>
      </c>
      <c r="F963" s="20" t="inlineStr">
        <is>
          <t>Government</t>
        </is>
      </c>
      <c r="G963" s="20" t="inlineStr">
        <is>
          <t>Delhi NDMC</t>
        </is>
      </c>
      <c r="H963" s="20" t="n">
        <v>15</v>
      </c>
      <c r="I963" s="22" t="n">
        <v>56444.01</v>
      </c>
      <c r="J963" s="23" t="n">
        <v>0.05</v>
      </c>
      <c r="K963" s="24" t="n">
        <v>804327.14</v>
      </c>
      <c r="L963" s="24" t="n">
        <v>534882</v>
      </c>
      <c r="M963" s="24" t="n">
        <v>269445.14</v>
      </c>
    </row>
    <row r="964">
      <c r="A964" s="20" t="inlineStr">
        <is>
          <t>ORD-20240963</t>
        </is>
      </c>
      <c r="B964" s="21" t="n">
        <v>45892</v>
      </c>
      <c r="C964" s="20" t="inlineStr">
        <is>
          <t>North</t>
        </is>
      </c>
      <c r="D964" s="20" t="inlineStr">
        <is>
          <t>Home &amp; Kitchen</t>
        </is>
      </c>
      <c r="E964" s="20" t="inlineStr">
        <is>
          <t>Coffee Maker</t>
        </is>
      </c>
      <c r="F964" s="20" t="inlineStr">
        <is>
          <t>Enterprise</t>
        </is>
      </c>
      <c r="G964" s="20" t="inlineStr">
        <is>
          <t>Infosys Ltd</t>
        </is>
      </c>
      <c r="H964" s="20" t="n">
        <v>21</v>
      </c>
      <c r="I964" s="22" t="n">
        <v>20213.17</v>
      </c>
      <c r="J964" s="23" t="n">
        <v>0.12</v>
      </c>
      <c r="K964" s="24" t="n">
        <v>373539.38</v>
      </c>
      <c r="L964" s="24" t="n">
        <v>272286.18</v>
      </c>
      <c r="M964" s="24" t="n">
        <v>101253.2</v>
      </c>
    </row>
    <row r="965">
      <c r="A965" s="20" t="inlineStr">
        <is>
          <t>ORD-20240964</t>
        </is>
      </c>
      <c r="B965" s="21" t="n">
        <v>45893</v>
      </c>
      <c r="C965" s="20" t="inlineStr">
        <is>
          <t>South</t>
        </is>
      </c>
      <c r="D965" s="20" t="inlineStr">
        <is>
          <t>Office Supplies</t>
        </is>
      </c>
      <c r="E965" s="20" t="inlineStr">
        <is>
          <t>Stapler Heavy</t>
        </is>
      </c>
      <c r="F965" s="20" t="inlineStr">
        <is>
          <t>Government</t>
        </is>
      </c>
      <c r="G965" s="20" t="inlineStr">
        <is>
          <t>State Health UP</t>
        </is>
      </c>
      <c r="H965" s="20" t="n">
        <v>22</v>
      </c>
      <c r="I965" s="22" t="n">
        <v>2646.56</v>
      </c>
      <c r="J965" s="23" t="n">
        <v>0.2</v>
      </c>
      <c r="K965" s="24" t="n">
        <v>46579.46</v>
      </c>
      <c r="L965" s="24" t="n">
        <v>36036</v>
      </c>
      <c r="M965" s="24" t="n">
        <v>10543.46</v>
      </c>
    </row>
    <row r="966">
      <c r="A966" s="20" t="inlineStr">
        <is>
          <t>ORD-20240965</t>
        </is>
      </c>
      <c r="B966" s="21" t="n">
        <v>45893</v>
      </c>
      <c r="C966" s="20" t="inlineStr">
        <is>
          <t>South</t>
        </is>
      </c>
      <c r="D966" s="20" t="inlineStr">
        <is>
          <t>Furniture</t>
        </is>
      </c>
      <c r="E966" s="20" t="inlineStr">
        <is>
          <t>Bookshelf Oak</t>
        </is>
      </c>
      <c r="F966" s="20" t="inlineStr">
        <is>
          <t>SMB</t>
        </is>
      </c>
      <c r="G966" s="20" t="inlineStr">
        <is>
          <t>SwiftPrint</t>
        </is>
      </c>
      <c r="H966" s="20" t="n">
        <v>23</v>
      </c>
      <c r="I966" s="22" t="n">
        <v>14446.02</v>
      </c>
      <c r="J966" s="23" t="n">
        <v>0.12</v>
      </c>
      <c r="K966" s="24" t="n">
        <v>292387.44</v>
      </c>
      <c r="L966" s="24" t="n">
        <v>190605.3</v>
      </c>
      <c r="M966" s="24" t="n">
        <v>101782.14</v>
      </c>
    </row>
    <row r="967">
      <c r="A967" s="20" t="inlineStr">
        <is>
          <t>ORD-20240966</t>
        </is>
      </c>
      <c r="B967" s="21" t="n">
        <v>45894</v>
      </c>
      <c r="C967" s="20" t="inlineStr">
        <is>
          <t>West</t>
        </is>
      </c>
      <c r="D967" s="20" t="inlineStr">
        <is>
          <t>Electronics</t>
        </is>
      </c>
      <c r="E967" s="20" t="inlineStr">
        <is>
          <t>Webcam HD</t>
        </is>
      </c>
      <c r="F967" s="20" t="inlineStr">
        <is>
          <t>SMB</t>
        </is>
      </c>
      <c r="G967" s="20" t="inlineStr">
        <is>
          <t>CityCare Clinics</t>
        </is>
      </c>
      <c r="H967" s="20" t="n">
        <v>13</v>
      </c>
      <c r="I967" s="22" t="n">
        <v>38733.32</v>
      </c>
      <c r="J967" s="23" t="n">
        <v>0.15</v>
      </c>
      <c r="K967" s="24" t="n">
        <v>428003.19</v>
      </c>
      <c r="L967" s="24" t="n">
        <v>311380.49</v>
      </c>
      <c r="M967" s="24" t="n">
        <v>116622.7</v>
      </c>
    </row>
    <row r="968">
      <c r="A968" s="20" t="inlineStr">
        <is>
          <t>ORD-20240967</t>
        </is>
      </c>
      <c r="B968" s="21" t="n">
        <v>45894</v>
      </c>
      <c r="C968" s="20" t="inlineStr">
        <is>
          <t>East</t>
        </is>
      </c>
      <c r="D968" s="20" t="inlineStr">
        <is>
          <t>Apparel</t>
        </is>
      </c>
      <c r="E968" s="20" t="inlineStr">
        <is>
          <t>Safety Vest</t>
        </is>
      </c>
      <c r="F968" s="20" t="inlineStr">
        <is>
          <t>Enterprise</t>
        </is>
      </c>
      <c r="G968" s="20" t="inlineStr">
        <is>
          <t>HCL Services</t>
        </is>
      </c>
      <c r="H968" s="20" t="n">
        <v>4</v>
      </c>
      <c r="I968" s="22" t="n">
        <v>3944.47</v>
      </c>
      <c r="J968" s="23" t="n">
        <v>0.05</v>
      </c>
      <c r="K968" s="24" t="n">
        <v>14988.99</v>
      </c>
      <c r="L968" s="24" t="n">
        <v>9439.459999999999</v>
      </c>
      <c r="M968" s="24" t="n">
        <v>5549.53</v>
      </c>
    </row>
    <row r="969">
      <c r="A969" s="20" t="inlineStr">
        <is>
          <t>ORD-20240968</t>
        </is>
      </c>
      <c r="B969" s="21" t="n">
        <v>45894</v>
      </c>
      <c r="C969" s="20" t="inlineStr">
        <is>
          <t>West</t>
        </is>
      </c>
      <c r="D969" s="20" t="inlineStr">
        <is>
          <t>Office Supplies</t>
        </is>
      </c>
      <c r="E969" s="20" t="inlineStr">
        <is>
          <t>Whiteboard Kit</t>
        </is>
      </c>
      <c r="F969" s="20" t="inlineStr">
        <is>
          <t>Government</t>
        </is>
      </c>
      <c r="G969" s="20" t="inlineStr">
        <is>
          <t>State Health UP</t>
        </is>
      </c>
      <c r="H969" s="20" t="n">
        <v>24</v>
      </c>
      <c r="I969" s="22" t="n">
        <v>1337.35</v>
      </c>
      <c r="J969" s="23" t="n">
        <v>0.15</v>
      </c>
      <c r="K969" s="24" t="n">
        <v>27281.94</v>
      </c>
      <c r="L969" s="24" t="n">
        <v>19925.33</v>
      </c>
      <c r="M969" s="24" t="n">
        <v>7356.61</v>
      </c>
    </row>
    <row r="970">
      <c r="A970" s="20" t="inlineStr">
        <is>
          <t>ORD-20240969</t>
        </is>
      </c>
      <c r="B970" s="21" t="n">
        <v>45896</v>
      </c>
      <c r="C970" s="20" t="inlineStr">
        <is>
          <t>South</t>
        </is>
      </c>
      <c r="D970" s="20" t="inlineStr">
        <is>
          <t>Apparel</t>
        </is>
      </c>
      <c r="E970" s="20" t="inlineStr">
        <is>
          <t>Cap Embroidered</t>
        </is>
      </c>
      <c r="F970" s="20" t="inlineStr">
        <is>
          <t>Enterprise</t>
        </is>
      </c>
      <c r="G970" s="20" t="inlineStr">
        <is>
          <t>TCS Digital</t>
        </is>
      </c>
      <c r="H970" s="20" t="n">
        <v>23</v>
      </c>
      <c r="I970" s="22" t="n">
        <v>3713.13</v>
      </c>
      <c r="J970" s="23" t="n">
        <v>0</v>
      </c>
      <c r="K970" s="24" t="n">
        <v>85401.99000000001</v>
      </c>
      <c r="L970" s="24" t="n">
        <v>49008.27</v>
      </c>
      <c r="M970" s="24" t="n">
        <v>36393.72</v>
      </c>
    </row>
    <row r="971">
      <c r="A971" s="20" t="inlineStr">
        <is>
          <t>ORD-20240970</t>
        </is>
      </c>
      <c r="B971" s="21" t="n">
        <v>45896</v>
      </c>
      <c r="C971" s="20" t="inlineStr">
        <is>
          <t>South</t>
        </is>
      </c>
      <c r="D971" s="20" t="inlineStr">
        <is>
          <t>Home &amp; Kitchen</t>
        </is>
      </c>
      <c r="E971" s="20" t="inlineStr">
        <is>
          <t>Air Fryer</t>
        </is>
      </c>
      <c r="F971" s="20" t="inlineStr">
        <is>
          <t>Government</t>
        </is>
      </c>
      <c r="G971" s="20" t="inlineStr">
        <is>
          <t>Railways Zone W</t>
        </is>
      </c>
      <c r="H971" s="20" t="n">
        <v>24</v>
      </c>
      <c r="I971" s="22" t="n">
        <v>4059.26</v>
      </c>
      <c r="J971" s="23" t="n">
        <v>0.15</v>
      </c>
      <c r="K971" s="24" t="n">
        <v>82808.89999999999</v>
      </c>
      <c r="L971" s="24" t="n">
        <v>64315.71</v>
      </c>
      <c r="M971" s="24" t="n">
        <v>18493.19</v>
      </c>
    </row>
    <row r="972">
      <c r="A972" s="20" t="inlineStr">
        <is>
          <t>ORD-20240971</t>
        </is>
      </c>
      <c r="B972" s="21" t="n">
        <v>45896</v>
      </c>
      <c r="C972" s="20" t="inlineStr">
        <is>
          <t>North</t>
        </is>
      </c>
      <c r="D972" s="20" t="inlineStr">
        <is>
          <t>Furniture</t>
        </is>
      </c>
      <c r="E972" s="20" t="inlineStr">
        <is>
          <t>Conference Table</t>
        </is>
      </c>
      <c r="F972" s="20" t="inlineStr">
        <is>
          <t>Consumer</t>
        </is>
      </c>
      <c r="G972" s="20" t="inlineStr">
        <is>
          <t>Walk-in Delhi</t>
        </is>
      </c>
      <c r="H972" s="20" t="n">
        <v>10</v>
      </c>
      <c r="I972" s="22" t="n">
        <v>31455.77</v>
      </c>
      <c r="J972" s="23" t="n">
        <v>0</v>
      </c>
      <c r="K972" s="24" t="n">
        <v>314557.7</v>
      </c>
      <c r="L972" s="24" t="n">
        <v>201524.24</v>
      </c>
      <c r="M972" s="24" t="n">
        <v>113033.46</v>
      </c>
    </row>
    <row r="973">
      <c r="A973" s="20" t="inlineStr">
        <is>
          <t>ORD-20240972</t>
        </is>
      </c>
      <c r="B973" s="21" t="n">
        <v>45896</v>
      </c>
      <c r="C973" s="20" t="inlineStr">
        <is>
          <t>East</t>
        </is>
      </c>
      <c r="D973" s="20" t="inlineStr">
        <is>
          <t>Electronics</t>
        </is>
      </c>
      <c r="E973" s="20" t="inlineStr">
        <is>
          <t>Webcam HD</t>
        </is>
      </c>
      <c r="F973" s="20" t="inlineStr">
        <is>
          <t>SMB</t>
        </is>
      </c>
      <c r="G973" s="20" t="inlineStr">
        <is>
          <t>Pixel Studio</t>
        </is>
      </c>
      <c r="H973" s="20" t="n">
        <v>13</v>
      </c>
      <c r="I973" s="22" t="n">
        <v>49376.4</v>
      </c>
      <c r="J973" s="23" t="n">
        <v>0</v>
      </c>
      <c r="K973" s="24" t="n">
        <v>641893.2</v>
      </c>
      <c r="L973" s="24" t="n">
        <v>398926.19</v>
      </c>
      <c r="M973" s="24" t="n">
        <v>242967.01</v>
      </c>
    </row>
    <row r="974">
      <c r="A974" s="20" t="inlineStr">
        <is>
          <t>ORD-20240973</t>
        </is>
      </c>
      <c r="B974" s="21" t="n">
        <v>45897</v>
      </c>
      <c r="C974" s="20" t="inlineStr">
        <is>
          <t>Central</t>
        </is>
      </c>
      <c r="D974" s="20" t="inlineStr">
        <is>
          <t>Office Supplies</t>
        </is>
      </c>
      <c r="E974" s="20" t="inlineStr">
        <is>
          <t>Gel Pen Pack</t>
        </is>
      </c>
      <c r="F974" s="20" t="inlineStr">
        <is>
          <t>Consumer</t>
        </is>
      </c>
      <c r="G974" s="20" t="inlineStr">
        <is>
          <t>Online Guest</t>
        </is>
      </c>
      <c r="H974" s="20" t="n">
        <v>9</v>
      </c>
      <c r="I974" s="22" t="n">
        <v>99</v>
      </c>
      <c r="J974" s="23" t="n">
        <v>0</v>
      </c>
      <c r="K974" s="24" t="n">
        <v>891</v>
      </c>
      <c r="L974" s="24" t="n">
        <v>613.79</v>
      </c>
      <c r="M974" s="24" t="n">
        <v>277.21</v>
      </c>
    </row>
    <row r="975">
      <c r="A975" s="20" t="inlineStr">
        <is>
          <t>ORD-20240974</t>
        </is>
      </c>
      <c r="B975" s="21" t="n">
        <v>45897</v>
      </c>
      <c r="C975" s="20" t="inlineStr">
        <is>
          <t>West</t>
        </is>
      </c>
      <c r="D975" s="20" t="inlineStr">
        <is>
          <t>Home &amp; Kitchen</t>
        </is>
      </c>
      <c r="E975" s="20" t="inlineStr">
        <is>
          <t>Mixer Grinder</t>
        </is>
      </c>
      <c r="F975" s="20" t="inlineStr">
        <is>
          <t>Government</t>
        </is>
      </c>
      <c r="G975" s="20" t="inlineStr">
        <is>
          <t>Municipal Corp Hyd</t>
        </is>
      </c>
      <c r="H975" s="20" t="n">
        <v>6</v>
      </c>
      <c r="I975" s="22" t="n">
        <v>14680</v>
      </c>
      <c r="J975" s="23" t="n">
        <v>0.12</v>
      </c>
      <c r="K975" s="24" t="n">
        <v>77510.39999999999</v>
      </c>
      <c r="L975" s="24" t="n">
        <v>53779.88</v>
      </c>
      <c r="M975" s="24" t="n">
        <v>23730.52</v>
      </c>
    </row>
    <row r="976">
      <c r="A976" s="20" t="inlineStr">
        <is>
          <t>ORD-20240975</t>
        </is>
      </c>
      <c r="B976" s="21" t="n">
        <v>45897</v>
      </c>
      <c r="C976" s="20" t="inlineStr">
        <is>
          <t>South</t>
        </is>
      </c>
      <c r="D976" s="20" t="inlineStr">
        <is>
          <t>Furniture</t>
        </is>
      </c>
      <c r="E976" s="20" t="inlineStr">
        <is>
          <t>Conference Table</t>
        </is>
      </c>
      <c r="F976" s="20" t="inlineStr">
        <is>
          <t>Government</t>
        </is>
      </c>
      <c r="G976" s="20" t="inlineStr">
        <is>
          <t>Delhi NDMC</t>
        </is>
      </c>
      <c r="H976" s="20" t="n">
        <v>23</v>
      </c>
      <c r="I976" s="22" t="n">
        <v>33544.41</v>
      </c>
      <c r="J976" s="23" t="n">
        <v>0</v>
      </c>
      <c r="K976" s="24" t="n">
        <v>771521.4300000001</v>
      </c>
      <c r="L976" s="24" t="n">
        <v>457816.09</v>
      </c>
      <c r="M976" s="24" t="n">
        <v>313705.34</v>
      </c>
    </row>
    <row r="977">
      <c r="A977" s="20" t="inlineStr">
        <is>
          <t>ORD-20240976</t>
        </is>
      </c>
      <c r="B977" s="21" t="n">
        <v>45898</v>
      </c>
      <c r="C977" s="20" t="inlineStr">
        <is>
          <t>South</t>
        </is>
      </c>
      <c r="D977" s="20" t="inlineStr">
        <is>
          <t>Home &amp; Kitchen</t>
        </is>
      </c>
      <c r="E977" s="20" t="inlineStr">
        <is>
          <t>Coffee Maker</t>
        </is>
      </c>
      <c r="F977" s="20" t="inlineStr">
        <is>
          <t>Enterprise</t>
        </is>
      </c>
      <c r="G977" s="20" t="inlineStr">
        <is>
          <t>HCL Services</t>
        </is>
      </c>
      <c r="H977" s="20" t="n">
        <v>17</v>
      </c>
      <c r="I977" s="22" t="n">
        <v>4132.87</v>
      </c>
      <c r="J977" s="23" t="n">
        <v>0.05</v>
      </c>
      <c r="K977" s="24" t="n">
        <v>66745.85000000001</v>
      </c>
      <c r="L977" s="24" t="n">
        <v>50299.86</v>
      </c>
      <c r="M977" s="24" t="n">
        <v>16445.99</v>
      </c>
    </row>
    <row r="978">
      <c r="A978" s="20" t="inlineStr">
        <is>
          <t>ORD-20240977</t>
        </is>
      </c>
      <c r="B978" s="21" t="n">
        <v>45900</v>
      </c>
      <c r="C978" s="20" t="inlineStr">
        <is>
          <t>South</t>
        </is>
      </c>
      <c r="D978" s="20" t="inlineStr">
        <is>
          <t>Electronics</t>
        </is>
      </c>
      <c r="E978" s="20" t="inlineStr">
        <is>
          <t>Wireless Mouse</t>
        </is>
      </c>
      <c r="F978" s="20" t="inlineStr">
        <is>
          <t>SMB</t>
        </is>
      </c>
      <c r="G978" s="20" t="inlineStr">
        <is>
          <t>CityCare Clinics</t>
        </is>
      </c>
      <c r="H978" s="20" t="n">
        <v>3</v>
      </c>
      <c r="I978" s="22" t="n">
        <v>13980.05</v>
      </c>
      <c r="J978" s="23" t="n">
        <v>0.12</v>
      </c>
      <c r="K978" s="24" t="n">
        <v>36907.33</v>
      </c>
      <c r="L978" s="24" t="n">
        <v>27412.75</v>
      </c>
      <c r="M978" s="24" t="n">
        <v>9494.58</v>
      </c>
    </row>
    <row r="979">
      <c r="A979" s="20" t="inlineStr">
        <is>
          <t>ORD-20240978</t>
        </is>
      </c>
      <c r="B979" s="21" t="n">
        <v>45900</v>
      </c>
      <c r="C979" s="20" t="inlineStr">
        <is>
          <t>North</t>
        </is>
      </c>
      <c r="D979" s="20" t="inlineStr">
        <is>
          <t>Apparel</t>
        </is>
      </c>
      <c r="E979" s="20" t="inlineStr">
        <is>
          <t>Hoodie Soft</t>
        </is>
      </c>
      <c r="F979" s="20" t="inlineStr">
        <is>
          <t>Enterprise</t>
        </is>
      </c>
      <c r="G979" s="20" t="inlineStr">
        <is>
          <t>Tech Mahindra</t>
        </is>
      </c>
      <c r="H979" s="20" t="n">
        <v>22</v>
      </c>
      <c r="I979" s="22" t="n">
        <v>4841.48</v>
      </c>
      <c r="J979" s="23" t="n">
        <v>0.1</v>
      </c>
      <c r="K979" s="24" t="n">
        <v>95861.3</v>
      </c>
      <c r="L979" s="24" t="n">
        <v>72336.42</v>
      </c>
      <c r="M979" s="24" t="n">
        <v>23524.88</v>
      </c>
    </row>
    <row r="980">
      <c r="A980" s="20" t="inlineStr">
        <is>
          <t>ORD-20240979</t>
        </is>
      </c>
      <c r="B980" s="21" t="n">
        <v>45900</v>
      </c>
      <c r="C980" s="20" t="inlineStr">
        <is>
          <t>North</t>
        </is>
      </c>
      <c r="D980" s="20" t="inlineStr">
        <is>
          <t>Furniture</t>
        </is>
      </c>
      <c r="E980" s="20" t="inlineStr">
        <is>
          <t>Conference Table</t>
        </is>
      </c>
      <c r="F980" s="20" t="inlineStr">
        <is>
          <t>Government</t>
        </is>
      </c>
      <c r="G980" s="20" t="inlineStr">
        <is>
          <t>Railways Zone W</t>
        </is>
      </c>
      <c r="H980" s="20" t="n">
        <v>2</v>
      </c>
      <c r="I980" s="22" t="n">
        <v>32309.57</v>
      </c>
      <c r="J980" s="23" t="n">
        <v>0</v>
      </c>
      <c r="K980" s="24" t="n">
        <v>64619.14</v>
      </c>
      <c r="L980" s="24" t="n">
        <v>42627.32</v>
      </c>
      <c r="M980" s="24" t="n">
        <v>21991.82</v>
      </c>
    </row>
    <row r="981">
      <c r="A981" s="20" t="inlineStr">
        <is>
          <t>ORD-20240980</t>
        </is>
      </c>
      <c r="B981" s="21" t="n">
        <v>45901</v>
      </c>
      <c r="C981" s="20" t="inlineStr">
        <is>
          <t>West</t>
        </is>
      </c>
      <c r="D981" s="20" t="inlineStr">
        <is>
          <t>Office Supplies</t>
        </is>
      </c>
      <c r="E981" s="20" t="inlineStr">
        <is>
          <t>Notebook Set</t>
        </is>
      </c>
      <c r="F981" s="20" t="inlineStr">
        <is>
          <t>Consumer</t>
        </is>
      </c>
      <c r="G981" s="20" t="inlineStr">
        <is>
          <t>Walk-in Delhi</t>
        </is>
      </c>
      <c r="H981" s="20" t="n">
        <v>6</v>
      </c>
      <c r="I981" s="22" t="n">
        <v>1632.94</v>
      </c>
      <c r="J981" s="23" t="n">
        <v>0.1</v>
      </c>
      <c r="K981" s="24" t="n">
        <v>8817.879999999999</v>
      </c>
      <c r="L981" s="24" t="n">
        <v>5787.33</v>
      </c>
      <c r="M981" s="24" t="n">
        <v>3030.55</v>
      </c>
    </row>
    <row r="982">
      <c r="A982" s="20" t="inlineStr">
        <is>
          <t>ORD-20240981</t>
        </is>
      </c>
      <c r="B982" s="21" t="n">
        <v>45902</v>
      </c>
      <c r="C982" s="20" t="inlineStr">
        <is>
          <t>South</t>
        </is>
      </c>
      <c r="D982" s="20" t="inlineStr">
        <is>
          <t>Home &amp; Kitchen</t>
        </is>
      </c>
      <c r="E982" s="20" t="inlineStr">
        <is>
          <t>Coffee Maker</t>
        </is>
      </c>
      <c r="F982" s="20" t="inlineStr">
        <is>
          <t>Enterprise</t>
        </is>
      </c>
      <c r="G982" s="20" t="inlineStr">
        <is>
          <t>L&amp;T Infotech</t>
        </is>
      </c>
      <c r="H982" s="20" t="n">
        <v>23</v>
      </c>
      <c r="I982" s="22" t="n">
        <v>16502.66</v>
      </c>
      <c r="J982" s="23" t="n">
        <v>0.15</v>
      </c>
      <c r="K982" s="24" t="n">
        <v>322627</v>
      </c>
      <c r="L982" s="24" t="n">
        <v>218738.93</v>
      </c>
      <c r="M982" s="24" t="n">
        <v>103888.07</v>
      </c>
    </row>
    <row r="983">
      <c r="A983" s="20" t="inlineStr">
        <is>
          <t>ORD-20240982</t>
        </is>
      </c>
      <c r="B983" s="21" t="n">
        <v>45902</v>
      </c>
      <c r="C983" s="20" t="inlineStr">
        <is>
          <t>East</t>
        </is>
      </c>
      <c r="D983" s="20" t="inlineStr">
        <is>
          <t>Office Supplies</t>
        </is>
      </c>
      <c r="E983" s="20" t="inlineStr">
        <is>
          <t>A4 Paper Ream</t>
        </is>
      </c>
      <c r="F983" s="20" t="inlineStr">
        <is>
          <t>Enterprise</t>
        </is>
      </c>
      <c r="G983" s="20" t="inlineStr">
        <is>
          <t>TCS Digital</t>
        </is>
      </c>
      <c r="H983" s="20" t="n">
        <v>21</v>
      </c>
      <c r="I983" s="22" t="n">
        <v>129.84</v>
      </c>
      <c r="J983" s="23" t="n">
        <v>0</v>
      </c>
      <c r="K983" s="24" t="n">
        <v>2726.64</v>
      </c>
      <c r="L983" s="24" t="n">
        <v>1569.22</v>
      </c>
      <c r="M983" s="24" t="n">
        <v>1157.42</v>
      </c>
    </row>
    <row r="984">
      <c r="A984" s="20" t="inlineStr">
        <is>
          <t>ORD-20240983</t>
        </is>
      </c>
      <c r="B984" s="21" t="n">
        <v>45903</v>
      </c>
      <c r="C984" s="20" t="inlineStr">
        <is>
          <t>West</t>
        </is>
      </c>
      <c r="D984" s="20" t="inlineStr">
        <is>
          <t>Apparel</t>
        </is>
      </c>
      <c r="E984" s="20" t="inlineStr">
        <is>
          <t>Hoodie Soft</t>
        </is>
      </c>
      <c r="F984" s="20" t="inlineStr">
        <is>
          <t>SMB</t>
        </is>
      </c>
      <c r="G984" s="20" t="inlineStr">
        <is>
          <t>Nova Logistics</t>
        </is>
      </c>
      <c r="H984" s="20" t="n">
        <v>19</v>
      </c>
      <c r="I984" s="22" t="n">
        <v>1957.61</v>
      </c>
      <c r="J984" s="23" t="n">
        <v>0</v>
      </c>
      <c r="K984" s="24" t="n">
        <v>37194.59</v>
      </c>
      <c r="L984" s="24" t="n">
        <v>22863.96</v>
      </c>
      <c r="M984" s="24" t="n">
        <v>14330.63</v>
      </c>
    </row>
    <row r="985">
      <c r="A985" s="20" t="inlineStr">
        <is>
          <t>ORD-20240984</t>
        </is>
      </c>
      <c r="B985" s="21" t="n">
        <v>45903</v>
      </c>
      <c r="C985" s="20" t="inlineStr">
        <is>
          <t>Central</t>
        </is>
      </c>
      <c r="D985" s="20" t="inlineStr">
        <is>
          <t>Apparel</t>
        </is>
      </c>
      <c r="E985" s="20" t="inlineStr">
        <is>
          <t>Cap Embroidered</t>
        </is>
      </c>
      <c r="F985" s="20" t="inlineStr">
        <is>
          <t>Consumer</t>
        </is>
      </c>
      <c r="G985" s="20" t="inlineStr">
        <is>
          <t>Retail Counter</t>
        </is>
      </c>
      <c r="H985" s="20" t="n">
        <v>15</v>
      </c>
      <c r="I985" s="22" t="n">
        <v>934.04</v>
      </c>
      <c r="J985" s="23" t="n">
        <v>0.2</v>
      </c>
      <c r="K985" s="24" t="n">
        <v>11208.48</v>
      </c>
      <c r="L985" s="24" t="n">
        <v>8276.32</v>
      </c>
      <c r="M985" s="24" t="n">
        <v>2932.16</v>
      </c>
    </row>
    <row r="986">
      <c r="A986" s="20" t="inlineStr">
        <is>
          <t>ORD-20240985</t>
        </is>
      </c>
      <c r="B986" s="21" t="n">
        <v>45904</v>
      </c>
      <c r="C986" s="20" t="inlineStr">
        <is>
          <t>West</t>
        </is>
      </c>
      <c r="D986" s="20" t="inlineStr">
        <is>
          <t>Furniture</t>
        </is>
      </c>
      <c r="E986" s="20" t="inlineStr">
        <is>
          <t>Conference Table</t>
        </is>
      </c>
      <c r="F986" s="20" t="inlineStr">
        <is>
          <t>Government</t>
        </is>
      </c>
      <c r="G986" s="20" t="inlineStr">
        <is>
          <t>Delhi NDMC</t>
        </is>
      </c>
      <c r="H986" s="20" t="n">
        <v>1</v>
      </c>
      <c r="I986" s="22" t="n">
        <v>6308.8</v>
      </c>
      <c r="J986" s="23" t="n">
        <v>0.2</v>
      </c>
      <c r="K986" s="24" t="n">
        <v>5047.04</v>
      </c>
      <c r="L986" s="24" t="n">
        <v>3604.88</v>
      </c>
      <c r="M986" s="24" t="n">
        <v>1442.16</v>
      </c>
    </row>
    <row r="987">
      <c r="A987" s="20" t="inlineStr">
        <is>
          <t>ORD-20240986</t>
        </is>
      </c>
      <c r="B987" s="21" t="n">
        <v>45905</v>
      </c>
      <c r="C987" s="20" t="inlineStr">
        <is>
          <t>Central</t>
        </is>
      </c>
      <c r="D987" s="20" t="inlineStr">
        <is>
          <t>Electronics</t>
        </is>
      </c>
      <c r="E987" s="20" t="inlineStr">
        <is>
          <t>USB-C Hub</t>
        </is>
      </c>
      <c r="F987" s="20" t="inlineStr">
        <is>
          <t>Government</t>
        </is>
      </c>
      <c r="G987" s="20" t="inlineStr">
        <is>
          <t>Municipal Corp Hyd</t>
        </is>
      </c>
      <c r="H987" s="20" t="n">
        <v>22</v>
      </c>
      <c r="I987" s="22" t="n">
        <v>26768.91</v>
      </c>
      <c r="J987" s="23" t="n">
        <v>0.05</v>
      </c>
      <c r="K987" s="24" t="n">
        <v>559470.22</v>
      </c>
      <c r="L987" s="24" t="n">
        <v>377442.51</v>
      </c>
      <c r="M987" s="24" t="n">
        <v>182027.71</v>
      </c>
    </row>
    <row r="988">
      <c r="A988" s="20" t="inlineStr">
        <is>
          <t>ORD-20240987</t>
        </is>
      </c>
      <c r="B988" s="21" t="n">
        <v>45905</v>
      </c>
      <c r="C988" s="20" t="inlineStr">
        <is>
          <t>South</t>
        </is>
      </c>
      <c r="D988" s="20" t="inlineStr">
        <is>
          <t>Electronics</t>
        </is>
      </c>
      <c r="E988" s="20" t="inlineStr">
        <is>
          <t>Webcam HD</t>
        </is>
      </c>
      <c r="F988" s="20" t="inlineStr">
        <is>
          <t>Enterprise</t>
        </is>
      </c>
      <c r="G988" s="20" t="inlineStr">
        <is>
          <t>TCS Digital</t>
        </is>
      </c>
      <c r="H988" s="20" t="n">
        <v>9</v>
      </c>
      <c r="I988" s="22" t="n">
        <v>78470.03</v>
      </c>
      <c r="J988" s="23" t="n">
        <v>0.2</v>
      </c>
      <c r="K988" s="24" t="n">
        <v>564984.22</v>
      </c>
      <c r="L988" s="24" t="n">
        <v>544076.14</v>
      </c>
      <c r="M988" s="24" t="n">
        <v>20908.08</v>
      </c>
    </row>
    <row r="989">
      <c r="A989" s="20" t="inlineStr">
        <is>
          <t>ORD-20240988</t>
        </is>
      </c>
      <c r="B989" s="21" t="n">
        <v>45905</v>
      </c>
      <c r="C989" s="20" t="inlineStr">
        <is>
          <t>North</t>
        </is>
      </c>
      <c r="D989" s="20" t="inlineStr">
        <is>
          <t>Electronics</t>
        </is>
      </c>
      <c r="E989" s="20" t="inlineStr">
        <is>
          <t>Webcam HD</t>
        </is>
      </c>
      <c r="F989" s="20" t="inlineStr">
        <is>
          <t>Consumer</t>
        </is>
      </c>
      <c r="G989" s="20" t="inlineStr">
        <is>
          <t>App User North</t>
        </is>
      </c>
      <c r="H989" s="20" t="n">
        <v>13</v>
      </c>
      <c r="I989" s="22" t="n">
        <v>8868.91</v>
      </c>
      <c r="J989" s="23" t="n">
        <v>0.12</v>
      </c>
      <c r="K989" s="24" t="n">
        <v>101460.33</v>
      </c>
      <c r="L989" s="24" t="n">
        <v>69594.38</v>
      </c>
      <c r="M989" s="24" t="n">
        <v>31865.95</v>
      </c>
    </row>
    <row r="990">
      <c r="A990" s="20" t="inlineStr">
        <is>
          <t>ORD-20240989</t>
        </is>
      </c>
      <c r="B990" s="21" t="n">
        <v>45905</v>
      </c>
      <c r="C990" s="20" t="inlineStr">
        <is>
          <t>North</t>
        </is>
      </c>
      <c r="D990" s="20" t="inlineStr">
        <is>
          <t>Apparel</t>
        </is>
      </c>
      <c r="E990" s="20" t="inlineStr">
        <is>
          <t>Formal Blazer</t>
        </is>
      </c>
      <c r="F990" s="20" t="inlineStr">
        <is>
          <t>Consumer</t>
        </is>
      </c>
      <c r="G990" s="20" t="inlineStr">
        <is>
          <t>Retail Counter</t>
        </is>
      </c>
      <c r="H990" s="20" t="n">
        <v>12</v>
      </c>
      <c r="I990" s="22" t="n">
        <v>505.51</v>
      </c>
      <c r="J990" s="23" t="n">
        <v>0.05</v>
      </c>
      <c r="K990" s="24" t="n">
        <v>5762.81</v>
      </c>
      <c r="L990" s="24" t="n">
        <v>3909.93</v>
      </c>
      <c r="M990" s="24" t="n">
        <v>1852.88</v>
      </c>
    </row>
    <row r="991">
      <c r="A991" s="20" t="inlineStr">
        <is>
          <t>ORD-20240990</t>
        </is>
      </c>
      <c r="B991" s="21" t="n">
        <v>45906</v>
      </c>
      <c r="C991" s="20" t="inlineStr">
        <is>
          <t>South</t>
        </is>
      </c>
      <c r="D991" s="20" t="inlineStr">
        <is>
          <t>Office Supplies</t>
        </is>
      </c>
      <c r="E991" s="20" t="inlineStr">
        <is>
          <t>Stapler Heavy</t>
        </is>
      </c>
      <c r="F991" s="20" t="inlineStr">
        <is>
          <t>SMB</t>
        </is>
      </c>
      <c r="G991" s="20" t="inlineStr">
        <is>
          <t>CityCare Clinics</t>
        </is>
      </c>
      <c r="H991" s="20" t="n">
        <v>25</v>
      </c>
      <c r="I991" s="22" t="n">
        <v>879.04</v>
      </c>
      <c r="J991" s="23" t="n">
        <v>0</v>
      </c>
      <c r="K991" s="24" t="n">
        <v>21976</v>
      </c>
      <c r="L991" s="24" t="n">
        <v>16157.83</v>
      </c>
      <c r="M991" s="24" t="n">
        <v>5818.17</v>
      </c>
    </row>
    <row r="992">
      <c r="A992" s="20" t="inlineStr">
        <is>
          <t>ORD-20240991</t>
        </is>
      </c>
      <c r="B992" s="21" t="n">
        <v>45906</v>
      </c>
      <c r="C992" s="20" t="inlineStr">
        <is>
          <t>South</t>
        </is>
      </c>
      <c r="D992" s="20" t="inlineStr">
        <is>
          <t>Electronics</t>
        </is>
      </c>
      <c r="E992" s="20" t="inlineStr">
        <is>
          <t>Monitor 27in</t>
        </is>
      </c>
      <c r="F992" s="20" t="inlineStr">
        <is>
          <t>Consumer</t>
        </is>
      </c>
      <c r="G992" s="20" t="inlineStr">
        <is>
          <t>Walk-in Delhi</t>
        </is>
      </c>
      <c r="H992" s="20" t="n">
        <v>11</v>
      </c>
      <c r="I992" s="22" t="n">
        <v>44556.64</v>
      </c>
      <c r="J992" s="23" t="n">
        <v>0.05</v>
      </c>
      <c r="K992" s="24" t="n">
        <v>465616.89</v>
      </c>
      <c r="L992" s="24" t="n">
        <v>375932.19</v>
      </c>
      <c r="M992" s="24" t="n">
        <v>89684.7</v>
      </c>
    </row>
    <row r="993">
      <c r="A993" s="20" t="inlineStr">
        <is>
          <t>ORD-20240992</t>
        </is>
      </c>
      <c r="B993" s="21" t="n">
        <v>45906</v>
      </c>
      <c r="C993" s="20" t="inlineStr">
        <is>
          <t>East</t>
        </is>
      </c>
      <c r="D993" s="20" t="inlineStr">
        <is>
          <t>Office Supplies</t>
        </is>
      </c>
      <c r="E993" s="20" t="inlineStr">
        <is>
          <t>A4 Paper Ream</t>
        </is>
      </c>
      <c r="F993" s="20" t="inlineStr">
        <is>
          <t>Enterprise</t>
        </is>
      </c>
      <c r="G993" s="20" t="inlineStr">
        <is>
          <t>Infosys Ltd</t>
        </is>
      </c>
      <c r="H993" s="20" t="n">
        <v>20</v>
      </c>
      <c r="I993" s="22" t="n">
        <v>571.3099999999999</v>
      </c>
      <c r="J993" s="23" t="n">
        <v>0.12</v>
      </c>
      <c r="K993" s="24" t="n">
        <v>10055.06</v>
      </c>
      <c r="L993" s="24" t="n">
        <v>7678.53</v>
      </c>
      <c r="M993" s="24" t="n">
        <v>2376.53</v>
      </c>
    </row>
    <row r="994">
      <c r="A994" s="20" t="inlineStr">
        <is>
          <t>ORD-20240993</t>
        </is>
      </c>
      <c r="B994" s="21" t="n">
        <v>45907</v>
      </c>
      <c r="C994" s="20" t="inlineStr">
        <is>
          <t>South</t>
        </is>
      </c>
      <c r="D994" s="20" t="inlineStr">
        <is>
          <t>Electronics</t>
        </is>
      </c>
      <c r="E994" s="20" t="inlineStr">
        <is>
          <t>Keyboard Mech</t>
        </is>
      </c>
      <c r="F994" s="20" t="inlineStr">
        <is>
          <t>Government</t>
        </is>
      </c>
      <c r="G994" s="20" t="inlineStr">
        <is>
          <t>Delhi NDMC</t>
        </is>
      </c>
      <c r="H994" s="20" t="n">
        <v>23</v>
      </c>
      <c r="I994" s="22" t="n">
        <v>28821.85</v>
      </c>
      <c r="J994" s="23" t="n">
        <v>0.05</v>
      </c>
      <c r="K994" s="24" t="n">
        <v>629757.42</v>
      </c>
      <c r="L994" s="24" t="n">
        <v>506662.64</v>
      </c>
      <c r="M994" s="24" t="n">
        <v>123094.78</v>
      </c>
    </row>
    <row r="995">
      <c r="A995" s="20" t="inlineStr">
        <is>
          <t>ORD-20240994</t>
        </is>
      </c>
      <c r="B995" s="21" t="n">
        <v>45908</v>
      </c>
      <c r="C995" s="20" t="inlineStr">
        <is>
          <t>South</t>
        </is>
      </c>
      <c r="D995" s="20" t="inlineStr">
        <is>
          <t>Office Supplies</t>
        </is>
      </c>
      <c r="E995" s="20" t="inlineStr">
        <is>
          <t>A4 Paper Ream</t>
        </is>
      </c>
      <c r="F995" s="20" t="inlineStr">
        <is>
          <t>Consumer</t>
        </is>
      </c>
      <c r="G995" s="20" t="inlineStr">
        <is>
          <t>Retail Counter</t>
        </is>
      </c>
      <c r="H995" s="20" t="n">
        <v>15</v>
      </c>
      <c r="I995" s="22" t="n">
        <v>3307.72</v>
      </c>
      <c r="J995" s="23" t="n">
        <v>0</v>
      </c>
      <c r="K995" s="24" t="n">
        <v>49615.8</v>
      </c>
      <c r="L995" s="24" t="n">
        <v>30190.53</v>
      </c>
      <c r="M995" s="24" t="n">
        <v>19425.27</v>
      </c>
    </row>
    <row r="996">
      <c r="A996" s="20" t="inlineStr">
        <is>
          <t>ORD-20240995</t>
        </is>
      </c>
      <c r="B996" s="21" t="n">
        <v>45908</v>
      </c>
      <c r="C996" s="20" t="inlineStr">
        <is>
          <t>West</t>
        </is>
      </c>
      <c r="D996" s="20" t="inlineStr">
        <is>
          <t>Home &amp; Kitchen</t>
        </is>
      </c>
      <c r="E996" s="20" t="inlineStr">
        <is>
          <t>Coffee Maker</t>
        </is>
      </c>
      <c r="F996" s="20" t="inlineStr">
        <is>
          <t>Government</t>
        </is>
      </c>
      <c r="G996" s="20" t="inlineStr">
        <is>
          <t>Railways Zone W</t>
        </is>
      </c>
      <c r="H996" s="20" t="n">
        <v>25</v>
      </c>
      <c r="I996" s="22" t="n">
        <v>10855.01</v>
      </c>
      <c r="J996" s="23" t="n">
        <v>0</v>
      </c>
      <c r="K996" s="24" t="n">
        <v>271375.25</v>
      </c>
      <c r="L996" s="24" t="n">
        <v>181697.35</v>
      </c>
      <c r="M996" s="24" t="n">
        <v>89677.89999999999</v>
      </c>
    </row>
    <row r="997">
      <c r="A997" s="20" t="inlineStr">
        <is>
          <t>ORD-20240996</t>
        </is>
      </c>
      <c r="B997" s="21" t="n">
        <v>45909</v>
      </c>
      <c r="C997" s="20" t="inlineStr">
        <is>
          <t>East</t>
        </is>
      </c>
      <c r="D997" s="20" t="inlineStr">
        <is>
          <t>Home &amp; Kitchen</t>
        </is>
      </c>
      <c r="E997" s="20" t="inlineStr">
        <is>
          <t>Water Purifier</t>
        </is>
      </c>
      <c r="F997" s="20" t="inlineStr">
        <is>
          <t>Government</t>
        </is>
      </c>
      <c r="G997" s="20" t="inlineStr">
        <is>
          <t>Railways Zone W</t>
        </is>
      </c>
      <c r="H997" s="20" t="n">
        <v>14</v>
      </c>
      <c r="I997" s="22" t="n">
        <v>23017.65</v>
      </c>
      <c r="J997" s="23" t="n">
        <v>0</v>
      </c>
      <c r="K997" s="24" t="n">
        <v>322247.1</v>
      </c>
      <c r="L997" s="24" t="n">
        <v>199503.22</v>
      </c>
      <c r="M997" s="24" t="n">
        <v>122743.88</v>
      </c>
    </row>
    <row r="998">
      <c r="A998" s="20" t="inlineStr">
        <is>
          <t>ORD-20240997</t>
        </is>
      </c>
      <c r="B998" s="21" t="n">
        <v>45909</v>
      </c>
      <c r="C998" s="20" t="inlineStr">
        <is>
          <t>South</t>
        </is>
      </c>
      <c r="D998" s="20" t="inlineStr">
        <is>
          <t>Electronics</t>
        </is>
      </c>
      <c r="E998" s="20" t="inlineStr">
        <is>
          <t>Wireless Mouse</t>
        </is>
      </c>
      <c r="F998" s="20" t="inlineStr">
        <is>
          <t>Enterprise</t>
        </is>
      </c>
      <c r="G998" s="20" t="inlineStr">
        <is>
          <t>L&amp;T Infotech</t>
        </is>
      </c>
      <c r="H998" s="20" t="n">
        <v>12</v>
      </c>
      <c r="I998" s="22" t="n">
        <v>3891.91</v>
      </c>
      <c r="J998" s="23" t="n">
        <v>0</v>
      </c>
      <c r="K998" s="24" t="n">
        <v>46702.92</v>
      </c>
      <c r="L998" s="24" t="n">
        <v>32851.26</v>
      </c>
      <c r="M998" s="24" t="n">
        <v>13851.66</v>
      </c>
    </row>
    <row r="999">
      <c r="A999" s="20" t="inlineStr">
        <is>
          <t>ORD-20240998</t>
        </is>
      </c>
      <c r="B999" s="21" t="n">
        <v>45910</v>
      </c>
      <c r="C999" s="20" t="inlineStr">
        <is>
          <t>East</t>
        </is>
      </c>
      <c r="D999" s="20" t="inlineStr">
        <is>
          <t>Office Supplies</t>
        </is>
      </c>
      <c r="E999" s="20" t="inlineStr">
        <is>
          <t>Whiteboard Kit</t>
        </is>
      </c>
      <c r="F999" s="20" t="inlineStr">
        <is>
          <t>Government</t>
        </is>
      </c>
      <c r="G999" s="20" t="inlineStr">
        <is>
          <t>State Health UP</t>
        </is>
      </c>
      <c r="H999" s="20" t="n">
        <v>3</v>
      </c>
      <c r="I999" s="22" t="n">
        <v>2113.23</v>
      </c>
      <c r="J999" s="23" t="n">
        <v>0.12</v>
      </c>
      <c r="K999" s="24" t="n">
        <v>5578.93</v>
      </c>
      <c r="L999" s="24" t="n">
        <v>4557.87</v>
      </c>
      <c r="M999" s="24" t="n">
        <v>1021.06</v>
      </c>
    </row>
    <row r="1000">
      <c r="A1000" s="20" t="inlineStr">
        <is>
          <t>ORD-20240999</t>
        </is>
      </c>
      <c r="B1000" s="21" t="n">
        <v>45910</v>
      </c>
      <c r="C1000" s="20" t="inlineStr">
        <is>
          <t>South</t>
        </is>
      </c>
      <c r="D1000" s="20" t="inlineStr">
        <is>
          <t>Home &amp; Kitchen</t>
        </is>
      </c>
      <c r="E1000" s="20" t="inlineStr">
        <is>
          <t>Mixer Grinder</t>
        </is>
      </c>
      <c r="F1000" s="20" t="inlineStr">
        <is>
          <t>Government</t>
        </is>
      </c>
      <c r="G1000" s="20" t="inlineStr">
        <is>
          <t>MH Education Dept</t>
        </is>
      </c>
      <c r="H1000" s="20" t="n">
        <v>11</v>
      </c>
      <c r="I1000" s="22" t="n">
        <v>27796.12</v>
      </c>
      <c r="J1000" s="23" t="n">
        <v>0.12</v>
      </c>
      <c r="K1000" s="24" t="n">
        <v>269066.44</v>
      </c>
      <c r="L1000" s="24" t="n">
        <v>194815.31</v>
      </c>
      <c r="M1000" s="24" t="n">
        <v>74251.13</v>
      </c>
    </row>
    <row r="1001">
      <c r="A1001" s="20" t="inlineStr">
        <is>
          <t>ORD-20241000</t>
        </is>
      </c>
      <c r="B1001" s="21" t="n">
        <v>45911</v>
      </c>
      <c r="C1001" s="20" t="inlineStr">
        <is>
          <t>South</t>
        </is>
      </c>
      <c r="D1001" s="20" t="inlineStr">
        <is>
          <t>Electronics</t>
        </is>
      </c>
      <c r="E1001" s="20" t="inlineStr">
        <is>
          <t>Wireless Mouse</t>
        </is>
      </c>
      <c r="F1001" s="20" t="inlineStr">
        <is>
          <t>Consumer</t>
        </is>
      </c>
      <c r="G1001" s="20" t="inlineStr">
        <is>
          <t>App User North</t>
        </is>
      </c>
      <c r="H1001" s="20" t="n">
        <v>25</v>
      </c>
      <c r="I1001" s="22" t="n">
        <v>70334.32000000001</v>
      </c>
      <c r="J1001" s="23" t="n">
        <v>0.05</v>
      </c>
      <c r="K1001" s="24" t="n">
        <v>1670440.1</v>
      </c>
      <c r="L1001" s="24" t="n">
        <v>1261839.66</v>
      </c>
      <c r="M1001" s="24" t="n">
        <v>408600.44</v>
      </c>
    </row>
    <row r="1002">
      <c r="A1002" s="20" t="inlineStr">
        <is>
          <t>ORD-20241001</t>
        </is>
      </c>
      <c r="B1002" s="21" t="n">
        <v>45911</v>
      </c>
      <c r="C1002" s="20" t="inlineStr">
        <is>
          <t>South</t>
        </is>
      </c>
      <c r="D1002" s="20" t="inlineStr">
        <is>
          <t>Furniture</t>
        </is>
      </c>
      <c r="E1002" s="20" t="inlineStr">
        <is>
          <t>Filing Cabinet</t>
        </is>
      </c>
      <c r="F1002" s="20" t="inlineStr">
        <is>
          <t>SMB</t>
        </is>
      </c>
      <c r="G1002" s="20" t="inlineStr">
        <is>
          <t>SwiftPrint</t>
        </is>
      </c>
      <c r="H1002" s="20" t="n">
        <v>1</v>
      </c>
      <c r="I1002" s="22" t="n">
        <v>17768.61</v>
      </c>
      <c r="J1002" s="23" t="n">
        <v>0.15</v>
      </c>
      <c r="K1002" s="24" t="n">
        <v>15103.32</v>
      </c>
      <c r="L1002" s="24" t="n">
        <v>10320.72</v>
      </c>
      <c r="M1002" s="24" t="n">
        <v>4782.6</v>
      </c>
    </row>
    <row r="1003">
      <c r="A1003" s="20" t="inlineStr">
        <is>
          <t>ORD-20241002</t>
        </is>
      </c>
      <c r="B1003" s="21" t="n">
        <v>45911</v>
      </c>
      <c r="C1003" s="20" t="inlineStr">
        <is>
          <t>Central</t>
        </is>
      </c>
      <c r="D1003" s="20" t="inlineStr">
        <is>
          <t>Electronics</t>
        </is>
      </c>
      <c r="E1003" s="20" t="inlineStr">
        <is>
          <t>Laptop Pro 14</t>
        </is>
      </c>
      <c r="F1003" s="20" t="inlineStr">
        <is>
          <t>SMB</t>
        </is>
      </c>
      <c r="G1003" s="20" t="inlineStr">
        <is>
          <t>CityCare Clinics</t>
        </is>
      </c>
      <c r="H1003" s="20" t="n">
        <v>21</v>
      </c>
      <c r="I1003" s="22" t="n">
        <v>11054.73</v>
      </c>
      <c r="J1003" s="23" t="n">
        <v>0</v>
      </c>
      <c r="K1003" s="24" t="n">
        <v>232149.33</v>
      </c>
      <c r="L1003" s="24" t="n">
        <v>132294.68</v>
      </c>
      <c r="M1003" s="24" t="n">
        <v>99854.64999999999</v>
      </c>
    </row>
    <row r="1004">
      <c r="A1004" s="20" t="inlineStr">
        <is>
          <t>ORD-20241003</t>
        </is>
      </c>
      <c r="B1004" s="21" t="n">
        <v>45912</v>
      </c>
      <c r="C1004" s="20" t="inlineStr">
        <is>
          <t>West</t>
        </is>
      </c>
      <c r="D1004" s="20" t="inlineStr">
        <is>
          <t>Electronics</t>
        </is>
      </c>
      <c r="E1004" s="20" t="inlineStr">
        <is>
          <t>Monitor 27in</t>
        </is>
      </c>
      <c r="F1004" s="20" t="inlineStr">
        <is>
          <t>Consumer</t>
        </is>
      </c>
      <c r="G1004" s="20" t="inlineStr">
        <is>
          <t>Retail Counter</t>
        </is>
      </c>
      <c r="H1004" s="20" t="n">
        <v>15</v>
      </c>
      <c r="I1004" s="22" t="n">
        <v>76604.19</v>
      </c>
      <c r="J1004" s="23" t="n">
        <v>0.12</v>
      </c>
      <c r="K1004" s="24" t="n">
        <v>1011175.31</v>
      </c>
      <c r="L1004" s="24" t="n">
        <v>757579.8199999999</v>
      </c>
      <c r="M1004" s="24" t="n">
        <v>253595.49</v>
      </c>
    </row>
    <row r="1005">
      <c r="A1005" s="20" t="inlineStr">
        <is>
          <t>ORD-20241004</t>
        </is>
      </c>
      <c r="B1005" s="21" t="n">
        <v>45915</v>
      </c>
      <c r="C1005" s="20" t="inlineStr">
        <is>
          <t>Central</t>
        </is>
      </c>
      <c r="D1005" s="20" t="inlineStr">
        <is>
          <t>Apparel</t>
        </is>
      </c>
      <c r="E1005" s="20" t="inlineStr">
        <is>
          <t>Cap Embroidered</t>
        </is>
      </c>
      <c r="F1005" s="20" t="inlineStr">
        <is>
          <t>Enterprise</t>
        </is>
      </c>
      <c r="G1005" s="20" t="inlineStr">
        <is>
          <t>Infosys Ltd</t>
        </is>
      </c>
      <c r="H1005" s="20" t="n">
        <v>1</v>
      </c>
      <c r="I1005" s="22" t="n">
        <v>1501.84</v>
      </c>
      <c r="J1005" s="23" t="n">
        <v>0</v>
      </c>
      <c r="K1005" s="24" t="n">
        <v>1501.84</v>
      </c>
      <c r="L1005" s="24" t="n">
        <v>1015.58</v>
      </c>
      <c r="M1005" s="24" t="n">
        <v>486.26</v>
      </c>
    </row>
    <row r="1006">
      <c r="A1006" s="20" t="inlineStr">
        <is>
          <t>ORD-20241005</t>
        </is>
      </c>
      <c r="B1006" s="21" t="n">
        <v>45916</v>
      </c>
      <c r="C1006" s="20" t="inlineStr">
        <is>
          <t>South</t>
        </is>
      </c>
      <c r="D1006" s="20" t="inlineStr">
        <is>
          <t>Electronics</t>
        </is>
      </c>
      <c r="E1006" s="20" t="inlineStr">
        <is>
          <t>Webcam HD</t>
        </is>
      </c>
      <c r="F1006" s="20" t="inlineStr">
        <is>
          <t>Enterprise</t>
        </is>
      </c>
      <c r="G1006" s="20" t="inlineStr">
        <is>
          <t>TCS Digital</t>
        </is>
      </c>
      <c r="H1006" s="20" t="n">
        <v>23</v>
      </c>
      <c r="I1006" s="22" t="n">
        <v>37659.25</v>
      </c>
      <c r="J1006" s="23" t="n">
        <v>0.15</v>
      </c>
      <c r="K1006" s="24" t="n">
        <v>736238.34</v>
      </c>
      <c r="L1006" s="24" t="n">
        <v>580793.1</v>
      </c>
      <c r="M1006" s="24" t="n">
        <v>155445.24</v>
      </c>
    </row>
    <row r="1007">
      <c r="A1007" s="20" t="inlineStr">
        <is>
          <t>ORD-20241006</t>
        </is>
      </c>
      <c r="B1007" s="21" t="n">
        <v>45916</v>
      </c>
      <c r="C1007" s="20" t="inlineStr">
        <is>
          <t>West</t>
        </is>
      </c>
      <c r="D1007" s="20" t="inlineStr">
        <is>
          <t>Office Supplies</t>
        </is>
      </c>
      <c r="E1007" s="20" t="inlineStr">
        <is>
          <t>Gel Pen Pack</t>
        </is>
      </c>
      <c r="F1007" s="20" t="inlineStr">
        <is>
          <t>SMB</t>
        </is>
      </c>
      <c r="G1007" s="20" t="inlineStr">
        <is>
          <t>SwiftPrint</t>
        </is>
      </c>
      <c r="H1007" s="20" t="n">
        <v>22</v>
      </c>
      <c r="I1007" s="22" t="n">
        <v>542.84</v>
      </c>
      <c r="J1007" s="23" t="n">
        <v>0.2</v>
      </c>
      <c r="K1007" s="24" t="n">
        <v>9553.98</v>
      </c>
      <c r="L1007" s="24" t="n">
        <v>8115.6</v>
      </c>
      <c r="M1007" s="24" t="n">
        <v>1438.38</v>
      </c>
    </row>
    <row r="1008">
      <c r="A1008" s="20" t="inlineStr">
        <is>
          <t>ORD-20241007</t>
        </is>
      </c>
      <c r="B1008" s="21" t="n">
        <v>45916</v>
      </c>
      <c r="C1008" s="20" t="inlineStr">
        <is>
          <t>Central</t>
        </is>
      </c>
      <c r="D1008" s="20" t="inlineStr">
        <is>
          <t>Office Supplies</t>
        </is>
      </c>
      <c r="E1008" s="20" t="inlineStr">
        <is>
          <t>Gel Pen Pack</t>
        </is>
      </c>
      <c r="F1008" s="20" t="inlineStr">
        <is>
          <t>Government</t>
        </is>
      </c>
      <c r="G1008" s="20" t="inlineStr">
        <is>
          <t>Municipal Corp Hyd</t>
        </is>
      </c>
      <c r="H1008" s="20" t="n">
        <v>24</v>
      </c>
      <c r="I1008" s="22" t="n">
        <v>2229.91</v>
      </c>
      <c r="J1008" s="23" t="n">
        <v>0.15</v>
      </c>
      <c r="K1008" s="24" t="n">
        <v>45490.16</v>
      </c>
      <c r="L1008" s="24" t="n">
        <v>39380.33</v>
      </c>
      <c r="M1008" s="24" t="n">
        <v>6109.83</v>
      </c>
    </row>
    <row r="1009">
      <c r="A1009" s="20" t="inlineStr">
        <is>
          <t>ORD-20241008</t>
        </is>
      </c>
      <c r="B1009" s="21" t="n">
        <v>45917</v>
      </c>
      <c r="C1009" s="20" t="inlineStr">
        <is>
          <t>South</t>
        </is>
      </c>
      <c r="D1009" s="20" t="inlineStr">
        <is>
          <t>Electronics</t>
        </is>
      </c>
      <c r="E1009" s="20" t="inlineStr">
        <is>
          <t>Laptop Pro 14</t>
        </is>
      </c>
      <c r="F1009" s="20" t="inlineStr">
        <is>
          <t>Government</t>
        </is>
      </c>
      <c r="G1009" s="20" t="inlineStr">
        <is>
          <t>MH Education Dept</t>
        </is>
      </c>
      <c r="H1009" s="20" t="n">
        <v>23</v>
      </c>
      <c r="I1009" s="22" t="n">
        <v>63319.42</v>
      </c>
      <c r="J1009" s="23" t="n">
        <v>0.12</v>
      </c>
      <c r="K1009" s="24" t="n">
        <v>1281585.06</v>
      </c>
      <c r="L1009" s="24" t="n">
        <v>836818.46</v>
      </c>
      <c r="M1009" s="24" t="n">
        <v>444766.6</v>
      </c>
    </row>
    <row r="1010">
      <c r="A1010" s="20" t="inlineStr">
        <is>
          <t>ORD-20241009</t>
        </is>
      </c>
      <c r="B1010" s="21" t="n">
        <v>45917</v>
      </c>
      <c r="C1010" s="20" t="inlineStr">
        <is>
          <t>North</t>
        </is>
      </c>
      <c r="D1010" s="20" t="inlineStr">
        <is>
          <t>Office Supplies</t>
        </is>
      </c>
      <c r="E1010" s="20" t="inlineStr">
        <is>
          <t>Stapler Heavy</t>
        </is>
      </c>
      <c r="F1010" s="20" t="inlineStr">
        <is>
          <t>Enterprise</t>
        </is>
      </c>
      <c r="G1010" s="20" t="inlineStr">
        <is>
          <t>Infosys Ltd</t>
        </is>
      </c>
      <c r="H1010" s="20" t="n">
        <v>14</v>
      </c>
      <c r="I1010" s="22" t="n">
        <v>3478.39</v>
      </c>
      <c r="J1010" s="23" t="n">
        <v>0</v>
      </c>
      <c r="K1010" s="24" t="n">
        <v>48697.46</v>
      </c>
      <c r="L1010" s="24" t="n">
        <v>34311.3</v>
      </c>
      <c r="M1010" s="24" t="n">
        <v>14386.16</v>
      </c>
    </row>
    <row r="1011">
      <c r="A1011" s="20" t="inlineStr">
        <is>
          <t>ORD-20241010</t>
        </is>
      </c>
      <c r="B1011" s="21" t="n">
        <v>45918</v>
      </c>
      <c r="C1011" s="20" t="inlineStr">
        <is>
          <t>East</t>
        </is>
      </c>
      <c r="D1011" s="20" t="inlineStr">
        <is>
          <t>Home &amp; Kitchen</t>
        </is>
      </c>
      <c r="E1011" s="20" t="inlineStr">
        <is>
          <t>Air Fryer</t>
        </is>
      </c>
      <c r="F1011" s="20" t="inlineStr">
        <is>
          <t>Government</t>
        </is>
      </c>
      <c r="G1011" s="20" t="inlineStr">
        <is>
          <t>MH Education Dept</t>
        </is>
      </c>
      <c r="H1011" s="20" t="n">
        <v>2</v>
      </c>
      <c r="I1011" s="22" t="n">
        <v>7600.2</v>
      </c>
      <c r="J1011" s="23" t="n">
        <v>0.12</v>
      </c>
      <c r="K1011" s="24" t="n">
        <v>13376.35</v>
      </c>
      <c r="L1011" s="24" t="n">
        <v>8765.719999999999</v>
      </c>
      <c r="M1011" s="24" t="n">
        <v>4610.63</v>
      </c>
    </row>
    <row r="1012">
      <c r="A1012" s="20" t="inlineStr">
        <is>
          <t>ORD-20241011</t>
        </is>
      </c>
      <c r="B1012" s="21" t="n">
        <v>45919</v>
      </c>
      <c r="C1012" s="20" t="inlineStr">
        <is>
          <t>East</t>
        </is>
      </c>
      <c r="D1012" s="20" t="inlineStr">
        <is>
          <t>Electronics</t>
        </is>
      </c>
      <c r="E1012" s="20" t="inlineStr">
        <is>
          <t>Wireless Mouse</t>
        </is>
      </c>
      <c r="F1012" s="20" t="inlineStr">
        <is>
          <t>Government</t>
        </is>
      </c>
      <c r="G1012" s="20" t="inlineStr">
        <is>
          <t>Municipal Corp Hyd</t>
        </is>
      </c>
      <c r="H1012" s="20" t="n">
        <v>15</v>
      </c>
      <c r="I1012" s="22" t="n">
        <v>13340.8</v>
      </c>
      <c r="J1012" s="23" t="n">
        <v>0.2</v>
      </c>
      <c r="K1012" s="24" t="n">
        <v>160089.6</v>
      </c>
      <c r="L1012" s="24" t="n">
        <v>116495.13</v>
      </c>
      <c r="M1012" s="24" t="n">
        <v>43594.47</v>
      </c>
    </row>
    <row r="1013">
      <c r="A1013" s="20" t="inlineStr">
        <is>
          <t>ORD-20241012</t>
        </is>
      </c>
      <c r="B1013" s="21" t="n">
        <v>45919</v>
      </c>
      <c r="C1013" s="20" t="inlineStr">
        <is>
          <t>West</t>
        </is>
      </c>
      <c r="D1013" s="20" t="inlineStr">
        <is>
          <t>Home &amp; Kitchen</t>
        </is>
      </c>
      <c r="E1013" s="20" t="inlineStr">
        <is>
          <t>Vacuum Robot</t>
        </is>
      </c>
      <c r="F1013" s="20" t="inlineStr">
        <is>
          <t>SMB</t>
        </is>
      </c>
      <c r="G1013" s="20" t="inlineStr">
        <is>
          <t>Nova Logistics</t>
        </is>
      </c>
      <c r="H1013" s="20" t="n">
        <v>21</v>
      </c>
      <c r="I1013" s="22" t="n">
        <v>22808.17</v>
      </c>
      <c r="J1013" s="23" t="n">
        <v>0.1</v>
      </c>
      <c r="K1013" s="24" t="n">
        <v>431074.41</v>
      </c>
      <c r="L1013" s="24" t="n">
        <v>309903.13</v>
      </c>
      <c r="M1013" s="24" t="n">
        <v>121171.28</v>
      </c>
    </row>
    <row r="1014">
      <c r="A1014" s="20" t="inlineStr">
        <is>
          <t>ORD-20241013</t>
        </is>
      </c>
      <c r="B1014" s="21" t="n">
        <v>45919</v>
      </c>
      <c r="C1014" s="20" t="inlineStr">
        <is>
          <t>South</t>
        </is>
      </c>
      <c r="D1014" s="20" t="inlineStr">
        <is>
          <t>Apparel</t>
        </is>
      </c>
      <c r="E1014" s="20" t="inlineStr">
        <is>
          <t>Cap Embroidered</t>
        </is>
      </c>
      <c r="F1014" s="20" t="inlineStr">
        <is>
          <t>Consumer</t>
        </is>
      </c>
      <c r="G1014" s="20" t="inlineStr">
        <is>
          <t>Walk-in Delhi</t>
        </is>
      </c>
      <c r="H1014" s="20" t="n">
        <v>14</v>
      </c>
      <c r="I1014" s="22" t="n">
        <v>3238.02</v>
      </c>
      <c r="J1014" s="23" t="n">
        <v>0.2</v>
      </c>
      <c r="K1014" s="24" t="n">
        <v>36265.82</v>
      </c>
      <c r="L1014" s="24" t="n">
        <v>32904.15</v>
      </c>
      <c r="M1014" s="24" t="n">
        <v>3361.67</v>
      </c>
    </row>
    <row r="1015">
      <c r="A1015" s="20" t="inlineStr">
        <is>
          <t>ORD-20241014</t>
        </is>
      </c>
      <c r="B1015" s="21" t="n">
        <v>45919</v>
      </c>
      <c r="C1015" s="20" t="inlineStr">
        <is>
          <t>South</t>
        </is>
      </c>
      <c r="D1015" s="20" t="inlineStr">
        <is>
          <t>Apparel</t>
        </is>
      </c>
      <c r="E1015" s="20" t="inlineStr">
        <is>
          <t>Safety Vest</t>
        </is>
      </c>
      <c r="F1015" s="20" t="inlineStr">
        <is>
          <t>SMB</t>
        </is>
      </c>
      <c r="G1015" s="20" t="inlineStr">
        <is>
          <t>BrightRetail Co</t>
        </is>
      </c>
      <c r="H1015" s="20" t="n">
        <v>5</v>
      </c>
      <c r="I1015" s="22" t="n">
        <v>1167.31</v>
      </c>
      <c r="J1015" s="23" t="n">
        <v>0.05</v>
      </c>
      <c r="K1015" s="24" t="n">
        <v>5544.72</v>
      </c>
      <c r="L1015" s="24" t="n">
        <v>4023.07</v>
      </c>
      <c r="M1015" s="24" t="n">
        <v>1521.65</v>
      </c>
    </row>
    <row r="1016">
      <c r="A1016" s="20" t="inlineStr">
        <is>
          <t>ORD-20241015</t>
        </is>
      </c>
      <c r="B1016" s="21" t="n">
        <v>45920</v>
      </c>
      <c r="C1016" s="20" t="inlineStr">
        <is>
          <t>North</t>
        </is>
      </c>
      <c r="D1016" s="20" t="inlineStr">
        <is>
          <t>Furniture</t>
        </is>
      </c>
      <c r="E1016" s="20" t="inlineStr">
        <is>
          <t>Conference Table</t>
        </is>
      </c>
      <c r="F1016" s="20" t="inlineStr">
        <is>
          <t>SMB</t>
        </is>
      </c>
      <c r="G1016" s="20" t="inlineStr">
        <is>
          <t>SwiftPrint</t>
        </is>
      </c>
      <c r="H1016" s="20" t="n">
        <v>1</v>
      </c>
      <c r="I1016" s="22" t="n">
        <v>34732.89</v>
      </c>
      <c r="J1016" s="23" t="n">
        <v>0.1</v>
      </c>
      <c r="K1016" s="24" t="n">
        <v>31259.6</v>
      </c>
      <c r="L1016" s="24" t="n">
        <v>20632.99</v>
      </c>
      <c r="M1016" s="24" t="n">
        <v>10626.61</v>
      </c>
    </row>
    <row r="1017">
      <c r="A1017" s="20" t="inlineStr">
        <is>
          <t>ORD-20241016</t>
        </is>
      </c>
      <c r="B1017" s="21" t="n">
        <v>45922</v>
      </c>
      <c r="C1017" s="20" t="inlineStr">
        <is>
          <t>West</t>
        </is>
      </c>
      <c r="D1017" s="20" t="inlineStr">
        <is>
          <t>Apparel</t>
        </is>
      </c>
      <c r="E1017" s="20" t="inlineStr">
        <is>
          <t>Polo Shirt</t>
        </is>
      </c>
      <c r="F1017" s="20" t="inlineStr">
        <is>
          <t>SMB</t>
        </is>
      </c>
      <c r="G1017" s="20" t="inlineStr">
        <is>
          <t>BrightRetail Co</t>
        </is>
      </c>
      <c r="H1017" s="20" t="n">
        <v>8</v>
      </c>
      <c r="I1017" s="22" t="n">
        <v>777.16</v>
      </c>
      <c r="J1017" s="23" t="n">
        <v>0.05</v>
      </c>
      <c r="K1017" s="24" t="n">
        <v>5906.42</v>
      </c>
      <c r="L1017" s="24" t="n">
        <v>3930.45</v>
      </c>
      <c r="M1017" s="24" t="n">
        <v>1975.97</v>
      </c>
    </row>
    <row r="1018">
      <c r="A1018" s="20" t="inlineStr">
        <is>
          <t>ORD-20241017</t>
        </is>
      </c>
      <c r="B1018" s="21" t="n">
        <v>45924</v>
      </c>
      <c r="C1018" s="20" t="inlineStr">
        <is>
          <t>West</t>
        </is>
      </c>
      <c r="D1018" s="20" t="inlineStr">
        <is>
          <t>Apparel</t>
        </is>
      </c>
      <c r="E1018" s="20" t="inlineStr">
        <is>
          <t>Hoodie Soft</t>
        </is>
      </c>
      <c r="F1018" s="20" t="inlineStr">
        <is>
          <t>Government</t>
        </is>
      </c>
      <c r="G1018" s="20" t="inlineStr">
        <is>
          <t>Railways Zone W</t>
        </is>
      </c>
      <c r="H1018" s="20" t="n">
        <v>4</v>
      </c>
      <c r="I1018" s="22" t="n">
        <v>2202.65</v>
      </c>
      <c r="J1018" s="23" t="n">
        <v>0.1</v>
      </c>
      <c r="K1018" s="24" t="n">
        <v>7929.54</v>
      </c>
      <c r="L1018" s="24" t="n">
        <v>5194.12</v>
      </c>
      <c r="M1018" s="24" t="n">
        <v>2735.42</v>
      </c>
    </row>
    <row r="1019">
      <c r="A1019" s="20" t="inlineStr">
        <is>
          <t>ORD-20241018</t>
        </is>
      </c>
      <c r="B1019" s="21" t="n">
        <v>45925</v>
      </c>
      <c r="C1019" s="20" t="inlineStr">
        <is>
          <t>East</t>
        </is>
      </c>
      <c r="D1019" s="20" t="inlineStr">
        <is>
          <t>Furniture</t>
        </is>
      </c>
      <c r="E1019" s="20" t="inlineStr">
        <is>
          <t>Conference Table</t>
        </is>
      </c>
      <c r="F1019" s="20" t="inlineStr">
        <is>
          <t>Consumer</t>
        </is>
      </c>
      <c r="G1019" s="20" t="inlineStr">
        <is>
          <t>Walk-in Delhi</t>
        </is>
      </c>
      <c r="H1019" s="20" t="n">
        <v>5</v>
      </c>
      <c r="I1019" s="22" t="n">
        <v>17507.64</v>
      </c>
      <c r="J1019" s="23" t="n">
        <v>0.15</v>
      </c>
      <c r="K1019" s="24" t="n">
        <v>74407.47</v>
      </c>
      <c r="L1019" s="24" t="n">
        <v>67398.22</v>
      </c>
      <c r="M1019" s="24" t="n">
        <v>7009.25</v>
      </c>
    </row>
    <row r="1020">
      <c r="A1020" s="20" t="inlineStr">
        <is>
          <t>ORD-20241019</t>
        </is>
      </c>
      <c r="B1020" s="21" t="n">
        <v>45925</v>
      </c>
      <c r="C1020" s="20" t="inlineStr">
        <is>
          <t>North</t>
        </is>
      </c>
      <c r="D1020" s="20" t="inlineStr">
        <is>
          <t>Electronics</t>
        </is>
      </c>
      <c r="E1020" s="20" t="inlineStr">
        <is>
          <t>Wireless Mouse</t>
        </is>
      </c>
      <c r="F1020" s="20" t="inlineStr">
        <is>
          <t>Consumer</t>
        </is>
      </c>
      <c r="G1020" s="20" t="inlineStr">
        <is>
          <t>Retail Counter</t>
        </is>
      </c>
      <c r="H1020" s="20" t="n">
        <v>21</v>
      </c>
      <c r="I1020" s="22" t="n">
        <v>11222.41</v>
      </c>
      <c r="J1020" s="23" t="n">
        <v>0.2</v>
      </c>
      <c r="K1020" s="24" t="n">
        <v>188536.49</v>
      </c>
      <c r="L1020" s="24" t="n">
        <v>134234.44</v>
      </c>
      <c r="M1020" s="24" t="n">
        <v>54302.05</v>
      </c>
    </row>
    <row r="1021">
      <c r="A1021" s="20" t="inlineStr">
        <is>
          <t>ORD-20241020</t>
        </is>
      </c>
      <c r="B1021" s="21" t="n">
        <v>45925</v>
      </c>
      <c r="C1021" s="20" t="inlineStr">
        <is>
          <t>North</t>
        </is>
      </c>
      <c r="D1021" s="20" t="inlineStr">
        <is>
          <t>Apparel</t>
        </is>
      </c>
      <c r="E1021" s="20" t="inlineStr">
        <is>
          <t>Formal Blazer</t>
        </is>
      </c>
      <c r="F1021" s="20" t="inlineStr">
        <is>
          <t>Enterprise</t>
        </is>
      </c>
      <c r="G1021" s="20" t="inlineStr">
        <is>
          <t>Tech Mahindra</t>
        </is>
      </c>
      <c r="H1021" s="20" t="n">
        <v>9</v>
      </c>
      <c r="I1021" s="22" t="n">
        <v>4768.99</v>
      </c>
      <c r="J1021" s="23" t="n">
        <v>0.05</v>
      </c>
      <c r="K1021" s="24" t="n">
        <v>40774.86</v>
      </c>
      <c r="L1021" s="24" t="n">
        <v>27243.57</v>
      </c>
      <c r="M1021" s="24" t="n">
        <v>13531.29</v>
      </c>
    </row>
    <row r="1022">
      <c r="A1022" s="20" t="inlineStr">
        <is>
          <t>ORD-20241021</t>
        </is>
      </c>
      <c r="B1022" s="21" t="n">
        <v>45926</v>
      </c>
      <c r="C1022" s="20" t="inlineStr">
        <is>
          <t>Central</t>
        </is>
      </c>
      <c r="D1022" s="20" t="inlineStr">
        <is>
          <t>Home &amp; Kitchen</t>
        </is>
      </c>
      <c r="E1022" s="20" t="inlineStr">
        <is>
          <t>Coffee Maker</t>
        </is>
      </c>
      <c r="F1022" s="20" t="inlineStr">
        <is>
          <t>SMB</t>
        </is>
      </c>
      <c r="G1022" s="20" t="inlineStr">
        <is>
          <t>GreenFarm Agro</t>
        </is>
      </c>
      <c r="H1022" s="20" t="n">
        <v>10</v>
      </c>
      <c r="I1022" s="22" t="n">
        <v>4787.15</v>
      </c>
      <c r="J1022" s="23" t="n">
        <v>0.1</v>
      </c>
      <c r="K1022" s="24" t="n">
        <v>43084.35</v>
      </c>
      <c r="L1022" s="24" t="n">
        <v>35599.96</v>
      </c>
      <c r="M1022" s="24" t="n">
        <v>7484.39</v>
      </c>
    </row>
    <row r="1023">
      <c r="A1023" s="20" t="inlineStr">
        <is>
          <t>ORD-20241022</t>
        </is>
      </c>
      <c r="B1023" s="21" t="n">
        <v>45926</v>
      </c>
      <c r="C1023" s="20" t="inlineStr">
        <is>
          <t>West</t>
        </is>
      </c>
      <c r="D1023" s="20" t="inlineStr">
        <is>
          <t>Electronics</t>
        </is>
      </c>
      <c r="E1023" s="20" t="inlineStr">
        <is>
          <t>Keyboard Mech</t>
        </is>
      </c>
      <c r="F1023" s="20" t="inlineStr">
        <is>
          <t>Consumer</t>
        </is>
      </c>
      <c r="G1023" s="20" t="inlineStr">
        <is>
          <t>Walk-in Mumbai</t>
        </is>
      </c>
      <c r="H1023" s="20" t="n">
        <v>24</v>
      </c>
      <c r="I1023" s="22" t="n">
        <v>24653.61</v>
      </c>
      <c r="J1023" s="23" t="n">
        <v>0.05</v>
      </c>
      <c r="K1023" s="24" t="n">
        <v>562102.3100000001</v>
      </c>
      <c r="L1023" s="24" t="n">
        <v>330060.32</v>
      </c>
      <c r="M1023" s="24" t="n">
        <v>232041.99</v>
      </c>
    </row>
    <row r="1024">
      <c r="A1024" s="20" t="inlineStr">
        <is>
          <t>ORD-20241023</t>
        </is>
      </c>
      <c r="B1024" s="21" t="n">
        <v>45926</v>
      </c>
      <c r="C1024" s="20" t="inlineStr">
        <is>
          <t>South</t>
        </is>
      </c>
      <c r="D1024" s="20" t="inlineStr">
        <is>
          <t>Office Supplies</t>
        </is>
      </c>
      <c r="E1024" s="20" t="inlineStr">
        <is>
          <t>Whiteboard Kit</t>
        </is>
      </c>
      <c r="F1024" s="20" t="inlineStr">
        <is>
          <t>Enterprise</t>
        </is>
      </c>
      <c r="G1024" s="20" t="inlineStr">
        <is>
          <t>Tech Mahindra</t>
        </is>
      </c>
      <c r="H1024" s="20" t="n">
        <v>16</v>
      </c>
      <c r="I1024" s="22" t="n">
        <v>186.59</v>
      </c>
      <c r="J1024" s="23" t="n">
        <v>0.05</v>
      </c>
      <c r="K1024" s="24" t="n">
        <v>2836.17</v>
      </c>
      <c r="L1024" s="24" t="n">
        <v>1917.3</v>
      </c>
      <c r="M1024" s="24" t="n">
        <v>918.87</v>
      </c>
    </row>
    <row r="1025">
      <c r="A1025" s="20" t="inlineStr">
        <is>
          <t>ORD-20241024</t>
        </is>
      </c>
      <c r="B1025" s="21" t="n">
        <v>45927</v>
      </c>
      <c r="C1025" s="20" t="inlineStr">
        <is>
          <t>Central</t>
        </is>
      </c>
      <c r="D1025" s="20" t="inlineStr">
        <is>
          <t>Home &amp; Kitchen</t>
        </is>
      </c>
      <c r="E1025" s="20" t="inlineStr">
        <is>
          <t>Coffee Maker</t>
        </is>
      </c>
      <c r="F1025" s="20" t="inlineStr">
        <is>
          <t>SMB</t>
        </is>
      </c>
      <c r="G1025" s="20" t="inlineStr">
        <is>
          <t>SwiftPrint</t>
        </is>
      </c>
      <c r="H1025" s="20" t="n">
        <v>17</v>
      </c>
      <c r="I1025" s="22" t="n">
        <v>7918.98</v>
      </c>
      <c r="J1025" s="23" t="n">
        <v>0.12</v>
      </c>
      <c r="K1025" s="24" t="n">
        <v>118467.94</v>
      </c>
      <c r="L1025" s="24" t="n">
        <v>88948.13</v>
      </c>
      <c r="M1025" s="24" t="n">
        <v>29519.81</v>
      </c>
    </row>
    <row r="1026">
      <c r="A1026" s="20" t="inlineStr">
        <is>
          <t>ORD-20241025</t>
        </is>
      </c>
      <c r="B1026" s="21" t="n">
        <v>45927</v>
      </c>
      <c r="C1026" s="20" t="inlineStr">
        <is>
          <t>Central</t>
        </is>
      </c>
      <c r="D1026" s="20" t="inlineStr">
        <is>
          <t>Apparel</t>
        </is>
      </c>
      <c r="E1026" s="20" t="inlineStr">
        <is>
          <t>Formal Blazer</t>
        </is>
      </c>
      <c r="F1026" s="20" t="inlineStr">
        <is>
          <t>Enterprise</t>
        </is>
      </c>
      <c r="G1026" s="20" t="inlineStr">
        <is>
          <t>TCS Digital</t>
        </is>
      </c>
      <c r="H1026" s="20" t="n">
        <v>8</v>
      </c>
      <c r="I1026" s="22" t="n">
        <v>4607.48</v>
      </c>
      <c r="J1026" s="23" t="n">
        <v>0.12</v>
      </c>
      <c r="K1026" s="24" t="n">
        <v>32436.66</v>
      </c>
      <c r="L1026" s="24" t="n">
        <v>28539.28</v>
      </c>
      <c r="M1026" s="24" t="n">
        <v>3897.38</v>
      </c>
    </row>
    <row r="1027">
      <c r="A1027" s="20" t="inlineStr">
        <is>
          <t>ORD-20241026</t>
        </is>
      </c>
      <c r="B1027" s="21" t="n">
        <v>45927</v>
      </c>
      <c r="C1027" s="20" t="inlineStr">
        <is>
          <t>North</t>
        </is>
      </c>
      <c r="D1027" s="20" t="inlineStr">
        <is>
          <t>Electronics</t>
        </is>
      </c>
      <c r="E1027" s="20" t="inlineStr">
        <is>
          <t>Monitor 27in</t>
        </is>
      </c>
      <c r="F1027" s="20" t="inlineStr">
        <is>
          <t>SMB</t>
        </is>
      </c>
      <c r="G1027" s="20" t="inlineStr">
        <is>
          <t>CityCare Clinics</t>
        </is>
      </c>
      <c r="H1027" s="20" t="n">
        <v>10</v>
      </c>
      <c r="I1027" s="22" t="n">
        <v>67034.42</v>
      </c>
      <c r="J1027" s="23" t="n">
        <v>0.2</v>
      </c>
      <c r="K1027" s="24" t="n">
        <v>536275.36</v>
      </c>
      <c r="L1027" s="24" t="n">
        <v>426215.28</v>
      </c>
      <c r="M1027" s="24" t="n">
        <v>110060.08</v>
      </c>
    </row>
    <row r="1028">
      <c r="A1028" s="20" t="inlineStr">
        <is>
          <t>ORD-20241027</t>
        </is>
      </c>
      <c r="B1028" s="21" t="n">
        <v>45929</v>
      </c>
      <c r="C1028" s="20" t="inlineStr">
        <is>
          <t>North</t>
        </is>
      </c>
      <c r="D1028" s="20" t="inlineStr">
        <is>
          <t>Home &amp; Kitchen</t>
        </is>
      </c>
      <c r="E1028" s="20" t="inlineStr">
        <is>
          <t>Water Purifier</t>
        </is>
      </c>
      <c r="F1028" s="20" t="inlineStr">
        <is>
          <t>Consumer</t>
        </is>
      </c>
      <c r="G1028" s="20" t="inlineStr">
        <is>
          <t>Walk-in Mumbai</t>
        </is>
      </c>
      <c r="H1028" s="20" t="n">
        <v>10</v>
      </c>
      <c r="I1028" s="22" t="n">
        <v>4289.03</v>
      </c>
      <c r="J1028" s="23" t="n">
        <v>0.05</v>
      </c>
      <c r="K1028" s="24" t="n">
        <v>40745.78</v>
      </c>
      <c r="L1028" s="24" t="n">
        <v>27731.15</v>
      </c>
      <c r="M1028" s="24" t="n">
        <v>13014.63</v>
      </c>
    </row>
    <row r="1029">
      <c r="A1029" s="20" t="inlineStr">
        <is>
          <t>ORD-20241028</t>
        </is>
      </c>
      <c r="B1029" s="21" t="n">
        <v>45929</v>
      </c>
      <c r="C1029" s="20" t="inlineStr">
        <is>
          <t>South</t>
        </is>
      </c>
      <c r="D1029" s="20" t="inlineStr">
        <is>
          <t>Furniture</t>
        </is>
      </c>
      <c r="E1029" s="20" t="inlineStr">
        <is>
          <t>Bookshelf Oak</t>
        </is>
      </c>
      <c r="F1029" s="20" t="inlineStr">
        <is>
          <t>SMB</t>
        </is>
      </c>
      <c r="G1029" s="20" t="inlineStr">
        <is>
          <t>CityCare Clinics</t>
        </is>
      </c>
      <c r="H1029" s="20" t="n">
        <v>18</v>
      </c>
      <c r="I1029" s="22" t="n">
        <v>11681.7</v>
      </c>
      <c r="J1029" s="23" t="n">
        <v>0.1</v>
      </c>
      <c r="K1029" s="24" t="n">
        <v>189243.54</v>
      </c>
      <c r="L1029" s="24" t="n">
        <v>129064.31</v>
      </c>
      <c r="M1029" s="24" t="n">
        <v>60179.23</v>
      </c>
    </row>
    <row r="1030">
      <c r="A1030" s="20" t="inlineStr">
        <is>
          <t>ORD-20241029</t>
        </is>
      </c>
      <c r="B1030" s="21" t="n">
        <v>45929</v>
      </c>
      <c r="C1030" s="20" t="inlineStr">
        <is>
          <t>South</t>
        </is>
      </c>
      <c r="D1030" s="20" t="inlineStr">
        <is>
          <t>Office Supplies</t>
        </is>
      </c>
      <c r="E1030" s="20" t="inlineStr">
        <is>
          <t>Gel Pen Pack</t>
        </is>
      </c>
      <c r="F1030" s="20" t="inlineStr">
        <is>
          <t>Government</t>
        </is>
      </c>
      <c r="G1030" s="20" t="inlineStr">
        <is>
          <t>State Health UP</t>
        </is>
      </c>
      <c r="H1030" s="20" t="n">
        <v>15</v>
      </c>
      <c r="I1030" s="22" t="n">
        <v>1511.89</v>
      </c>
      <c r="J1030" s="23" t="n">
        <v>0.05</v>
      </c>
      <c r="K1030" s="24" t="n">
        <v>21544.43</v>
      </c>
      <c r="L1030" s="24" t="n">
        <v>16728.8</v>
      </c>
      <c r="M1030" s="24" t="n">
        <v>4815.63</v>
      </c>
    </row>
    <row r="1031">
      <c r="A1031" s="20" t="inlineStr">
        <is>
          <t>ORD-20241030</t>
        </is>
      </c>
      <c r="B1031" s="21" t="n">
        <v>45930</v>
      </c>
      <c r="C1031" s="20" t="inlineStr">
        <is>
          <t>West</t>
        </is>
      </c>
      <c r="D1031" s="20" t="inlineStr">
        <is>
          <t>Office Supplies</t>
        </is>
      </c>
      <c r="E1031" s="20" t="inlineStr">
        <is>
          <t>Whiteboard Kit</t>
        </is>
      </c>
      <c r="F1031" s="20" t="inlineStr">
        <is>
          <t>Consumer</t>
        </is>
      </c>
      <c r="G1031" s="20" t="inlineStr">
        <is>
          <t>App User North</t>
        </is>
      </c>
      <c r="H1031" s="20" t="n">
        <v>9</v>
      </c>
      <c r="I1031" s="22" t="n">
        <v>802.8200000000001</v>
      </c>
      <c r="J1031" s="23" t="n">
        <v>0.05</v>
      </c>
      <c r="K1031" s="24" t="n">
        <v>6864.11</v>
      </c>
      <c r="L1031" s="24" t="n">
        <v>5099.35</v>
      </c>
      <c r="M1031" s="24" t="n">
        <v>1764.76</v>
      </c>
    </row>
    <row r="1032">
      <c r="A1032" s="20" t="inlineStr">
        <is>
          <t>ORD-20241031</t>
        </is>
      </c>
      <c r="B1032" s="21" t="n">
        <v>45930</v>
      </c>
      <c r="C1032" s="20" t="inlineStr">
        <is>
          <t>West</t>
        </is>
      </c>
      <c r="D1032" s="20" t="inlineStr">
        <is>
          <t>Home &amp; Kitchen</t>
        </is>
      </c>
      <c r="E1032" s="20" t="inlineStr">
        <is>
          <t>Air Fryer</t>
        </is>
      </c>
      <c r="F1032" s="20" t="inlineStr">
        <is>
          <t>Consumer</t>
        </is>
      </c>
      <c r="G1032" s="20" t="inlineStr">
        <is>
          <t>App User North</t>
        </is>
      </c>
      <c r="H1032" s="20" t="n">
        <v>20</v>
      </c>
      <c r="I1032" s="22" t="n">
        <v>23890.39</v>
      </c>
      <c r="J1032" s="23" t="n">
        <v>0.05</v>
      </c>
      <c r="K1032" s="24" t="n">
        <v>453917.41</v>
      </c>
      <c r="L1032" s="24" t="n">
        <v>320532.58</v>
      </c>
      <c r="M1032" s="24" t="n">
        <v>133384.83</v>
      </c>
    </row>
    <row r="1033">
      <c r="A1033" s="20" t="inlineStr">
        <is>
          <t>ORD-20241032</t>
        </is>
      </c>
      <c r="B1033" s="21" t="n">
        <v>45930</v>
      </c>
      <c r="C1033" s="20" t="inlineStr">
        <is>
          <t>East</t>
        </is>
      </c>
      <c r="D1033" s="20" t="inlineStr">
        <is>
          <t>Office Supplies</t>
        </is>
      </c>
      <c r="E1033" s="20" t="inlineStr">
        <is>
          <t>Gel Pen Pack</t>
        </is>
      </c>
      <c r="F1033" s="20" t="inlineStr">
        <is>
          <t>Government</t>
        </is>
      </c>
      <c r="G1033" s="20" t="inlineStr">
        <is>
          <t>MH Education Dept</t>
        </is>
      </c>
      <c r="H1033" s="20" t="n">
        <v>12</v>
      </c>
      <c r="I1033" s="22" t="n">
        <v>2842.73</v>
      </c>
      <c r="J1033" s="23" t="n">
        <v>0</v>
      </c>
      <c r="K1033" s="24" t="n">
        <v>34112.76</v>
      </c>
      <c r="L1033" s="24" t="n">
        <v>26146.31</v>
      </c>
      <c r="M1033" s="24" t="n">
        <v>7966.45</v>
      </c>
    </row>
    <row r="1034">
      <c r="A1034" s="20" t="inlineStr">
        <is>
          <t>ORD-20241033</t>
        </is>
      </c>
      <c r="B1034" s="21" t="n">
        <v>45930</v>
      </c>
      <c r="C1034" s="20" t="inlineStr">
        <is>
          <t>North</t>
        </is>
      </c>
      <c r="D1034" s="20" t="inlineStr">
        <is>
          <t>Home &amp; Kitchen</t>
        </is>
      </c>
      <c r="E1034" s="20" t="inlineStr">
        <is>
          <t>Air Fryer</t>
        </is>
      </c>
      <c r="F1034" s="20" t="inlineStr">
        <is>
          <t>Enterprise</t>
        </is>
      </c>
      <c r="G1034" s="20" t="inlineStr">
        <is>
          <t>Infosys Ltd</t>
        </is>
      </c>
      <c r="H1034" s="20" t="n">
        <v>21</v>
      </c>
      <c r="I1034" s="22" t="n">
        <v>1442.53</v>
      </c>
      <c r="J1034" s="23" t="n">
        <v>0.12</v>
      </c>
      <c r="K1034" s="24" t="n">
        <v>26657.95</v>
      </c>
      <c r="L1034" s="24" t="n">
        <v>17383.57</v>
      </c>
      <c r="M1034" s="24" t="n">
        <v>9274.379999999999</v>
      </c>
    </row>
    <row r="1035">
      <c r="A1035" s="20" t="inlineStr">
        <is>
          <t>ORD-20241034</t>
        </is>
      </c>
      <c r="B1035" s="21" t="n">
        <v>45931</v>
      </c>
      <c r="C1035" s="20" t="inlineStr">
        <is>
          <t>East</t>
        </is>
      </c>
      <c r="D1035" s="20" t="inlineStr">
        <is>
          <t>Home &amp; Kitchen</t>
        </is>
      </c>
      <c r="E1035" s="20" t="inlineStr">
        <is>
          <t>Air Fryer</t>
        </is>
      </c>
      <c r="F1035" s="20" t="inlineStr">
        <is>
          <t>SMB</t>
        </is>
      </c>
      <c r="G1035" s="20" t="inlineStr">
        <is>
          <t>CityCare Clinics</t>
        </is>
      </c>
      <c r="H1035" s="20" t="n">
        <v>13</v>
      </c>
      <c r="I1035" s="22" t="n">
        <v>5163.98</v>
      </c>
      <c r="J1035" s="23" t="n">
        <v>0</v>
      </c>
      <c r="K1035" s="24" t="n">
        <v>67131.74000000001</v>
      </c>
      <c r="L1035" s="24" t="n">
        <v>49758.67</v>
      </c>
      <c r="M1035" s="24" t="n">
        <v>17373.07</v>
      </c>
    </row>
    <row r="1036">
      <c r="A1036" s="20" t="inlineStr">
        <is>
          <t>ORD-20241035</t>
        </is>
      </c>
      <c r="B1036" s="21" t="n">
        <v>45931</v>
      </c>
      <c r="C1036" s="20" t="inlineStr">
        <is>
          <t>East</t>
        </is>
      </c>
      <c r="D1036" s="20" t="inlineStr">
        <is>
          <t>Office Supplies</t>
        </is>
      </c>
      <c r="E1036" s="20" t="inlineStr">
        <is>
          <t>Gel Pen Pack</t>
        </is>
      </c>
      <c r="F1036" s="20" t="inlineStr">
        <is>
          <t>Enterprise</t>
        </is>
      </c>
      <c r="G1036" s="20" t="inlineStr">
        <is>
          <t>Tech Mahindra</t>
        </is>
      </c>
      <c r="H1036" s="20" t="n">
        <v>21</v>
      </c>
      <c r="I1036" s="22" t="n">
        <v>631.79</v>
      </c>
      <c r="J1036" s="23" t="n">
        <v>0</v>
      </c>
      <c r="K1036" s="24" t="n">
        <v>13267.59</v>
      </c>
      <c r="L1036" s="24" t="n">
        <v>7819.6</v>
      </c>
      <c r="M1036" s="24" t="n">
        <v>5447.99</v>
      </c>
    </row>
    <row r="1037">
      <c r="A1037" s="20" t="inlineStr">
        <is>
          <t>ORD-20241036</t>
        </is>
      </c>
      <c r="B1037" s="21" t="n">
        <v>45931</v>
      </c>
      <c r="C1037" s="20" t="inlineStr">
        <is>
          <t>East</t>
        </is>
      </c>
      <c r="D1037" s="20" t="inlineStr">
        <is>
          <t>Office Supplies</t>
        </is>
      </c>
      <c r="E1037" s="20" t="inlineStr">
        <is>
          <t>A4 Paper Ream</t>
        </is>
      </c>
      <c r="F1037" s="20" t="inlineStr">
        <is>
          <t>SMB</t>
        </is>
      </c>
      <c r="G1037" s="20" t="inlineStr">
        <is>
          <t>SwiftPrint</t>
        </is>
      </c>
      <c r="H1037" s="20" t="n">
        <v>13</v>
      </c>
      <c r="I1037" s="22" t="n">
        <v>1589.35</v>
      </c>
      <c r="J1037" s="23" t="n">
        <v>0.05</v>
      </c>
      <c r="K1037" s="24" t="n">
        <v>19628.47</v>
      </c>
      <c r="L1037" s="24" t="n">
        <v>15581.77</v>
      </c>
      <c r="M1037" s="24" t="n">
        <v>4046.7</v>
      </c>
    </row>
    <row r="1038">
      <c r="A1038" s="20" t="inlineStr">
        <is>
          <t>ORD-20241037</t>
        </is>
      </c>
      <c r="B1038" s="21" t="n">
        <v>45931</v>
      </c>
      <c r="C1038" s="20" t="inlineStr">
        <is>
          <t>Central</t>
        </is>
      </c>
      <c r="D1038" s="20" t="inlineStr">
        <is>
          <t>Furniture</t>
        </is>
      </c>
      <c r="E1038" s="20" t="inlineStr">
        <is>
          <t>Standing Desk</t>
        </is>
      </c>
      <c r="F1038" s="20" t="inlineStr">
        <is>
          <t>Government</t>
        </is>
      </c>
      <c r="G1038" s="20" t="inlineStr">
        <is>
          <t>State Health UP</t>
        </is>
      </c>
      <c r="H1038" s="20" t="n">
        <v>22</v>
      </c>
      <c r="I1038" s="22" t="n">
        <v>21585.68</v>
      </c>
      <c r="J1038" s="23" t="n">
        <v>0.1</v>
      </c>
      <c r="K1038" s="24" t="n">
        <v>427396.46</v>
      </c>
      <c r="L1038" s="24" t="n">
        <v>270942.03</v>
      </c>
      <c r="M1038" s="24" t="n">
        <v>156454.43</v>
      </c>
    </row>
    <row r="1039">
      <c r="A1039" s="20" t="inlineStr">
        <is>
          <t>ORD-20241038</t>
        </is>
      </c>
      <c r="B1039" s="21" t="n">
        <v>45932</v>
      </c>
      <c r="C1039" s="20" t="inlineStr">
        <is>
          <t>South</t>
        </is>
      </c>
      <c r="D1039" s="20" t="inlineStr">
        <is>
          <t>Office Supplies</t>
        </is>
      </c>
      <c r="E1039" s="20" t="inlineStr">
        <is>
          <t>A4 Paper Ream</t>
        </is>
      </c>
      <c r="F1039" s="20" t="inlineStr">
        <is>
          <t>SMB</t>
        </is>
      </c>
      <c r="G1039" s="20" t="inlineStr">
        <is>
          <t>GreenFarm Agro</t>
        </is>
      </c>
      <c r="H1039" s="20" t="n">
        <v>3</v>
      </c>
      <c r="I1039" s="22" t="n">
        <v>2416.51</v>
      </c>
      <c r="J1039" s="23" t="n">
        <v>0.1</v>
      </c>
      <c r="K1039" s="24" t="n">
        <v>6524.58</v>
      </c>
      <c r="L1039" s="24" t="n">
        <v>5539.33</v>
      </c>
      <c r="M1039" s="24" t="n">
        <v>985.25</v>
      </c>
    </row>
    <row r="1040">
      <c r="A1040" s="20" t="inlineStr">
        <is>
          <t>ORD-20241039</t>
        </is>
      </c>
      <c r="B1040" s="21" t="n">
        <v>45933</v>
      </c>
      <c r="C1040" s="20" t="inlineStr">
        <is>
          <t>Central</t>
        </is>
      </c>
      <c r="D1040" s="20" t="inlineStr">
        <is>
          <t>Office Supplies</t>
        </is>
      </c>
      <c r="E1040" s="20" t="inlineStr">
        <is>
          <t>Notebook Set</t>
        </is>
      </c>
      <c r="F1040" s="20" t="inlineStr">
        <is>
          <t>SMB</t>
        </is>
      </c>
      <c r="G1040" s="20" t="inlineStr">
        <is>
          <t>CityCare Clinics</t>
        </is>
      </c>
      <c r="H1040" s="20" t="n">
        <v>16</v>
      </c>
      <c r="I1040" s="22" t="n">
        <v>2769.65</v>
      </c>
      <c r="J1040" s="23" t="n">
        <v>0</v>
      </c>
      <c r="K1040" s="24" t="n">
        <v>44314.4</v>
      </c>
      <c r="L1040" s="24" t="n">
        <v>24841.18</v>
      </c>
      <c r="M1040" s="24" t="n">
        <v>19473.22</v>
      </c>
    </row>
    <row r="1041">
      <c r="A1041" s="20" t="inlineStr">
        <is>
          <t>ORD-20241040</t>
        </is>
      </c>
      <c r="B1041" s="21" t="n">
        <v>45933</v>
      </c>
      <c r="C1041" s="20" t="inlineStr">
        <is>
          <t>East</t>
        </is>
      </c>
      <c r="D1041" s="20" t="inlineStr">
        <is>
          <t>Home &amp; Kitchen</t>
        </is>
      </c>
      <c r="E1041" s="20" t="inlineStr">
        <is>
          <t>Vacuum Robot</t>
        </is>
      </c>
      <c r="F1041" s="20" t="inlineStr">
        <is>
          <t>Enterprise</t>
        </is>
      </c>
      <c r="G1041" s="20" t="inlineStr">
        <is>
          <t>TCS Digital</t>
        </is>
      </c>
      <c r="H1041" s="20" t="n">
        <v>9</v>
      </c>
      <c r="I1041" s="22" t="n">
        <v>23699.8</v>
      </c>
      <c r="J1041" s="23" t="n">
        <v>0.1</v>
      </c>
      <c r="K1041" s="24" t="n">
        <v>191968.38</v>
      </c>
      <c r="L1041" s="24" t="n">
        <v>165568.96</v>
      </c>
      <c r="M1041" s="24" t="n">
        <v>26399.42</v>
      </c>
    </row>
    <row r="1042">
      <c r="A1042" s="20" t="inlineStr">
        <is>
          <t>ORD-20241041</t>
        </is>
      </c>
      <c r="B1042" s="21" t="n">
        <v>45933</v>
      </c>
      <c r="C1042" s="20" t="inlineStr">
        <is>
          <t>South</t>
        </is>
      </c>
      <c r="D1042" s="20" t="inlineStr">
        <is>
          <t>Electronics</t>
        </is>
      </c>
      <c r="E1042" s="20" t="inlineStr">
        <is>
          <t>Keyboard Mech</t>
        </is>
      </c>
      <c r="F1042" s="20" t="inlineStr">
        <is>
          <t>Enterprise</t>
        </is>
      </c>
      <c r="G1042" s="20" t="inlineStr">
        <is>
          <t>TCS Digital</t>
        </is>
      </c>
      <c r="H1042" s="20" t="n">
        <v>16</v>
      </c>
      <c r="I1042" s="22" t="n">
        <v>55414.08</v>
      </c>
      <c r="J1042" s="23" t="n">
        <v>0.05</v>
      </c>
      <c r="K1042" s="24" t="n">
        <v>842294.02</v>
      </c>
      <c r="L1042" s="24" t="n">
        <v>576511.55</v>
      </c>
      <c r="M1042" s="24" t="n">
        <v>265782.47</v>
      </c>
    </row>
    <row r="1043">
      <c r="A1043" s="20" t="inlineStr">
        <is>
          <t>ORD-20241042</t>
        </is>
      </c>
      <c r="B1043" s="21" t="n">
        <v>45933</v>
      </c>
      <c r="C1043" s="20" t="inlineStr">
        <is>
          <t>South</t>
        </is>
      </c>
      <c r="D1043" s="20" t="inlineStr">
        <is>
          <t>Home &amp; Kitchen</t>
        </is>
      </c>
      <c r="E1043" s="20" t="inlineStr">
        <is>
          <t>Air Fryer</t>
        </is>
      </c>
      <c r="F1043" s="20" t="inlineStr">
        <is>
          <t>Government</t>
        </is>
      </c>
      <c r="G1043" s="20" t="inlineStr">
        <is>
          <t>Delhi NDMC</t>
        </is>
      </c>
      <c r="H1043" s="20" t="n">
        <v>8</v>
      </c>
      <c r="I1043" s="22" t="n">
        <v>6314.87</v>
      </c>
      <c r="J1043" s="23" t="n">
        <v>0.1</v>
      </c>
      <c r="K1043" s="24" t="n">
        <v>45467.06</v>
      </c>
      <c r="L1043" s="24" t="n">
        <v>31396.79</v>
      </c>
      <c r="M1043" s="24" t="n">
        <v>14070.27</v>
      </c>
    </row>
    <row r="1044">
      <c r="A1044" s="20" t="inlineStr">
        <is>
          <t>ORD-20241043</t>
        </is>
      </c>
      <c r="B1044" s="21" t="n">
        <v>45934</v>
      </c>
      <c r="C1044" s="20" t="inlineStr">
        <is>
          <t>West</t>
        </is>
      </c>
      <c r="D1044" s="20" t="inlineStr">
        <is>
          <t>Electronics</t>
        </is>
      </c>
      <c r="E1044" s="20" t="inlineStr">
        <is>
          <t>Wireless Mouse</t>
        </is>
      </c>
      <c r="F1044" s="20" t="inlineStr">
        <is>
          <t>Government</t>
        </is>
      </c>
      <c r="G1044" s="20" t="inlineStr">
        <is>
          <t>Municipal Corp Hyd</t>
        </is>
      </c>
      <c r="H1044" s="20" t="n">
        <v>25</v>
      </c>
      <c r="I1044" s="22" t="n">
        <v>49591.21</v>
      </c>
      <c r="J1044" s="23" t="n">
        <v>0.1</v>
      </c>
      <c r="K1044" s="24" t="n">
        <v>1115802.23</v>
      </c>
      <c r="L1044" s="24" t="n">
        <v>928318.67</v>
      </c>
      <c r="M1044" s="24" t="n">
        <v>187483.56</v>
      </c>
    </row>
    <row r="1045">
      <c r="A1045" s="20" t="inlineStr">
        <is>
          <t>ORD-20241044</t>
        </is>
      </c>
      <c r="B1045" s="21" t="n">
        <v>45934</v>
      </c>
      <c r="C1045" s="20" t="inlineStr">
        <is>
          <t>East</t>
        </is>
      </c>
      <c r="D1045" s="20" t="inlineStr">
        <is>
          <t>Electronics</t>
        </is>
      </c>
      <c r="E1045" s="20" t="inlineStr">
        <is>
          <t>Wireless Mouse</t>
        </is>
      </c>
      <c r="F1045" s="20" t="inlineStr">
        <is>
          <t>Enterprise</t>
        </is>
      </c>
      <c r="G1045" s="20" t="inlineStr">
        <is>
          <t>L&amp;T Infotech</t>
        </is>
      </c>
      <c r="H1045" s="20" t="n">
        <v>5</v>
      </c>
      <c r="I1045" s="22" t="n">
        <v>42590.88</v>
      </c>
      <c r="J1045" s="23" t="n">
        <v>0.05</v>
      </c>
      <c r="K1045" s="24" t="n">
        <v>202306.68</v>
      </c>
      <c r="L1045" s="24" t="n">
        <v>142627.95</v>
      </c>
      <c r="M1045" s="24" t="n">
        <v>59678.73</v>
      </c>
    </row>
    <row r="1046">
      <c r="A1046" s="20" t="inlineStr">
        <is>
          <t>ORD-20241045</t>
        </is>
      </c>
      <c r="B1046" s="21" t="n">
        <v>45934</v>
      </c>
      <c r="C1046" s="20" t="inlineStr">
        <is>
          <t>North</t>
        </is>
      </c>
      <c r="D1046" s="20" t="inlineStr">
        <is>
          <t>Apparel</t>
        </is>
      </c>
      <c r="E1046" s="20" t="inlineStr">
        <is>
          <t>Polo Shirt</t>
        </is>
      </c>
      <c r="F1046" s="20" t="inlineStr">
        <is>
          <t>Enterprise</t>
        </is>
      </c>
      <c r="G1046" s="20" t="inlineStr">
        <is>
          <t>L&amp;T Infotech</t>
        </is>
      </c>
      <c r="H1046" s="20" t="n">
        <v>2</v>
      </c>
      <c r="I1046" s="22" t="n">
        <v>920.24</v>
      </c>
      <c r="J1046" s="23" t="n">
        <v>0</v>
      </c>
      <c r="K1046" s="24" t="n">
        <v>1840.48</v>
      </c>
      <c r="L1046" s="24" t="n">
        <v>1125.57</v>
      </c>
      <c r="M1046" s="24" t="n">
        <v>714.91</v>
      </c>
    </row>
    <row r="1047">
      <c r="A1047" s="20" t="inlineStr">
        <is>
          <t>ORD-20241046</t>
        </is>
      </c>
      <c r="B1047" s="21" t="n">
        <v>45935</v>
      </c>
      <c r="C1047" s="20" t="inlineStr">
        <is>
          <t>Central</t>
        </is>
      </c>
      <c r="D1047" s="20" t="inlineStr">
        <is>
          <t>Apparel</t>
        </is>
      </c>
      <c r="E1047" s="20" t="inlineStr">
        <is>
          <t>Safety Vest</t>
        </is>
      </c>
      <c r="F1047" s="20" t="inlineStr">
        <is>
          <t>SMB</t>
        </is>
      </c>
      <c r="G1047" s="20" t="inlineStr">
        <is>
          <t>Pixel Studio</t>
        </is>
      </c>
      <c r="H1047" s="20" t="n">
        <v>7</v>
      </c>
      <c r="I1047" s="22" t="n">
        <v>737.3</v>
      </c>
      <c r="J1047" s="23" t="n">
        <v>0</v>
      </c>
      <c r="K1047" s="24" t="n">
        <v>5161.1</v>
      </c>
      <c r="L1047" s="24" t="n">
        <v>3357.85</v>
      </c>
      <c r="M1047" s="24" t="n">
        <v>1803.25</v>
      </c>
    </row>
    <row r="1048">
      <c r="A1048" s="20" t="inlineStr">
        <is>
          <t>ORD-20241047</t>
        </is>
      </c>
      <c r="B1048" s="21" t="n">
        <v>45936</v>
      </c>
      <c r="C1048" s="20" t="inlineStr">
        <is>
          <t>North</t>
        </is>
      </c>
      <c r="D1048" s="20" t="inlineStr">
        <is>
          <t>Furniture</t>
        </is>
      </c>
      <c r="E1048" s="20" t="inlineStr">
        <is>
          <t>Ergo Chair</t>
        </is>
      </c>
      <c r="F1048" s="20" t="inlineStr">
        <is>
          <t>SMB</t>
        </is>
      </c>
      <c r="G1048" s="20" t="inlineStr">
        <is>
          <t>GreenFarm Agro</t>
        </is>
      </c>
      <c r="H1048" s="20" t="n">
        <v>20</v>
      </c>
      <c r="I1048" s="22" t="n">
        <v>38613.85</v>
      </c>
      <c r="J1048" s="23" t="n">
        <v>0</v>
      </c>
      <c r="K1048" s="24" t="n">
        <v>772277</v>
      </c>
      <c r="L1048" s="24" t="n">
        <v>505645.06</v>
      </c>
      <c r="M1048" s="24" t="n">
        <v>266631.94</v>
      </c>
    </row>
    <row r="1049">
      <c r="A1049" s="20" t="inlineStr">
        <is>
          <t>ORD-20241048</t>
        </is>
      </c>
      <c r="B1049" s="21" t="n">
        <v>45936</v>
      </c>
      <c r="C1049" s="20" t="inlineStr">
        <is>
          <t>Central</t>
        </is>
      </c>
      <c r="D1049" s="20" t="inlineStr">
        <is>
          <t>Office Supplies</t>
        </is>
      </c>
      <c r="E1049" s="20" t="inlineStr">
        <is>
          <t>Stapler Heavy</t>
        </is>
      </c>
      <c r="F1049" s="20" t="inlineStr">
        <is>
          <t>Government</t>
        </is>
      </c>
      <c r="G1049" s="20" t="inlineStr">
        <is>
          <t>Municipal Corp Hyd</t>
        </is>
      </c>
      <c r="H1049" s="20" t="n">
        <v>7</v>
      </c>
      <c r="I1049" s="22" t="n">
        <v>2450.61</v>
      </c>
      <c r="J1049" s="23" t="n">
        <v>0</v>
      </c>
      <c r="K1049" s="24" t="n">
        <v>17154.27</v>
      </c>
      <c r="L1049" s="24" t="n">
        <v>9866.1</v>
      </c>
      <c r="M1049" s="24" t="n">
        <v>7288.17</v>
      </c>
    </row>
    <row r="1050">
      <c r="A1050" s="20" t="inlineStr">
        <is>
          <t>ORD-20241049</t>
        </is>
      </c>
      <c r="B1050" s="21" t="n">
        <v>45937</v>
      </c>
      <c r="C1050" s="20" t="inlineStr">
        <is>
          <t>Central</t>
        </is>
      </c>
      <c r="D1050" s="20" t="inlineStr">
        <is>
          <t>Electronics</t>
        </is>
      </c>
      <c r="E1050" s="20" t="inlineStr">
        <is>
          <t>Wireless Mouse</t>
        </is>
      </c>
      <c r="F1050" s="20" t="inlineStr">
        <is>
          <t>Consumer</t>
        </is>
      </c>
      <c r="G1050" s="20" t="inlineStr">
        <is>
          <t>App User North</t>
        </is>
      </c>
      <c r="H1050" s="20" t="n">
        <v>17</v>
      </c>
      <c r="I1050" s="22" t="n">
        <v>7387.35</v>
      </c>
      <c r="J1050" s="23" t="n">
        <v>0</v>
      </c>
      <c r="K1050" s="24" t="n">
        <v>125584.95</v>
      </c>
      <c r="L1050" s="24" t="n">
        <v>76155.12</v>
      </c>
      <c r="M1050" s="24" t="n">
        <v>49429.83</v>
      </c>
    </row>
    <row r="1051">
      <c r="A1051" s="20" t="inlineStr">
        <is>
          <t>ORD-20241050</t>
        </is>
      </c>
      <c r="B1051" s="21" t="n">
        <v>45938</v>
      </c>
      <c r="C1051" s="20" t="inlineStr">
        <is>
          <t>Central</t>
        </is>
      </c>
      <c r="D1051" s="20" t="inlineStr">
        <is>
          <t>Office Supplies</t>
        </is>
      </c>
      <c r="E1051" s="20" t="inlineStr">
        <is>
          <t>Gel Pen Pack</t>
        </is>
      </c>
      <c r="F1051" s="20" t="inlineStr">
        <is>
          <t>Enterprise</t>
        </is>
      </c>
      <c r="G1051" s="20" t="inlineStr">
        <is>
          <t>Wipro Tech</t>
        </is>
      </c>
      <c r="H1051" s="20" t="n">
        <v>10</v>
      </c>
      <c r="I1051" s="22" t="n">
        <v>1716.78</v>
      </c>
      <c r="J1051" s="23" t="n">
        <v>0.05</v>
      </c>
      <c r="K1051" s="24" t="n">
        <v>16309.41</v>
      </c>
      <c r="L1051" s="24" t="n">
        <v>10283.6</v>
      </c>
      <c r="M1051" s="24" t="n">
        <v>6025.81</v>
      </c>
    </row>
    <row r="1052">
      <c r="A1052" s="20" t="inlineStr">
        <is>
          <t>ORD-20241051</t>
        </is>
      </c>
      <c r="B1052" s="21" t="n">
        <v>45938</v>
      </c>
      <c r="C1052" s="20" t="inlineStr">
        <is>
          <t>West</t>
        </is>
      </c>
      <c r="D1052" s="20" t="inlineStr">
        <is>
          <t>Apparel</t>
        </is>
      </c>
      <c r="E1052" s="20" t="inlineStr">
        <is>
          <t>Safety Vest</t>
        </is>
      </c>
      <c r="F1052" s="20" t="inlineStr">
        <is>
          <t>SMB</t>
        </is>
      </c>
      <c r="G1052" s="20" t="inlineStr">
        <is>
          <t>Nova Logistics</t>
        </is>
      </c>
      <c r="H1052" s="20" t="n">
        <v>10</v>
      </c>
      <c r="I1052" s="22" t="n">
        <v>346.66</v>
      </c>
      <c r="J1052" s="23" t="n">
        <v>0</v>
      </c>
      <c r="K1052" s="24" t="n">
        <v>3466.6</v>
      </c>
      <c r="L1052" s="24" t="n">
        <v>2432.59</v>
      </c>
      <c r="M1052" s="24" t="n">
        <v>1034.01</v>
      </c>
    </row>
    <row r="1053">
      <c r="A1053" s="20" t="inlineStr">
        <is>
          <t>ORD-20241052</t>
        </is>
      </c>
      <c r="B1053" s="21" t="n">
        <v>45939</v>
      </c>
      <c r="C1053" s="20" t="inlineStr">
        <is>
          <t>West</t>
        </is>
      </c>
      <c r="D1053" s="20" t="inlineStr">
        <is>
          <t>Office Supplies</t>
        </is>
      </c>
      <c r="E1053" s="20" t="inlineStr">
        <is>
          <t>Stapler Heavy</t>
        </is>
      </c>
      <c r="F1053" s="20" t="inlineStr">
        <is>
          <t>Government</t>
        </is>
      </c>
      <c r="G1053" s="20" t="inlineStr">
        <is>
          <t>Delhi NDMC</t>
        </is>
      </c>
      <c r="H1053" s="20" t="n">
        <v>25</v>
      </c>
      <c r="I1053" s="22" t="n">
        <v>832.1799999999999</v>
      </c>
      <c r="J1053" s="23" t="n">
        <v>0</v>
      </c>
      <c r="K1053" s="24" t="n">
        <v>20804.5</v>
      </c>
      <c r="L1053" s="24" t="n">
        <v>14475.65</v>
      </c>
      <c r="M1053" s="24" t="n">
        <v>6328.85</v>
      </c>
    </row>
    <row r="1054">
      <c r="A1054" s="20" t="inlineStr">
        <is>
          <t>ORD-20241053</t>
        </is>
      </c>
      <c r="B1054" s="21" t="n">
        <v>45939</v>
      </c>
      <c r="C1054" s="20" t="inlineStr">
        <is>
          <t>North</t>
        </is>
      </c>
      <c r="D1054" s="20" t="inlineStr">
        <is>
          <t>Furniture</t>
        </is>
      </c>
      <c r="E1054" s="20" t="inlineStr">
        <is>
          <t>Conference Table</t>
        </is>
      </c>
      <c r="F1054" s="20" t="inlineStr">
        <is>
          <t>Government</t>
        </is>
      </c>
      <c r="G1054" s="20" t="inlineStr">
        <is>
          <t>Municipal Corp Hyd</t>
        </is>
      </c>
      <c r="H1054" s="20" t="n">
        <v>2</v>
      </c>
      <c r="I1054" s="22" t="n">
        <v>12814.01</v>
      </c>
      <c r="J1054" s="23" t="n">
        <v>0</v>
      </c>
      <c r="K1054" s="24" t="n">
        <v>25628.02</v>
      </c>
      <c r="L1054" s="24" t="n">
        <v>14180.09</v>
      </c>
      <c r="M1054" s="24" t="n">
        <v>11447.93</v>
      </c>
    </row>
    <row r="1055">
      <c r="A1055" s="20" t="inlineStr">
        <is>
          <t>ORD-20241054</t>
        </is>
      </c>
      <c r="B1055" s="21" t="n">
        <v>45939</v>
      </c>
      <c r="C1055" s="20" t="inlineStr">
        <is>
          <t>West</t>
        </is>
      </c>
      <c r="D1055" s="20" t="inlineStr">
        <is>
          <t>Electronics</t>
        </is>
      </c>
      <c r="E1055" s="20" t="inlineStr">
        <is>
          <t>Laptop Pro 14</t>
        </is>
      </c>
      <c r="F1055" s="20" t="inlineStr">
        <is>
          <t>Consumer</t>
        </is>
      </c>
      <c r="G1055" s="20" t="inlineStr">
        <is>
          <t>Retail Counter</t>
        </is>
      </c>
      <c r="H1055" s="20" t="n">
        <v>9</v>
      </c>
      <c r="I1055" s="22" t="n">
        <v>71484.87</v>
      </c>
      <c r="J1055" s="23" t="n">
        <v>0.12</v>
      </c>
      <c r="K1055" s="24" t="n">
        <v>566160.17</v>
      </c>
      <c r="L1055" s="24" t="n">
        <v>501711.6</v>
      </c>
      <c r="M1055" s="24" t="n">
        <v>64448.57</v>
      </c>
    </row>
    <row r="1056">
      <c r="A1056" s="20" t="inlineStr">
        <is>
          <t>ORD-20241055</t>
        </is>
      </c>
      <c r="B1056" s="21" t="n">
        <v>45940</v>
      </c>
      <c r="C1056" s="20" t="inlineStr">
        <is>
          <t>East</t>
        </is>
      </c>
      <c r="D1056" s="20" t="inlineStr">
        <is>
          <t>Office Supplies</t>
        </is>
      </c>
      <c r="E1056" s="20" t="inlineStr">
        <is>
          <t>Stapler Heavy</t>
        </is>
      </c>
      <c r="F1056" s="20" t="inlineStr">
        <is>
          <t>Enterprise</t>
        </is>
      </c>
      <c r="G1056" s="20" t="inlineStr">
        <is>
          <t>TCS Digital</t>
        </is>
      </c>
      <c r="H1056" s="20" t="n">
        <v>5</v>
      </c>
      <c r="I1056" s="22" t="n">
        <v>2003.81</v>
      </c>
      <c r="J1056" s="23" t="n">
        <v>0.12</v>
      </c>
      <c r="K1056" s="24" t="n">
        <v>8816.76</v>
      </c>
      <c r="L1056" s="24" t="n">
        <v>5670.83</v>
      </c>
      <c r="M1056" s="24" t="n">
        <v>3145.93</v>
      </c>
    </row>
    <row r="1057">
      <c r="A1057" s="20" t="inlineStr">
        <is>
          <t>ORD-20241056</t>
        </is>
      </c>
      <c r="B1057" s="21" t="n">
        <v>45940</v>
      </c>
      <c r="C1057" s="20" t="inlineStr">
        <is>
          <t>East</t>
        </is>
      </c>
      <c r="D1057" s="20" t="inlineStr">
        <is>
          <t>Electronics</t>
        </is>
      </c>
      <c r="E1057" s="20" t="inlineStr">
        <is>
          <t>Keyboard Mech</t>
        </is>
      </c>
      <c r="F1057" s="20" t="inlineStr">
        <is>
          <t>SMB</t>
        </is>
      </c>
      <c r="G1057" s="20" t="inlineStr">
        <is>
          <t>CityCare Clinics</t>
        </is>
      </c>
      <c r="H1057" s="20" t="n">
        <v>25</v>
      </c>
      <c r="I1057" s="22" t="n">
        <v>73249.45</v>
      </c>
      <c r="J1057" s="23" t="n">
        <v>0.15</v>
      </c>
      <c r="K1057" s="24" t="n">
        <v>1556550.81</v>
      </c>
      <c r="L1057" s="24" t="n">
        <v>1356755.98</v>
      </c>
      <c r="M1057" s="24" t="n">
        <v>199794.83</v>
      </c>
    </row>
    <row r="1058">
      <c r="A1058" s="20" t="inlineStr">
        <is>
          <t>ORD-20241057</t>
        </is>
      </c>
      <c r="B1058" s="21" t="n">
        <v>45941</v>
      </c>
      <c r="C1058" s="20" t="inlineStr">
        <is>
          <t>North</t>
        </is>
      </c>
      <c r="D1058" s="20" t="inlineStr">
        <is>
          <t>Office Supplies</t>
        </is>
      </c>
      <c r="E1058" s="20" t="inlineStr">
        <is>
          <t>A4 Paper Ream</t>
        </is>
      </c>
      <c r="F1058" s="20" t="inlineStr">
        <is>
          <t>SMB</t>
        </is>
      </c>
      <c r="G1058" s="20" t="inlineStr">
        <is>
          <t>Pixel Studio</t>
        </is>
      </c>
      <c r="H1058" s="20" t="n">
        <v>10</v>
      </c>
      <c r="I1058" s="22" t="n">
        <v>2136.66</v>
      </c>
      <c r="J1058" s="23" t="n">
        <v>0.1</v>
      </c>
      <c r="K1058" s="24" t="n">
        <v>19229.94</v>
      </c>
      <c r="L1058" s="24" t="n">
        <v>12752.17</v>
      </c>
      <c r="M1058" s="24" t="n">
        <v>6477.77</v>
      </c>
    </row>
    <row r="1059">
      <c r="A1059" s="20" t="inlineStr">
        <is>
          <t>ORD-20241058</t>
        </is>
      </c>
      <c r="B1059" s="21" t="n">
        <v>45941</v>
      </c>
      <c r="C1059" s="20" t="inlineStr">
        <is>
          <t>North</t>
        </is>
      </c>
      <c r="D1059" s="20" t="inlineStr">
        <is>
          <t>Home &amp; Kitchen</t>
        </is>
      </c>
      <c r="E1059" s="20" t="inlineStr">
        <is>
          <t>Coffee Maker</t>
        </is>
      </c>
      <c r="F1059" s="20" t="inlineStr">
        <is>
          <t>Enterprise</t>
        </is>
      </c>
      <c r="G1059" s="20" t="inlineStr">
        <is>
          <t>Tech Mahindra</t>
        </is>
      </c>
      <c r="H1059" s="20" t="n">
        <v>13</v>
      </c>
      <c r="I1059" s="22" t="n">
        <v>1681.85</v>
      </c>
      <c r="J1059" s="23" t="n">
        <v>0</v>
      </c>
      <c r="K1059" s="24" t="n">
        <v>21864.05</v>
      </c>
      <c r="L1059" s="24" t="n">
        <v>16970.55</v>
      </c>
      <c r="M1059" s="24" t="n">
        <v>4893.5</v>
      </c>
    </row>
    <row r="1060">
      <c r="A1060" s="20" t="inlineStr">
        <is>
          <t>ORD-20241059</t>
        </is>
      </c>
      <c r="B1060" s="21" t="n">
        <v>45942</v>
      </c>
      <c r="C1060" s="20" t="inlineStr">
        <is>
          <t>East</t>
        </is>
      </c>
      <c r="D1060" s="20" t="inlineStr">
        <is>
          <t>Home &amp; Kitchen</t>
        </is>
      </c>
      <c r="E1060" s="20" t="inlineStr">
        <is>
          <t>Mixer Grinder</t>
        </is>
      </c>
      <c r="F1060" s="20" t="inlineStr">
        <is>
          <t>SMB</t>
        </is>
      </c>
      <c r="G1060" s="20" t="inlineStr">
        <is>
          <t>BrightRetail Co</t>
        </is>
      </c>
      <c r="H1060" s="20" t="n">
        <v>17</v>
      </c>
      <c r="I1060" s="22" t="n">
        <v>15897.77</v>
      </c>
      <c r="J1060" s="23" t="n">
        <v>0.2</v>
      </c>
      <c r="K1060" s="24" t="n">
        <v>216209.67</v>
      </c>
      <c r="L1060" s="24" t="n">
        <v>169822.71</v>
      </c>
      <c r="M1060" s="24" t="n">
        <v>46386.96</v>
      </c>
    </row>
    <row r="1061">
      <c r="A1061" s="20" t="inlineStr">
        <is>
          <t>ORD-20241060</t>
        </is>
      </c>
      <c r="B1061" s="21" t="n">
        <v>45943</v>
      </c>
      <c r="C1061" s="20" t="inlineStr">
        <is>
          <t>East</t>
        </is>
      </c>
      <c r="D1061" s="20" t="inlineStr">
        <is>
          <t>Home &amp; Kitchen</t>
        </is>
      </c>
      <c r="E1061" s="20" t="inlineStr">
        <is>
          <t>Water Purifier</t>
        </is>
      </c>
      <c r="F1061" s="20" t="inlineStr">
        <is>
          <t>Government</t>
        </is>
      </c>
      <c r="G1061" s="20" t="inlineStr">
        <is>
          <t>Delhi NDMC</t>
        </is>
      </c>
      <c r="H1061" s="20" t="n">
        <v>3</v>
      </c>
      <c r="I1061" s="22" t="n">
        <v>6874.74</v>
      </c>
      <c r="J1061" s="23" t="n">
        <v>0</v>
      </c>
      <c r="K1061" s="24" t="n">
        <v>20624.22</v>
      </c>
      <c r="L1061" s="24" t="n">
        <v>15552.11</v>
      </c>
      <c r="M1061" s="24" t="n">
        <v>5072.11</v>
      </c>
    </row>
    <row r="1062">
      <c r="A1062" s="20" t="inlineStr">
        <is>
          <t>ORD-20241061</t>
        </is>
      </c>
      <c r="B1062" s="21" t="n">
        <v>45943</v>
      </c>
      <c r="C1062" s="20" t="inlineStr">
        <is>
          <t>Central</t>
        </is>
      </c>
      <c r="D1062" s="20" t="inlineStr">
        <is>
          <t>Furniture</t>
        </is>
      </c>
      <c r="E1062" s="20" t="inlineStr">
        <is>
          <t>Standing Desk</t>
        </is>
      </c>
      <c r="F1062" s="20" t="inlineStr">
        <is>
          <t>Consumer</t>
        </is>
      </c>
      <c r="G1062" s="20" t="inlineStr">
        <is>
          <t>Retail Counter</t>
        </is>
      </c>
      <c r="H1062" s="20" t="n">
        <v>22</v>
      </c>
      <c r="I1062" s="22" t="n">
        <v>21163.02</v>
      </c>
      <c r="J1062" s="23" t="n">
        <v>0</v>
      </c>
      <c r="K1062" s="24" t="n">
        <v>465586.44</v>
      </c>
      <c r="L1062" s="24" t="n">
        <v>302371.09</v>
      </c>
      <c r="M1062" s="24" t="n">
        <v>163215.35</v>
      </c>
    </row>
    <row r="1063">
      <c r="A1063" s="20" t="inlineStr">
        <is>
          <t>ORD-20241062</t>
        </is>
      </c>
      <c r="B1063" s="21" t="n">
        <v>45944</v>
      </c>
      <c r="C1063" s="20" t="inlineStr">
        <is>
          <t>Central</t>
        </is>
      </c>
      <c r="D1063" s="20" t="inlineStr">
        <is>
          <t>Apparel</t>
        </is>
      </c>
      <c r="E1063" s="20" t="inlineStr">
        <is>
          <t>Safety Vest</t>
        </is>
      </c>
      <c r="F1063" s="20" t="inlineStr">
        <is>
          <t>Enterprise</t>
        </is>
      </c>
      <c r="G1063" s="20" t="inlineStr">
        <is>
          <t>TCS Digital</t>
        </is>
      </c>
      <c r="H1063" s="20" t="n">
        <v>11</v>
      </c>
      <c r="I1063" s="22" t="n">
        <v>805.01</v>
      </c>
      <c r="J1063" s="23" t="n">
        <v>0.15</v>
      </c>
      <c r="K1063" s="24" t="n">
        <v>7526.84</v>
      </c>
      <c r="L1063" s="24" t="n">
        <v>5639.42</v>
      </c>
      <c r="M1063" s="24" t="n">
        <v>1887.42</v>
      </c>
    </row>
    <row r="1064">
      <c r="A1064" s="20" t="inlineStr">
        <is>
          <t>ORD-20241063</t>
        </is>
      </c>
      <c r="B1064" s="21" t="n">
        <v>45945</v>
      </c>
      <c r="C1064" s="20" t="inlineStr">
        <is>
          <t>West</t>
        </is>
      </c>
      <c r="D1064" s="20" t="inlineStr">
        <is>
          <t>Apparel</t>
        </is>
      </c>
      <c r="E1064" s="20" t="inlineStr">
        <is>
          <t>Cap Embroidered</t>
        </is>
      </c>
      <c r="F1064" s="20" t="inlineStr">
        <is>
          <t>SMB</t>
        </is>
      </c>
      <c r="G1064" s="20" t="inlineStr">
        <is>
          <t>Pixel Studio</t>
        </is>
      </c>
      <c r="H1064" s="20" t="n">
        <v>8</v>
      </c>
      <c r="I1064" s="22" t="n">
        <v>4465.12</v>
      </c>
      <c r="J1064" s="23" t="n">
        <v>0</v>
      </c>
      <c r="K1064" s="24" t="n">
        <v>35720.96</v>
      </c>
      <c r="L1064" s="24" t="n">
        <v>26133.3</v>
      </c>
      <c r="M1064" s="24" t="n">
        <v>9587.66</v>
      </c>
    </row>
    <row r="1065">
      <c r="A1065" s="20" t="inlineStr">
        <is>
          <t>ORD-20241064</t>
        </is>
      </c>
      <c r="B1065" s="21" t="n">
        <v>45945</v>
      </c>
      <c r="C1065" s="20" t="inlineStr">
        <is>
          <t>Central</t>
        </is>
      </c>
      <c r="D1065" s="20" t="inlineStr">
        <is>
          <t>Furniture</t>
        </is>
      </c>
      <c r="E1065" s="20" t="inlineStr">
        <is>
          <t>Ergo Chair</t>
        </is>
      </c>
      <c r="F1065" s="20" t="inlineStr">
        <is>
          <t>SMB</t>
        </is>
      </c>
      <c r="G1065" s="20" t="inlineStr">
        <is>
          <t>CityCare Clinics</t>
        </is>
      </c>
      <c r="H1065" s="20" t="n">
        <v>16</v>
      </c>
      <c r="I1065" s="22" t="n">
        <v>11550.49</v>
      </c>
      <c r="J1065" s="23" t="n">
        <v>0.15</v>
      </c>
      <c r="K1065" s="24" t="n">
        <v>157086.66</v>
      </c>
      <c r="L1065" s="24" t="n">
        <v>113033.14</v>
      </c>
      <c r="M1065" s="24" t="n">
        <v>44053.52</v>
      </c>
    </row>
    <row r="1066">
      <c r="A1066" s="20" t="inlineStr">
        <is>
          <t>ORD-20241065</t>
        </is>
      </c>
      <c r="B1066" s="21" t="n">
        <v>45945</v>
      </c>
      <c r="C1066" s="20" t="inlineStr">
        <is>
          <t>South</t>
        </is>
      </c>
      <c r="D1066" s="20" t="inlineStr">
        <is>
          <t>Office Supplies</t>
        </is>
      </c>
      <c r="E1066" s="20" t="inlineStr">
        <is>
          <t>Gel Pen Pack</t>
        </is>
      </c>
      <c r="F1066" s="20" t="inlineStr">
        <is>
          <t>Government</t>
        </is>
      </c>
      <c r="G1066" s="20" t="inlineStr">
        <is>
          <t>Railways Zone W</t>
        </is>
      </c>
      <c r="H1066" s="20" t="n">
        <v>2</v>
      </c>
      <c r="I1066" s="22" t="n">
        <v>1018.61</v>
      </c>
      <c r="J1066" s="23" t="n">
        <v>0.05</v>
      </c>
      <c r="K1066" s="24" t="n">
        <v>1935.36</v>
      </c>
      <c r="L1066" s="24" t="n">
        <v>1123.81</v>
      </c>
      <c r="M1066" s="24" t="n">
        <v>811.55</v>
      </c>
    </row>
    <row r="1067">
      <c r="A1067" s="20" t="inlineStr">
        <is>
          <t>ORD-20241066</t>
        </is>
      </c>
      <c r="B1067" s="21" t="n">
        <v>45946</v>
      </c>
      <c r="C1067" s="20" t="inlineStr">
        <is>
          <t>East</t>
        </is>
      </c>
      <c r="D1067" s="20" t="inlineStr">
        <is>
          <t>Electronics</t>
        </is>
      </c>
      <c r="E1067" s="20" t="inlineStr">
        <is>
          <t>Keyboard Mech</t>
        </is>
      </c>
      <c r="F1067" s="20" t="inlineStr">
        <is>
          <t>Consumer</t>
        </is>
      </c>
      <c r="G1067" s="20" t="inlineStr">
        <is>
          <t>Retail Counter</t>
        </is>
      </c>
      <c r="H1067" s="20" t="n">
        <v>22</v>
      </c>
      <c r="I1067" s="22" t="n">
        <v>64563.21</v>
      </c>
      <c r="J1067" s="23" t="n">
        <v>0</v>
      </c>
      <c r="K1067" s="24" t="n">
        <v>1420390.62</v>
      </c>
      <c r="L1067" s="24" t="n">
        <v>980807.47</v>
      </c>
      <c r="M1067" s="24" t="n">
        <v>439583.15</v>
      </c>
    </row>
    <row r="1068">
      <c r="A1068" s="20" t="inlineStr">
        <is>
          <t>ORD-20241067</t>
        </is>
      </c>
      <c r="B1068" s="21" t="n">
        <v>45946</v>
      </c>
      <c r="C1068" s="20" t="inlineStr">
        <is>
          <t>East</t>
        </is>
      </c>
      <c r="D1068" s="20" t="inlineStr">
        <is>
          <t>Furniture</t>
        </is>
      </c>
      <c r="E1068" s="20" t="inlineStr">
        <is>
          <t>Bookshelf Oak</t>
        </is>
      </c>
      <c r="F1068" s="20" t="inlineStr">
        <is>
          <t>SMB</t>
        </is>
      </c>
      <c r="G1068" s="20" t="inlineStr">
        <is>
          <t>GreenFarm Agro</t>
        </is>
      </c>
      <c r="H1068" s="20" t="n">
        <v>4</v>
      </c>
      <c r="I1068" s="22" t="n">
        <v>13650.02</v>
      </c>
      <c r="J1068" s="23" t="n">
        <v>0.15</v>
      </c>
      <c r="K1068" s="24" t="n">
        <v>46410.07</v>
      </c>
      <c r="L1068" s="24" t="n">
        <v>36657.1</v>
      </c>
      <c r="M1068" s="24" t="n">
        <v>9752.969999999999</v>
      </c>
    </row>
    <row r="1069">
      <c r="A1069" s="20" t="inlineStr">
        <is>
          <t>ORD-20241068</t>
        </is>
      </c>
      <c r="B1069" s="21" t="n">
        <v>45947</v>
      </c>
      <c r="C1069" s="20" t="inlineStr">
        <is>
          <t>Central</t>
        </is>
      </c>
      <c r="D1069" s="20" t="inlineStr">
        <is>
          <t>Office Supplies</t>
        </is>
      </c>
      <c r="E1069" s="20" t="inlineStr">
        <is>
          <t>A4 Paper Ream</t>
        </is>
      </c>
      <c r="F1069" s="20" t="inlineStr">
        <is>
          <t>SMB</t>
        </is>
      </c>
      <c r="G1069" s="20" t="inlineStr">
        <is>
          <t>CityCare Clinics</t>
        </is>
      </c>
      <c r="H1069" s="20" t="n">
        <v>24</v>
      </c>
      <c r="I1069" s="22" t="n">
        <v>894.6</v>
      </c>
      <c r="J1069" s="23" t="n">
        <v>0.15</v>
      </c>
      <c r="K1069" s="24" t="n">
        <v>18249.84</v>
      </c>
      <c r="L1069" s="24" t="n">
        <v>13682.54</v>
      </c>
      <c r="M1069" s="24" t="n">
        <v>4567.3</v>
      </c>
    </row>
    <row r="1070">
      <c r="A1070" s="20" t="inlineStr">
        <is>
          <t>ORD-20241069</t>
        </is>
      </c>
      <c r="B1070" s="21" t="n">
        <v>45947</v>
      </c>
      <c r="C1070" s="20" t="inlineStr">
        <is>
          <t>South</t>
        </is>
      </c>
      <c r="D1070" s="20" t="inlineStr">
        <is>
          <t>Home &amp; Kitchen</t>
        </is>
      </c>
      <c r="E1070" s="20" t="inlineStr">
        <is>
          <t>Mixer Grinder</t>
        </is>
      </c>
      <c r="F1070" s="20" t="inlineStr">
        <is>
          <t>Enterprise</t>
        </is>
      </c>
      <c r="G1070" s="20" t="inlineStr">
        <is>
          <t>Wipro Tech</t>
        </is>
      </c>
      <c r="H1070" s="20" t="n">
        <v>23</v>
      </c>
      <c r="I1070" s="22" t="n">
        <v>18564.24</v>
      </c>
      <c r="J1070" s="23" t="n">
        <v>0</v>
      </c>
      <c r="K1070" s="24" t="n">
        <v>426977.52</v>
      </c>
      <c r="L1070" s="24" t="n">
        <v>271683.34</v>
      </c>
      <c r="M1070" s="24" t="n">
        <v>155294.18</v>
      </c>
    </row>
    <row r="1071">
      <c r="A1071" s="20" t="inlineStr">
        <is>
          <t>ORD-20241070</t>
        </is>
      </c>
      <c r="B1071" s="21" t="n">
        <v>45947</v>
      </c>
      <c r="C1071" s="20" t="inlineStr">
        <is>
          <t>West</t>
        </is>
      </c>
      <c r="D1071" s="20" t="inlineStr">
        <is>
          <t>Home &amp; Kitchen</t>
        </is>
      </c>
      <c r="E1071" s="20" t="inlineStr">
        <is>
          <t>Vacuum Robot</t>
        </is>
      </c>
      <c r="F1071" s="20" t="inlineStr">
        <is>
          <t>Government</t>
        </is>
      </c>
      <c r="G1071" s="20" t="inlineStr">
        <is>
          <t>MH Education Dept</t>
        </is>
      </c>
      <c r="H1071" s="20" t="n">
        <v>1</v>
      </c>
      <c r="I1071" s="22" t="n">
        <v>22362.72</v>
      </c>
      <c r="J1071" s="23" t="n">
        <v>0</v>
      </c>
      <c r="K1071" s="24" t="n">
        <v>22362.72</v>
      </c>
      <c r="L1071" s="24" t="n">
        <v>13650.56</v>
      </c>
      <c r="M1071" s="24" t="n">
        <v>8712.16</v>
      </c>
    </row>
    <row r="1072">
      <c r="A1072" s="20" t="inlineStr">
        <is>
          <t>ORD-20241071</t>
        </is>
      </c>
      <c r="B1072" s="21" t="n">
        <v>45947</v>
      </c>
      <c r="C1072" s="20" t="inlineStr">
        <is>
          <t>South</t>
        </is>
      </c>
      <c r="D1072" s="20" t="inlineStr">
        <is>
          <t>Furniture</t>
        </is>
      </c>
      <c r="E1072" s="20" t="inlineStr">
        <is>
          <t>Bookshelf Oak</t>
        </is>
      </c>
      <c r="F1072" s="20" t="inlineStr">
        <is>
          <t>Consumer</t>
        </is>
      </c>
      <c r="G1072" s="20" t="inlineStr">
        <is>
          <t>App User North</t>
        </is>
      </c>
      <c r="H1072" s="20" t="n">
        <v>3</v>
      </c>
      <c r="I1072" s="22" t="n">
        <v>16741.97</v>
      </c>
      <c r="J1072" s="23" t="n">
        <v>0.15</v>
      </c>
      <c r="K1072" s="24" t="n">
        <v>42692.02</v>
      </c>
      <c r="L1072" s="24" t="n">
        <v>32041.39</v>
      </c>
      <c r="M1072" s="24" t="n">
        <v>10650.63</v>
      </c>
    </row>
    <row r="1073">
      <c r="A1073" s="20" t="inlineStr">
        <is>
          <t>ORD-20241072</t>
        </is>
      </c>
      <c r="B1073" s="21" t="n">
        <v>45947</v>
      </c>
      <c r="C1073" s="20" t="inlineStr">
        <is>
          <t>East</t>
        </is>
      </c>
      <c r="D1073" s="20" t="inlineStr">
        <is>
          <t>Furniture</t>
        </is>
      </c>
      <c r="E1073" s="20" t="inlineStr">
        <is>
          <t>Ergo Chair</t>
        </is>
      </c>
      <c r="F1073" s="20" t="inlineStr">
        <is>
          <t>Enterprise</t>
        </is>
      </c>
      <c r="G1073" s="20" t="inlineStr">
        <is>
          <t>Tech Mahindra</t>
        </is>
      </c>
      <c r="H1073" s="20" t="n">
        <v>4</v>
      </c>
      <c r="I1073" s="22" t="n">
        <v>31569.12</v>
      </c>
      <c r="J1073" s="23" t="n">
        <v>0.12</v>
      </c>
      <c r="K1073" s="24" t="n">
        <v>111123.3</v>
      </c>
      <c r="L1073" s="24" t="n">
        <v>71367.75999999999</v>
      </c>
      <c r="M1073" s="24" t="n">
        <v>39755.54</v>
      </c>
    </row>
    <row r="1074">
      <c r="A1074" s="20" t="inlineStr">
        <is>
          <t>ORD-20241073</t>
        </is>
      </c>
      <c r="B1074" s="21" t="n">
        <v>45948</v>
      </c>
      <c r="C1074" s="20" t="inlineStr">
        <is>
          <t>Central</t>
        </is>
      </c>
      <c r="D1074" s="20" t="inlineStr">
        <is>
          <t>Home &amp; Kitchen</t>
        </is>
      </c>
      <c r="E1074" s="20" t="inlineStr">
        <is>
          <t>Vacuum Robot</t>
        </is>
      </c>
      <c r="F1074" s="20" t="inlineStr">
        <is>
          <t>Enterprise</t>
        </is>
      </c>
      <c r="G1074" s="20" t="inlineStr">
        <is>
          <t>L&amp;T Infotech</t>
        </is>
      </c>
      <c r="H1074" s="20" t="n">
        <v>24</v>
      </c>
      <c r="I1074" s="22" t="n">
        <v>4092.01</v>
      </c>
      <c r="J1074" s="23" t="n">
        <v>0.2</v>
      </c>
      <c r="K1074" s="24" t="n">
        <v>78566.59</v>
      </c>
      <c r="L1074" s="24" t="n">
        <v>70975.28</v>
      </c>
      <c r="M1074" s="24" t="n">
        <v>7591.31</v>
      </c>
    </row>
    <row r="1075">
      <c r="A1075" s="20" t="inlineStr">
        <is>
          <t>ORD-20241074</t>
        </is>
      </c>
      <c r="B1075" s="21" t="n">
        <v>45948</v>
      </c>
      <c r="C1075" s="20" t="inlineStr">
        <is>
          <t>West</t>
        </is>
      </c>
      <c r="D1075" s="20" t="inlineStr">
        <is>
          <t>Apparel</t>
        </is>
      </c>
      <c r="E1075" s="20" t="inlineStr">
        <is>
          <t>Cap Embroidered</t>
        </is>
      </c>
      <c r="F1075" s="20" t="inlineStr">
        <is>
          <t>Government</t>
        </is>
      </c>
      <c r="G1075" s="20" t="inlineStr">
        <is>
          <t>Railways Zone W</t>
        </is>
      </c>
      <c r="H1075" s="20" t="n">
        <v>1</v>
      </c>
      <c r="I1075" s="22" t="n">
        <v>2129.66</v>
      </c>
      <c r="J1075" s="23" t="n">
        <v>0</v>
      </c>
      <c r="K1075" s="24" t="n">
        <v>2129.66</v>
      </c>
      <c r="L1075" s="24" t="n">
        <v>1433.29</v>
      </c>
      <c r="M1075" s="24" t="n">
        <v>696.37</v>
      </c>
    </row>
    <row r="1076">
      <c r="A1076" s="20" t="inlineStr">
        <is>
          <t>ORD-20241075</t>
        </is>
      </c>
      <c r="B1076" s="21" t="n">
        <v>45948</v>
      </c>
      <c r="C1076" s="20" t="inlineStr">
        <is>
          <t>West</t>
        </is>
      </c>
      <c r="D1076" s="20" t="inlineStr">
        <is>
          <t>Office Supplies</t>
        </is>
      </c>
      <c r="E1076" s="20" t="inlineStr">
        <is>
          <t>Stapler Heavy</t>
        </is>
      </c>
      <c r="F1076" s="20" t="inlineStr">
        <is>
          <t>SMB</t>
        </is>
      </c>
      <c r="G1076" s="20" t="inlineStr">
        <is>
          <t>GreenFarm Agro</t>
        </is>
      </c>
      <c r="H1076" s="20" t="n">
        <v>2</v>
      </c>
      <c r="I1076" s="22" t="n">
        <v>1406.77</v>
      </c>
      <c r="J1076" s="23" t="n">
        <v>0</v>
      </c>
      <c r="K1076" s="24" t="n">
        <v>2813.54</v>
      </c>
      <c r="L1076" s="24" t="n">
        <v>1974.66</v>
      </c>
      <c r="M1076" s="24" t="n">
        <v>838.88</v>
      </c>
    </row>
    <row r="1077">
      <c r="A1077" s="20" t="inlineStr">
        <is>
          <t>ORD-20241076</t>
        </is>
      </c>
      <c r="B1077" s="21" t="n">
        <v>45949</v>
      </c>
      <c r="C1077" s="20" t="inlineStr">
        <is>
          <t>North</t>
        </is>
      </c>
      <c r="D1077" s="20" t="inlineStr">
        <is>
          <t>Home &amp; Kitchen</t>
        </is>
      </c>
      <c r="E1077" s="20" t="inlineStr">
        <is>
          <t>Water Purifier</t>
        </is>
      </c>
      <c r="F1077" s="20" t="inlineStr">
        <is>
          <t>SMB</t>
        </is>
      </c>
      <c r="G1077" s="20" t="inlineStr">
        <is>
          <t>GreenFarm Agro</t>
        </is>
      </c>
      <c r="H1077" s="20" t="n">
        <v>15</v>
      </c>
      <c r="I1077" s="22" t="n">
        <v>19066.73</v>
      </c>
      <c r="J1077" s="23" t="n">
        <v>0.1</v>
      </c>
      <c r="K1077" s="24" t="n">
        <v>257400.86</v>
      </c>
      <c r="L1077" s="24" t="n">
        <v>187946.05</v>
      </c>
      <c r="M1077" s="24" t="n">
        <v>69454.81</v>
      </c>
    </row>
    <row r="1078">
      <c r="A1078" s="20" t="inlineStr">
        <is>
          <t>ORD-20241077</t>
        </is>
      </c>
      <c r="B1078" s="21" t="n">
        <v>45950</v>
      </c>
      <c r="C1078" s="20" t="inlineStr">
        <is>
          <t>South</t>
        </is>
      </c>
      <c r="D1078" s="20" t="inlineStr">
        <is>
          <t>Home &amp; Kitchen</t>
        </is>
      </c>
      <c r="E1078" s="20" t="inlineStr">
        <is>
          <t>Water Purifier</t>
        </is>
      </c>
      <c r="F1078" s="20" t="inlineStr">
        <is>
          <t>Government</t>
        </is>
      </c>
      <c r="G1078" s="20" t="inlineStr">
        <is>
          <t>Delhi NDMC</t>
        </is>
      </c>
      <c r="H1078" s="20" t="n">
        <v>5</v>
      </c>
      <c r="I1078" s="22" t="n">
        <v>15596.61</v>
      </c>
      <c r="J1078" s="23" t="n">
        <v>0.12</v>
      </c>
      <c r="K1078" s="24" t="n">
        <v>68625.08</v>
      </c>
      <c r="L1078" s="24" t="n">
        <v>46807.68</v>
      </c>
      <c r="M1078" s="24" t="n">
        <v>21817.4</v>
      </c>
    </row>
    <row r="1079">
      <c r="A1079" s="20" t="inlineStr">
        <is>
          <t>ORD-20241078</t>
        </is>
      </c>
      <c r="B1079" s="21" t="n">
        <v>45951</v>
      </c>
      <c r="C1079" s="20" t="inlineStr">
        <is>
          <t>West</t>
        </is>
      </c>
      <c r="D1079" s="20" t="inlineStr">
        <is>
          <t>Electronics</t>
        </is>
      </c>
      <c r="E1079" s="20" t="inlineStr">
        <is>
          <t>Wireless Mouse</t>
        </is>
      </c>
      <c r="F1079" s="20" t="inlineStr">
        <is>
          <t>Government</t>
        </is>
      </c>
      <c r="G1079" s="20" t="inlineStr">
        <is>
          <t>Railways Zone W</t>
        </is>
      </c>
      <c r="H1079" s="20" t="n">
        <v>25</v>
      </c>
      <c r="I1079" s="22" t="n">
        <v>60876.18</v>
      </c>
      <c r="J1079" s="23" t="n">
        <v>0.05</v>
      </c>
      <c r="K1079" s="24" t="n">
        <v>1445809.27</v>
      </c>
      <c r="L1079" s="24" t="n">
        <v>1101782.27</v>
      </c>
      <c r="M1079" s="24" t="n">
        <v>344027</v>
      </c>
    </row>
    <row r="1080">
      <c r="A1080" s="20" t="inlineStr">
        <is>
          <t>ORD-20241079</t>
        </is>
      </c>
      <c r="B1080" s="21" t="n">
        <v>45951</v>
      </c>
      <c r="C1080" s="20" t="inlineStr">
        <is>
          <t>South</t>
        </is>
      </c>
      <c r="D1080" s="20" t="inlineStr">
        <is>
          <t>Office Supplies</t>
        </is>
      </c>
      <c r="E1080" s="20" t="inlineStr">
        <is>
          <t>A4 Paper Ream</t>
        </is>
      </c>
      <c r="F1080" s="20" t="inlineStr">
        <is>
          <t>Consumer</t>
        </is>
      </c>
      <c r="G1080" s="20" t="inlineStr">
        <is>
          <t>Walk-in Mumbai</t>
        </is>
      </c>
      <c r="H1080" s="20" t="n">
        <v>6</v>
      </c>
      <c r="I1080" s="22" t="n">
        <v>3209.82</v>
      </c>
      <c r="J1080" s="23" t="n">
        <v>0.1</v>
      </c>
      <c r="K1080" s="24" t="n">
        <v>17333.03</v>
      </c>
      <c r="L1080" s="24" t="n">
        <v>14488.05</v>
      </c>
      <c r="M1080" s="24" t="n">
        <v>2844.98</v>
      </c>
    </row>
    <row r="1081">
      <c r="A1081" s="20" t="inlineStr">
        <is>
          <t>ORD-20241080</t>
        </is>
      </c>
      <c r="B1081" s="21" t="n">
        <v>45951</v>
      </c>
      <c r="C1081" s="20" t="inlineStr">
        <is>
          <t>East</t>
        </is>
      </c>
      <c r="D1081" s="20" t="inlineStr">
        <is>
          <t>Home &amp; Kitchen</t>
        </is>
      </c>
      <c r="E1081" s="20" t="inlineStr">
        <is>
          <t>Vacuum Robot</t>
        </is>
      </c>
      <c r="F1081" s="20" t="inlineStr">
        <is>
          <t>SMB</t>
        </is>
      </c>
      <c r="G1081" s="20" t="inlineStr">
        <is>
          <t>CityCare Clinics</t>
        </is>
      </c>
      <c r="H1081" s="20" t="n">
        <v>14</v>
      </c>
      <c r="I1081" s="22" t="n">
        <v>7528.68</v>
      </c>
      <c r="J1081" s="23" t="n">
        <v>0.12</v>
      </c>
      <c r="K1081" s="24" t="n">
        <v>92753.34</v>
      </c>
      <c r="L1081" s="24" t="n">
        <v>62641.38</v>
      </c>
      <c r="M1081" s="24" t="n">
        <v>30111.96</v>
      </c>
    </row>
    <row r="1082">
      <c r="A1082" s="20" t="inlineStr">
        <is>
          <t>ORD-20241081</t>
        </is>
      </c>
      <c r="B1082" s="21" t="n">
        <v>45952</v>
      </c>
      <c r="C1082" s="20" t="inlineStr">
        <is>
          <t>North</t>
        </is>
      </c>
      <c r="D1082" s="20" t="inlineStr">
        <is>
          <t>Home &amp; Kitchen</t>
        </is>
      </c>
      <c r="E1082" s="20" t="inlineStr">
        <is>
          <t>Coffee Maker</t>
        </is>
      </c>
      <c r="F1082" s="20" t="inlineStr">
        <is>
          <t>Government</t>
        </is>
      </c>
      <c r="G1082" s="20" t="inlineStr">
        <is>
          <t>Railways Zone W</t>
        </is>
      </c>
      <c r="H1082" s="20" t="n">
        <v>23</v>
      </c>
      <c r="I1082" s="22" t="n">
        <v>21124.45</v>
      </c>
      <c r="J1082" s="23" t="n">
        <v>0</v>
      </c>
      <c r="K1082" s="24" t="n">
        <v>485862.35</v>
      </c>
      <c r="L1082" s="24" t="n">
        <v>310131.17</v>
      </c>
      <c r="M1082" s="24" t="n">
        <v>175731.18</v>
      </c>
    </row>
    <row r="1083">
      <c r="A1083" s="20" t="inlineStr">
        <is>
          <t>ORD-20241082</t>
        </is>
      </c>
      <c r="B1083" s="21" t="n">
        <v>45952</v>
      </c>
      <c r="C1083" s="20" t="inlineStr">
        <is>
          <t>North</t>
        </is>
      </c>
      <c r="D1083" s="20" t="inlineStr">
        <is>
          <t>Home &amp; Kitchen</t>
        </is>
      </c>
      <c r="E1083" s="20" t="inlineStr">
        <is>
          <t>Water Purifier</t>
        </is>
      </c>
      <c r="F1083" s="20" t="inlineStr">
        <is>
          <t>SMB</t>
        </is>
      </c>
      <c r="G1083" s="20" t="inlineStr">
        <is>
          <t>GreenFarm Agro</t>
        </is>
      </c>
      <c r="H1083" s="20" t="n">
        <v>4</v>
      </c>
      <c r="I1083" s="22" t="n">
        <v>10465.92</v>
      </c>
      <c r="J1083" s="23" t="n">
        <v>0.15</v>
      </c>
      <c r="K1083" s="24" t="n">
        <v>35584.13</v>
      </c>
      <c r="L1083" s="24" t="n">
        <v>27001.03</v>
      </c>
      <c r="M1083" s="24" t="n">
        <v>8583.1</v>
      </c>
    </row>
    <row r="1084">
      <c r="A1084" s="20" t="inlineStr">
        <is>
          <t>ORD-20241083</t>
        </is>
      </c>
      <c r="B1084" s="21" t="n">
        <v>45953</v>
      </c>
      <c r="C1084" s="20" t="inlineStr">
        <is>
          <t>West</t>
        </is>
      </c>
      <c r="D1084" s="20" t="inlineStr">
        <is>
          <t>Office Supplies</t>
        </is>
      </c>
      <c r="E1084" s="20" t="inlineStr">
        <is>
          <t>Whiteboard Kit</t>
        </is>
      </c>
      <c r="F1084" s="20" t="inlineStr">
        <is>
          <t>Government</t>
        </is>
      </c>
      <c r="G1084" s="20" t="inlineStr">
        <is>
          <t>Railways Zone W</t>
        </is>
      </c>
      <c r="H1084" s="20" t="n">
        <v>25</v>
      </c>
      <c r="I1084" s="22" t="n">
        <v>1103.88</v>
      </c>
      <c r="J1084" s="23" t="n">
        <v>0.2</v>
      </c>
      <c r="K1084" s="24" t="n">
        <v>22077.6</v>
      </c>
      <c r="L1084" s="24" t="n">
        <v>15869.14</v>
      </c>
      <c r="M1084" s="24" t="n">
        <v>6208.46</v>
      </c>
    </row>
    <row r="1085">
      <c r="A1085" s="20" t="inlineStr">
        <is>
          <t>ORD-20241084</t>
        </is>
      </c>
      <c r="B1085" s="21" t="n">
        <v>45953</v>
      </c>
      <c r="C1085" s="20" t="inlineStr">
        <is>
          <t>South</t>
        </is>
      </c>
      <c r="D1085" s="20" t="inlineStr">
        <is>
          <t>Home &amp; Kitchen</t>
        </is>
      </c>
      <c r="E1085" s="20" t="inlineStr">
        <is>
          <t>Vacuum Robot</t>
        </is>
      </c>
      <c r="F1085" s="20" t="inlineStr">
        <is>
          <t>Government</t>
        </is>
      </c>
      <c r="G1085" s="20" t="inlineStr">
        <is>
          <t>Municipal Corp Hyd</t>
        </is>
      </c>
      <c r="H1085" s="20" t="n">
        <v>14</v>
      </c>
      <c r="I1085" s="22" t="n">
        <v>11657.7</v>
      </c>
      <c r="J1085" s="23" t="n">
        <v>0</v>
      </c>
      <c r="K1085" s="24" t="n">
        <v>163207.8</v>
      </c>
      <c r="L1085" s="24" t="n">
        <v>116601.48</v>
      </c>
      <c r="M1085" s="24" t="n">
        <v>46606.32</v>
      </c>
    </row>
    <row r="1086">
      <c r="A1086" s="20" t="inlineStr">
        <is>
          <t>ORD-20241085</t>
        </is>
      </c>
      <c r="B1086" s="21" t="n">
        <v>45953</v>
      </c>
      <c r="C1086" s="20" t="inlineStr">
        <is>
          <t>West</t>
        </is>
      </c>
      <c r="D1086" s="20" t="inlineStr">
        <is>
          <t>Home &amp; Kitchen</t>
        </is>
      </c>
      <c r="E1086" s="20" t="inlineStr">
        <is>
          <t>Water Purifier</t>
        </is>
      </c>
      <c r="F1086" s="20" t="inlineStr">
        <is>
          <t>SMB</t>
        </is>
      </c>
      <c r="G1086" s="20" t="inlineStr">
        <is>
          <t>GreenFarm Agro</t>
        </is>
      </c>
      <c r="H1086" s="20" t="n">
        <v>11</v>
      </c>
      <c r="I1086" s="22" t="n">
        <v>15606.39</v>
      </c>
      <c r="J1086" s="23" t="n">
        <v>0.15</v>
      </c>
      <c r="K1086" s="24" t="n">
        <v>145919.75</v>
      </c>
      <c r="L1086" s="24" t="n">
        <v>123475.56</v>
      </c>
      <c r="M1086" s="24" t="n">
        <v>22444.19</v>
      </c>
    </row>
    <row r="1087">
      <c r="A1087" s="20" t="inlineStr">
        <is>
          <t>ORD-20241086</t>
        </is>
      </c>
      <c r="B1087" s="21" t="n">
        <v>45954</v>
      </c>
      <c r="C1087" s="20" t="inlineStr">
        <is>
          <t>East</t>
        </is>
      </c>
      <c r="D1087" s="20" t="inlineStr">
        <is>
          <t>Furniture</t>
        </is>
      </c>
      <c r="E1087" s="20" t="inlineStr">
        <is>
          <t>Bookshelf Oak</t>
        </is>
      </c>
      <c r="F1087" s="20" t="inlineStr">
        <is>
          <t>Consumer</t>
        </is>
      </c>
      <c r="G1087" s="20" t="inlineStr">
        <is>
          <t>App User North</t>
        </is>
      </c>
      <c r="H1087" s="20" t="n">
        <v>14</v>
      </c>
      <c r="I1087" s="22" t="n">
        <v>35414.75</v>
      </c>
      <c r="J1087" s="23" t="n">
        <v>0</v>
      </c>
      <c r="K1087" s="24" t="n">
        <v>495806.5</v>
      </c>
      <c r="L1087" s="24" t="n">
        <v>362693.46</v>
      </c>
      <c r="M1087" s="24" t="n">
        <v>133113.04</v>
      </c>
    </row>
    <row r="1088">
      <c r="A1088" s="20" t="inlineStr">
        <is>
          <t>ORD-20241087</t>
        </is>
      </c>
      <c r="B1088" s="21" t="n">
        <v>45954</v>
      </c>
      <c r="C1088" s="20" t="inlineStr">
        <is>
          <t>North</t>
        </is>
      </c>
      <c r="D1088" s="20" t="inlineStr">
        <is>
          <t>Electronics</t>
        </is>
      </c>
      <c r="E1088" s="20" t="inlineStr">
        <is>
          <t>USB-C Hub</t>
        </is>
      </c>
      <c r="F1088" s="20" t="inlineStr">
        <is>
          <t>Government</t>
        </is>
      </c>
      <c r="G1088" s="20" t="inlineStr">
        <is>
          <t>Delhi NDMC</t>
        </is>
      </c>
      <c r="H1088" s="20" t="n">
        <v>6</v>
      </c>
      <c r="I1088" s="22" t="n">
        <v>72691.75999999999</v>
      </c>
      <c r="J1088" s="23" t="n">
        <v>0.05</v>
      </c>
      <c r="K1088" s="24" t="n">
        <v>414343.03</v>
      </c>
      <c r="L1088" s="24" t="n">
        <v>325863.6</v>
      </c>
      <c r="M1088" s="24" t="n">
        <v>88479.42999999999</v>
      </c>
    </row>
    <row r="1089">
      <c r="A1089" s="20" t="inlineStr">
        <is>
          <t>ORD-20241088</t>
        </is>
      </c>
      <c r="B1089" s="21" t="n">
        <v>45954</v>
      </c>
      <c r="C1089" s="20" t="inlineStr">
        <is>
          <t>North</t>
        </is>
      </c>
      <c r="D1089" s="20" t="inlineStr">
        <is>
          <t>Furniture</t>
        </is>
      </c>
      <c r="E1089" s="20" t="inlineStr">
        <is>
          <t>Filing Cabinet</t>
        </is>
      </c>
      <c r="F1089" s="20" t="inlineStr">
        <is>
          <t>Consumer</t>
        </is>
      </c>
      <c r="G1089" s="20" t="inlineStr">
        <is>
          <t>App User North</t>
        </is>
      </c>
      <c r="H1089" s="20" t="n">
        <v>4</v>
      </c>
      <c r="I1089" s="22" t="n">
        <v>28684.63</v>
      </c>
      <c r="J1089" s="23" t="n">
        <v>0.2</v>
      </c>
      <c r="K1089" s="24" t="n">
        <v>91790.82000000001</v>
      </c>
      <c r="L1089" s="24" t="n">
        <v>85929.23</v>
      </c>
      <c r="M1089" s="24" t="n">
        <v>5861.59</v>
      </c>
    </row>
    <row r="1090">
      <c r="A1090" s="20" t="inlineStr">
        <is>
          <t>ORD-20241089</t>
        </is>
      </c>
      <c r="B1090" s="21" t="n">
        <v>45954</v>
      </c>
      <c r="C1090" s="20" t="inlineStr">
        <is>
          <t>North</t>
        </is>
      </c>
      <c r="D1090" s="20" t="inlineStr">
        <is>
          <t>Apparel</t>
        </is>
      </c>
      <c r="E1090" s="20" t="inlineStr">
        <is>
          <t>Cap Embroidered</t>
        </is>
      </c>
      <c r="F1090" s="20" t="inlineStr">
        <is>
          <t>Consumer</t>
        </is>
      </c>
      <c r="G1090" s="20" t="inlineStr">
        <is>
          <t>Online Guest</t>
        </is>
      </c>
      <c r="H1090" s="20" t="n">
        <v>22</v>
      </c>
      <c r="I1090" s="22" t="n">
        <v>1722.29</v>
      </c>
      <c r="J1090" s="23" t="n">
        <v>0</v>
      </c>
      <c r="K1090" s="24" t="n">
        <v>37890.38</v>
      </c>
      <c r="L1090" s="24" t="n">
        <v>26349.83</v>
      </c>
      <c r="M1090" s="24" t="n">
        <v>11540.55</v>
      </c>
    </row>
    <row r="1091">
      <c r="A1091" s="20" t="inlineStr">
        <is>
          <t>ORD-20241090</t>
        </is>
      </c>
      <c r="B1091" s="21" t="n">
        <v>45955</v>
      </c>
      <c r="C1091" s="20" t="inlineStr">
        <is>
          <t>Central</t>
        </is>
      </c>
      <c r="D1091" s="20" t="inlineStr">
        <is>
          <t>Home &amp; Kitchen</t>
        </is>
      </c>
      <c r="E1091" s="20" t="inlineStr">
        <is>
          <t>Air Fryer</t>
        </is>
      </c>
      <c r="F1091" s="20" t="inlineStr">
        <is>
          <t>Enterprise</t>
        </is>
      </c>
      <c r="G1091" s="20" t="inlineStr">
        <is>
          <t>Wipro Tech</t>
        </is>
      </c>
      <c r="H1091" s="20" t="n">
        <v>18</v>
      </c>
      <c r="I1091" s="22" t="n">
        <v>12565.63</v>
      </c>
      <c r="J1091" s="23" t="n">
        <v>0.1</v>
      </c>
      <c r="K1091" s="24" t="n">
        <v>203563.21</v>
      </c>
      <c r="L1091" s="24" t="n">
        <v>127986.98</v>
      </c>
      <c r="M1091" s="24" t="n">
        <v>75576.23</v>
      </c>
    </row>
    <row r="1092">
      <c r="A1092" s="20" t="inlineStr">
        <is>
          <t>ORD-20241091</t>
        </is>
      </c>
      <c r="B1092" s="21" t="n">
        <v>45956</v>
      </c>
      <c r="C1092" s="20" t="inlineStr">
        <is>
          <t>South</t>
        </is>
      </c>
      <c r="D1092" s="20" t="inlineStr">
        <is>
          <t>Furniture</t>
        </is>
      </c>
      <c r="E1092" s="20" t="inlineStr">
        <is>
          <t>Bookshelf Oak</t>
        </is>
      </c>
      <c r="F1092" s="20" t="inlineStr">
        <is>
          <t>Consumer</t>
        </is>
      </c>
      <c r="G1092" s="20" t="inlineStr">
        <is>
          <t>Walk-in Delhi</t>
        </is>
      </c>
      <c r="H1092" s="20" t="n">
        <v>21</v>
      </c>
      <c r="I1092" s="22" t="n">
        <v>17818.5</v>
      </c>
      <c r="J1092" s="23" t="n">
        <v>0</v>
      </c>
      <c r="K1092" s="24" t="n">
        <v>374188.5</v>
      </c>
      <c r="L1092" s="24" t="n">
        <v>237805.8</v>
      </c>
      <c r="M1092" s="24" t="n">
        <v>136382.7</v>
      </c>
    </row>
    <row r="1093">
      <c r="A1093" s="20" t="inlineStr">
        <is>
          <t>ORD-20241092</t>
        </is>
      </c>
      <c r="B1093" s="21" t="n">
        <v>45957</v>
      </c>
      <c r="C1093" s="20" t="inlineStr">
        <is>
          <t>North</t>
        </is>
      </c>
      <c r="D1093" s="20" t="inlineStr">
        <is>
          <t>Electronics</t>
        </is>
      </c>
      <c r="E1093" s="20" t="inlineStr">
        <is>
          <t>Laptop Pro 14</t>
        </is>
      </c>
      <c r="F1093" s="20" t="inlineStr">
        <is>
          <t>SMB</t>
        </is>
      </c>
      <c r="G1093" s="20" t="inlineStr">
        <is>
          <t>Nova Logistics</t>
        </is>
      </c>
      <c r="H1093" s="20" t="n">
        <v>17</v>
      </c>
      <c r="I1093" s="22" t="n">
        <v>51489.98</v>
      </c>
      <c r="J1093" s="23" t="n">
        <v>0.2</v>
      </c>
      <c r="K1093" s="24" t="n">
        <v>700263.73</v>
      </c>
      <c r="L1093" s="24" t="n">
        <v>521462.47</v>
      </c>
      <c r="M1093" s="24" t="n">
        <v>178801.26</v>
      </c>
    </row>
    <row r="1094">
      <c r="A1094" s="20" t="inlineStr">
        <is>
          <t>ORD-20241093</t>
        </is>
      </c>
      <c r="B1094" s="21" t="n">
        <v>45957</v>
      </c>
      <c r="C1094" s="20" t="inlineStr">
        <is>
          <t>West</t>
        </is>
      </c>
      <c r="D1094" s="20" t="inlineStr">
        <is>
          <t>Office Supplies</t>
        </is>
      </c>
      <c r="E1094" s="20" t="inlineStr">
        <is>
          <t>A4 Paper Ream</t>
        </is>
      </c>
      <c r="F1094" s="20" t="inlineStr">
        <is>
          <t>Enterprise</t>
        </is>
      </c>
      <c r="G1094" s="20" t="inlineStr">
        <is>
          <t>Wipro Tech</t>
        </is>
      </c>
      <c r="H1094" s="20" t="n">
        <v>22</v>
      </c>
      <c r="I1094" s="22" t="n">
        <v>3372.75</v>
      </c>
      <c r="J1094" s="23" t="n">
        <v>0.05</v>
      </c>
      <c r="K1094" s="24" t="n">
        <v>70490.47</v>
      </c>
      <c r="L1094" s="24" t="n">
        <v>50654.93</v>
      </c>
      <c r="M1094" s="24" t="n">
        <v>19835.54</v>
      </c>
    </row>
    <row r="1095">
      <c r="A1095" s="20" t="inlineStr">
        <is>
          <t>ORD-20241094</t>
        </is>
      </c>
      <c r="B1095" s="21" t="n">
        <v>45957</v>
      </c>
      <c r="C1095" s="20" t="inlineStr">
        <is>
          <t>Central</t>
        </is>
      </c>
      <c r="D1095" s="20" t="inlineStr">
        <is>
          <t>Office Supplies</t>
        </is>
      </c>
      <c r="E1095" s="20" t="inlineStr">
        <is>
          <t>Stapler Heavy</t>
        </is>
      </c>
      <c r="F1095" s="20" t="inlineStr">
        <is>
          <t>SMB</t>
        </is>
      </c>
      <c r="G1095" s="20" t="inlineStr">
        <is>
          <t>CityCare Clinics</t>
        </is>
      </c>
      <c r="H1095" s="20" t="n">
        <v>4</v>
      </c>
      <c r="I1095" s="22" t="n">
        <v>1449.62</v>
      </c>
      <c r="J1095" s="23" t="n">
        <v>0</v>
      </c>
      <c r="K1095" s="24" t="n">
        <v>5798.48</v>
      </c>
      <c r="L1095" s="24" t="n">
        <v>3623.76</v>
      </c>
      <c r="M1095" s="24" t="n">
        <v>2174.72</v>
      </c>
    </row>
    <row r="1096">
      <c r="A1096" s="20" t="inlineStr">
        <is>
          <t>ORD-20241095</t>
        </is>
      </c>
      <c r="B1096" s="21" t="n">
        <v>45957</v>
      </c>
      <c r="C1096" s="20" t="inlineStr">
        <is>
          <t>East</t>
        </is>
      </c>
      <c r="D1096" s="20" t="inlineStr">
        <is>
          <t>Apparel</t>
        </is>
      </c>
      <c r="E1096" s="20" t="inlineStr">
        <is>
          <t>Cap Embroidered</t>
        </is>
      </c>
      <c r="F1096" s="20" t="inlineStr">
        <is>
          <t>SMB</t>
        </is>
      </c>
      <c r="G1096" s="20" t="inlineStr">
        <is>
          <t>SwiftPrint</t>
        </is>
      </c>
      <c r="H1096" s="20" t="n">
        <v>24</v>
      </c>
      <c r="I1096" s="22" t="n">
        <v>2063.25</v>
      </c>
      <c r="J1096" s="23" t="n">
        <v>0</v>
      </c>
      <c r="K1096" s="24" t="n">
        <v>49518</v>
      </c>
      <c r="L1096" s="24" t="n">
        <v>36092.59</v>
      </c>
      <c r="M1096" s="24" t="n">
        <v>13425.41</v>
      </c>
    </row>
    <row r="1097">
      <c r="A1097" s="20" t="inlineStr">
        <is>
          <t>ORD-20241096</t>
        </is>
      </c>
      <c r="B1097" s="21" t="n">
        <v>45959</v>
      </c>
      <c r="C1097" s="20" t="inlineStr">
        <is>
          <t>West</t>
        </is>
      </c>
      <c r="D1097" s="20" t="inlineStr">
        <is>
          <t>Home &amp; Kitchen</t>
        </is>
      </c>
      <c r="E1097" s="20" t="inlineStr">
        <is>
          <t>Air Fryer</t>
        </is>
      </c>
      <c r="F1097" s="20" t="inlineStr">
        <is>
          <t>SMB</t>
        </is>
      </c>
      <c r="G1097" s="20" t="inlineStr">
        <is>
          <t>SwiftPrint</t>
        </is>
      </c>
      <c r="H1097" s="20" t="n">
        <v>11</v>
      </c>
      <c r="I1097" s="22" t="n">
        <v>12038.23</v>
      </c>
      <c r="J1097" s="23" t="n">
        <v>0</v>
      </c>
      <c r="K1097" s="24" t="n">
        <v>132420.53</v>
      </c>
      <c r="L1097" s="24" t="n">
        <v>77545.34</v>
      </c>
      <c r="M1097" s="24" t="n">
        <v>54875.19</v>
      </c>
    </row>
    <row r="1098">
      <c r="A1098" s="20" t="inlineStr">
        <is>
          <t>ORD-20241097</t>
        </is>
      </c>
      <c r="B1098" s="21" t="n">
        <v>45959</v>
      </c>
      <c r="C1098" s="20" t="inlineStr">
        <is>
          <t>South</t>
        </is>
      </c>
      <c r="D1098" s="20" t="inlineStr">
        <is>
          <t>Apparel</t>
        </is>
      </c>
      <c r="E1098" s="20" t="inlineStr">
        <is>
          <t>Formal Blazer</t>
        </is>
      </c>
      <c r="F1098" s="20" t="inlineStr">
        <is>
          <t>SMB</t>
        </is>
      </c>
      <c r="G1098" s="20" t="inlineStr">
        <is>
          <t>BrightRetail Co</t>
        </is>
      </c>
      <c r="H1098" s="20" t="n">
        <v>2</v>
      </c>
      <c r="I1098" s="22" t="n">
        <v>899.1</v>
      </c>
      <c r="J1098" s="23" t="n">
        <v>0.12</v>
      </c>
      <c r="K1098" s="24" t="n">
        <v>1582.42</v>
      </c>
      <c r="L1098" s="24" t="n">
        <v>1201.23</v>
      </c>
      <c r="M1098" s="24" t="n">
        <v>381.19</v>
      </c>
    </row>
    <row r="1099">
      <c r="A1099" s="20" t="inlineStr">
        <is>
          <t>ORD-20241098</t>
        </is>
      </c>
      <c r="B1099" s="21" t="n">
        <v>45959</v>
      </c>
      <c r="C1099" s="20" t="inlineStr">
        <is>
          <t>Central</t>
        </is>
      </c>
      <c r="D1099" s="20" t="inlineStr">
        <is>
          <t>Electronics</t>
        </is>
      </c>
      <c r="E1099" s="20" t="inlineStr">
        <is>
          <t>Monitor 27in</t>
        </is>
      </c>
      <c r="F1099" s="20" t="inlineStr">
        <is>
          <t>Government</t>
        </is>
      </c>
      <c r="G1099" s="20" t="inlineStr">
        <is>
          <t>Delhi NDMC</t>
        </is>
      </c>
      <c r="H1099" s="20" t="n">
        <v>17</v>
      </c>
      <c r="I1099" s="22" t="n">
        <v>71287.52</v>
      </c>
      <c r="J1099" s="23" t="n">
        <v>0.2</v>
      </c>
      <c r="K1099" s="24" t="n">
        <v>969510.27</v>
      </c>
      <c r="L1099" s="24" t="n">
        <v>865484.61</v>
      </c>
      <c r="M1099" s="24" t="n">
        <v>104025.66</v>
      </c>
    </row>
    <row r="1100">
      <c r="A1100" s="20" t="inlineStr">
        <is>
          <t>ORD-20241099</t>
        </is>
      </c>
      <c r="B1100" s="21" t="n">
        <v>45961</v>
      </c>
      <c r="C1100" s="20" t="inlineStr">
        <is>
          <t>North</t>
        </is>
      </c>
      <c r="D1100" s="20" t="inlineStr">
        <is>
          <t>Electronics</t>
        </is>
      </c>
      <c r="E1100" s="20" t="inlineStr">
        <is>
          <t>Webcam HD</t>
        </is>
      </c>
      <c r="F1100" s="20" t="inlineStr">
        <is>
          <t>Consumer</t>
        </is>
      </c>
      <c r="G1100" s="20" t="inlineStr">
        <is>
          <t>Retail Counter</t>
        </is>
      </c>
      <c r="H1100" s="20" t="n">
        <v>20</v>
      </c>
      <c r="I1100" s="22" t="n">
        <v>76009.64</v>
      </c>
      <c r="J1100" s="23" t="n">
        <v>0</v>
      </c>
      <c r="K1100" s="24" t="n">
        <v>1520192.8</v>
      </c>
      <c r="L1100" s="24" t="n">
        <v>986915.8</v>
      </c>
      <c r="M1100" s="24" t="n">
        <v>533277</v>
      </c>
    </row>
    <row r="1101">
      <c r="A1101" s="20" t="inlineStr">
        <is>
          <t>ORD-20241100</t>
        </is>
      </c>
      <c r="B1101" s="21" t="n">
        <v>45961</v>
      </c>
      <c r="C1101" s="20" t="inlineStr">
        <is>
          <t>West</t>
        </is>
      </c>
      <c r="D1101" s="20" t="inlineStr">
        <is>
          <t>Office Supplies</t>
        </is>
      </c>
      <c r="E1101" s="20" t="inlineStr">
        <is>
          <t>Stapler Heavy</t>
        </is>
      </c>
      <c r="F1101" s="20" t="inlineStr">
        <is>
          <t>Government</t>
        </is>
      </c>
      <c r="G1101" s="20" t="inlineStr">
        <is>
          <t>State Health UP</t>
        </is>
      </c>
      <c r="H1101" s="20" t="n">
        <v>23</v>
      </c>
      <c r="I1101" s="22" t="n">
        <v>3406.33</v>
      </c>
      <c r="J1101" s="23" t="n">
        <v>0.1</v>
      </c>
      <c r="K1101" s="24" t="n">
        <v>70511.03</v>
      </c>
      <c r="L1101" s="24" t="n">
        <v>45580.75</v>
      </c>
      <c r="M1101" s="24" t="n">
        <v>24930.28</v>
      </c>
    </row>
    <row r="1102">
      <c r="A1102" s="20" t="inlineStr">
        <is>
          <t>ORD-20241101</t>
        </is>
      </c>
      <c r="B1102" s="21" t="n">
        <v>45962</v>
      </c>
      <c r="C1102" s="20" t="inlineStr">
        <is>
          <t>East</t>
        </is>
      </c>
      <c r="D1102" s="20" t="inlineStr">
        <is>
          <t>Home &amp; Kitchen</t>
        </is>
      </c>
      <c r="E1102" s="20" t="inlineStr">
        <is>
          <t>Air Fryer</t>
        </is>
      </c>
      <c r="F1102" s="20" t="inlineStr">
        <is>
          <t>SMB</t>
        </is>
      </c>
      <c r="G1102" s="20" t="inlineStr">
        <is>
          <t>BrightRetail Co</t>
        </is>
      </c>
      <c r="H1102" s="20" t="n">
        <v>10</v>
      </c>
      <c r="I1102" s="22" t="n">
        <v>6417.99</v>
      </c>
      <c r="J1102" s="23" t="n">
        <v>0.05</v>
      </c>
      <c r="K1102" s="24" t="n">
        <v>60970.9</v>
      </c>
      <c r="L1102" s="24" t="n">
        <v>36082.56</v>
      </c>
      <c r="M1102" s="24" t="n">
        <v>24888.34</v>
      </c>
    </row>
    <row r="1103">
      <c r="A1103" s="20" t="inlineStr">
        <is>
          <t>ORD-20241102</t>
        </is>
      </c>
      <c r="B1103" s="21" t="n">
        <v>45963</v>
      </c>
      <c r="C1103" s="20" t="inlineStr">
        <is>
          <t>South</t>
        </is>
      </c>
      <c r="D1103" s="20" t="inlineStr">
        <is>
          <t>Office Supplies</t>
        </is>
      </c>
      <c r="E1103" s="20" t="inlineStr">
        <is>
          <t>Stapler Heavy</t>
        </is>
      </c>
      <c r="F1103" s="20" t="inlineStr">
        <is>
          <t>SMB</t>
        </is>
      </c>
      <c r="G1103" s="20" t="inlineStr">
        <is>
          <t>BrightRetail Co</t>
        </is>
      </c>
      <c r="H1103" s="20" t="n">
        <v>5</v>
      </c>
      <c r="I1103" s="22" t="n">
        <v>933.09</v>
      </c>
      <c r="J1103" s="23" t="n">
        <v>0</v>
      </c>
      <c r="K1103" s="24" t="n">
        <v>4665.45</v>
      </c>
      <c r="L1103" s="24" t="n">
        <v>3212.4</v>
      </c>
      <c r="M1103" s="24" t="n">
        <v>1453.05</v>
      </c>
    </row>
    <row r="1104">
      <c r="A1104" s="20" t="inlineStr">
        <is>
          <t>ORD-20241103</t>
        </is>
      </c>
      <c r="B1104" s="21" t="n">
        <v>45963</v>
      </c>
      <c r="C1104" s="20" t="inlineStr">
        <is>
          <t>East</t>
        </is>
      </c>
      <c r="D1104" s="20" t="inlineStr">
        <is>
          <t>Home &amp; Kitchen</t>
        </is>
      </c>
      <c r="E1104" s="20" t="inlineStr">
        <is>
          <t>Coffee Maker</t>
        </is>
      </c>
      <c r="F1104" s="20" t="inlineStr">
        <is>
          <t>Enterprise</t>
        </is>
      </c>
      <c r="G1104" s="20" t="inlineStr">
        <is>
          <t>Tech Mahindra</t>
        </is>
      </c>
      <c r="H1104" s="20" t="n">
        <v>22</v>
      </c>
      <c r="I1104" s="22" t="n">
        <v>4817.71</v>
      </c>
      <c r="J1104" s="23" t="n">
        <v>0.1</v>
      </c>
      <c r="K1104" s="24" t="n">
        <v>95390.66</v>
      </c>
      <c r="L1104" s="24" t="n">
        <v>65857</v>
      </c>
      <c r="M1104" s="24" t="n">
        <v>29533.66</v>
      </c>
    </row>
    <row r="1105">
      <c r="A1105" s="20" t="inlineStr">
        <is>
          <t>ORD-20241104</t>
        </is>
      </c>
      <c r="B1105" s="21" t="n">
        <v>45964</v>
      </c>
      <c r="C1105" s="20" t="inlineStr">
        <is>
          <t>East</t>
        </is>
      </c>
      <c r="D1105" s="20" t="inlineStr">
        <is>
          <t>Office Supplies</t>
        </is>
      </c>
      <c r="E1105" s="20" t="inlineStr">
        <is>
          <t>A4 Paper Ream</t>
        </is>
      </c>
      <c r="F1105" s="20" t="inlineStr">
        <is>
          <t>Enterprise</t>
        </is>
      </c>
      <c r="G1105" s="20" t="inlineStr">
        <is>
          <t>Tech Mahindra</t>
        </is>
      </c>
      <c r="H1105" s="20" t="n">
        <v>22</v>
      </c>
      <c r="I1105" s="22" t="n">
        <v>1383.65</v>
      </c>
      <c r="J1105" s="23" t="n">
        <v>0.05</v>
      </c>
      <c r="K1105" s="24" t="n">
        <v>28918.28</v>
      </c>
      <c r="L1105" s="24" t="n">
        <v>21809.22</v>
      </c>
      <c r="M1105" s="24" t="n">
        <v>7109.06</v>
      </c>
    </row>
    <row r="1106">
      <c r="A1106" s="20" t="inlineStr">
        <is>
          <t>ORD-20241105</t>
        </is>
      </c>
      <c r="B1106" s="21" t="n">
        <v>45964</v>
      </c>
      <c r="C1106" s="20" t="inlineStr">
        <is>
          <t>Central</t>
        </is>
      </c>
      <c r="D1106" s="20" t="inlineStr">
        <is>
          <t>Home &amp; Kitchen</t>
        </is>
      </c>
      <c r="E1106" s="20" t="inlineStr">
        <is>
          <t>Vacuum Robot</t>
        </is>
      </c>
      <c r="F1106" s="20" t="inlineStr">
        <is>
          <t>Consumer</t>
        </is>
      </c>
      <c r="G1106" s="20" t="inlineStr">
        <is>
          <t>Walk-in Delhi</t>
        </is>
      </c>
      <c r="H1106" s="20" t="n">
        <v>21</v>
      </c>
      <c r="I1106" s="22" t="n">
        <v>13774.81</v>
      </c>
      <c r="J1106" s="23" t="n">
        <v>0</v>
      </c>
      <c r="K1106" s="24" t="n">
        <v>289271.01</v>
      </c>
      <c r="L1106" s="24" t="n">
        <v>197212.77</v>
      </c>
      <c r="M1106" s="24" t="n">
        <v>92058.24000000001</v>
      </c>
    </row>
    <row r="1107">
      <c r="A1107" s="20" t="inlineStr">
        <is>
          <t>ORD-20241106</t>
        </is>
      </c>
      <c r="B1107" s="21" t="n">
        <v>45966</v>
      </c>
      <c r="C1107" s="20" t="inlineStr">
        <is>
          <t>East</t>
        </is>
      </c>
      <c r="D1107" s="20" t="inlineStr">
        <is>
          <t>Apparel</t>
        </is>
      </c>
      <c r="E1107" s="20" t="inlineStr">
        <is>
          <t>Cap Embroidered</t>
        </is>
      </c>
      <c r="F1107" s="20" t="inlineStr">
        <is>
          <t>Enterprise</t>
        </is>
      </c>
      <c r="G1107" s="20" t="inlineStr">
        <is>
          <t>HCL Services</t>
        </is>
      </c>
      <c r="H1107" s="20" t="n">
        <v>17</v>
      </c>
      <c r="I1107" s="22" t="n">
        <v>1340.28</v>
      </c>
      <c r="J1107" s="23" t="n">
        <v>0</v>
      </c>
      <c r="K1107" s="24" t="n">
        <v>22784.76</v>
      </c>
      <c r="L1107" s="24" t="n">
        <v>16342.73</v>
      </c>
      <c r="M1107" s="24" t="n">
        <v>6442.03</v>
      </c>
    </row>
    <row r="1108">
      <c r="A1108" s="20" t="inlineStr">
        <is>
          <t>ORD-20241107</t>
        </is>
      </c>
      <c r="B1108" s="21" t="n">
        <v>45966</v>
      </c>
      <c r="C1108" s="20" t="inlineStr">
        <is>
          <t>Central</t>
        </is>
      </c>
      <c r="D1108" s="20" t="inlineStr">
        <is>
          <t>Electronics</t>
        </is>
      </c>
      <c r="E1108" s="20" t="inlineStr">
        <is>
          <t>Keyboard Mech</t>
        </is>
      </c>
      <c r="F1108" s="20" t="inlineStr">
        <is>
          <t>Enterprise</t>
        </is>
      </c>
      <c r="G1108" s="20" t="inlineStr">
        <is>
          <t>Wipro Tech</t>
        </is>
      </c>
      <c r="H1108" s="20" t="n">
        <v>15</v>
      </c>
      <c r="I1108" s="22" t="n">
        <v>75669.45</v>
      </c>
      <c r="J1108" s="23" t="n">
        <v>0</v>
      </c>
      <c r="K1108" s="24" t="n">
        <v>1135041.75</v>
      </c>
      <c r="L1108" s="24" t="n">
        <v>760174.77</v>
      </c>
      <c r="M1108" s="24" t="n">
        <v>374866.98</v>
      </c>
    </row>
    <row r="1109">
      <c r="A1109" s="20" t="inlineStr">
        <is>
          <t>ORD-20241108</t>
        </is>
      </c>
      <c r="B1109" s="21" t="n">
        <v>45966</v>
      </c>
      <c r="C1109" s="20" t="inlineStr">
        <is>
          <t>East</t>
        </is>
      </c>
      <c r="D1109" s="20" t="inlineStr">
        <is>
          <t>Home &amp; Kitchen</t>
        </is>
      </c>
      <c r="E1109" s="20" t="inlineStr">
        <is>
          <t>Air Fryer</t>
        </is>
      </c>
      <c r="F1109" s="20" t="inlineStr">
        <is>
          <t>SMB</t>
        </is>
      </c>
      <c r="G1109" s="20" t="inlineStr">
        <is>
          <t>CityCare Clinics</t>
        </is>
      </c>
      <c r="H1109" s="20" t="n">
        <v>5</v>
      </c>
      <c r="I1109" s="22" t="n">
        <v>9249.75</v>
      </c>
      <c r="J1109" s="23" t="n">
        <v>0</v>
      </c>
      <c r="K1109" s="24" t="n">
        <v>46248.75</v>
      </c>
      <c r="L1109" s="24" t="n">
        <v>30753.29</v>
      </c>
      <c r="M1109" s="24" t="n">
        <v>15495.46</v>
      </c>
    </row>
    <row r="1110">
      <c r="A1110" s="20" t="inlineStr">
        <is>
          <t>ORD-20241109</t>
        </is>
      </c>
      <c r="B1110" s="21" t="n">
        <v>45966</v>
      </c>
      <c r="C1110" s="20" t="inlineStr">
        <is>
          <t>East</t>
        </is>
      </c>
      <c r="D1110" s="20" t="inlineStr">
        <is>
          <t>Furniture</t>
        </is>
      </c>
      <c r="E1110" s="20" t="inlineStr">
        <is>
          <t>Standing Desk</t>
        </is>
      </c>
      <c r="F1110" s="20" t="inlineStr">
        <is>
          <t>Consumer</t>
        </is>
      </c>
      <c r="G1110" s="20" t="inlineStr">
        <is>
          <t>App User North</t>
        </is>
      </c>
      <c r="H1110" s="20" t="n">
        <v>23</v>
      </c>
      <c r="I1110" s="22" t="n">
        <v>38993.22</v>
      </c>
      <c r="J1110" s="23" t="n">
        <v>0</v>
      </c>
      <c r="K1110" s="24" t="n">
        <v>896844.0600000001</v>
      </c>
      <c r="L1110" s="24" t="n">
        <v>550678.61</v>
      </c>
      <c r="M1110" s="24" t="n">
        <v>346165.45</v>
      </c>
    </row>
    <row r="1111">
      <c r="A1111" s="20" t="inlineStr">
        <is>
          <t>ORD-20241110</t>
        </is>
      </c>
      <c r="B1111" s="21" t="n">
        <v>45967</v>
      </c>
      <c r="C1111" s="20" t="inlineStr">
        <is>
          <t>Central</t>
        </is>
      </c>
      <c r="D1111" s="20" t="inlineStr">
        <is>
          <t>Office Supplies</t>
        </is>
      </c>
      <c r="E1111" s="20" t="inlineStr">
        <is>
          <t>Gel Pen Pack</t>
        </is>
      </c>
      <c r="F1111" s="20" t="inlineStr">
        <is>
          <t>Consumer</t>
        </is>
      </c>
      <c r="G1111" s="20" t="inlineStr">
        <is>
          <t>Walk-in Mumbai</t>
        </is>
      </c>
      <c r="H1111" s="20" t="n">
        <v>21</v>
      </c>
      <c r="I1111" s="22" t="n">
        <v>705.96</v>
      </c>
      <c r="J1111" s="23" t="n">
        <v>0.05</v>
      </c>
      <c r="K1111" s="24" t="n">
        <v>14083.9</v>
      </c>
      <c r="L1111" s="24" t="n">
        <v>10464.87</v>
      </c>
      <c r="M1111" s="24" t="n">
        <v>3619.03</v>
      </c>
    </row>
    <row r="1112">
      <c r="A1112" s="20" t="inlineStr">
        <is>
          <t>ORD-20241111</t>
        </is>
      </c>
      <c r="B1112" s="21" t="n">
        <v>45967</v>
      </c>
      <c r="C1112" s="20" t="inlineStr">
        <is>
          <t>South</t>
        </is>
      </c>
      <c r="D1112" s="20" t="inlineStr">
        <is>
          <t>Furniture</t>
        </is>
      </c>
      <c r="E1112" s="20" t="inlineStr">
        <is>
          <t>Standing Desk</t>
        </is>
      </c>
      <c r="F1112" s="20" t="inlineStr">
        <is>
          <t>Enterprise</t>
        </is>
      </c>
      <c r="G1112" s="20" t="inlineStr">
        <is>
          <t>TCS Digital</t>
        </is>
      </c>
      <c r="H1112" s="20" t="n">
        <v>16</v>
      </c>
      <c r="I1112" s="22" t="n">
        <v>33414.31</v>
      </c>
      <c r="J1112" s="23" t="n">
        <v>0.05</v>
      </c>
      <c r="K1112" s="24" t="n">
        <v>507897.51</v>
      </c>
      <c r="L1112" s="24" t="n">
        <v>415091.05</v>
      </c>
      <c r="M1112" s="24" t="n">
        <v>92806.46000000001</v>
      </c>
    </row>
    <row r="1113">
      <c r="A1113" s="20" t="inlineStr">
        <is>
          <t>ORD-20241112</t>
        </is>
      </c>
      <c r="B1113" s="21" t="n">
        <v>45968</v>
      </c>
      <c r="C1113" s="20" t="inlineStr">
        <is>
          <t>East</t>
        </is>
      </c>
      <c r="D1113" s="20" t="inlineStr">
        <is>
          <t>Furniture</t>
        </is>
      </c>
      <c r="E1113" s="20" t="inlineStr">
        <is>
          <t>Standing Desk</t>
        </is>
      </c>
      <c r="F1113" s="20" t="inlineStr">
        <is>
          <t>Enterprise</t>
        </is>
      </c>
      <c r="G1113" s="20" t="inlineStr">
        <is>
          <t>HCL Services</t>
        </is>
      </c>
      <c r="H1113" s="20" t="n">
        <v>4</v>
      </c>
      <c r="I1113" s="22" t="n">
        <v>15605.02</v>
      </c>
      <c r="J1113" s="23" t="n">
        <v>0.12</v>
      </c>
      <c r="K1113" s="24" t="n">
        <v>54929.67</v>
      </c>
      <c r="L1113" s="24" t="n">
        <v>41092.21</v>
      </c>
      <c r="M1113" s="24" t="n">
        <v>13837.46</v>
      </c>
    </row>
    <row r="1114">
      <c r="A1114" s="20" t="inlineStr">
        <is>
          <t>ORD-20241113</t>
        </is>
      </c>
      <c r="B1114" s="21" t="n">
        <v>45968</v>
      </c>
      <c r="C1114" s="20" t="inlineStr">
        <is>
          <t>Central</t>
        </is>
      </c>
      <c r="D1114" s="20" t="inlineStr">
        <is>
          <t>Furniture</t>
        </is>
      </c>
      <c r="E1114" s="20" t="inlineStr">
        <is>
          <t>Conference Table</t>
        </is>
      </c>
      <c r="F1114" s="20" t="inlineStr">
        <is>
          <t>Consumer</t>
        </is>
      </c>
      <c r="G1114" s="20" t="inlineStr">
        <is>
          <t>Walk-in Mumbai</t>
        </is>
      </c>
      <c r="H1114" s="20" t="n">
        <v>10</v>
      </c>
      <c r="I1114" s="22" t="n">
        <v>28933.59</v>
      </c>
      <c r="J1114" s="23" t="n">
        <v>0</v>
      </c>
      <c r="K1114" s="24" t="n">
        <v>289335.9</v>
      </c>
      <c r="L1114" s="24" t="n">
        <v>209722.07</v>
      </c>
      <c r="M1114" s="24" t="n">
        <v>79613.83</v>
      </c>
    </row>
    <row r="1115">
      <c r="A1115" s="20" t="inlineStr">
        <is>
          <t>ORD-20241114</t>
        </is>
      </c>
      <c r="B1115" s="21" t="n">
        <v>45969</v>
      </c>
      <c r="C1115" s="20" t="inlineStr">
        <is>
          <t>South</t>
        </is>
      </c>
      <c r="D1115" s="20" t="inlineStr">
        <is>
          <t>Electronics</t>
        </is>
      </c>
      <c r="E1115" s="20" t="inlineStr">
        <is>
          <t>Webcam HD</t>
        </is>
      </c>
      <c r="F1115" s="20" t="inlineStr">
        <is>
          <t>Enterprise</t>
        </is>
      </c>
      <c r="G1115" s="20" t="inlineStr">
        <is>
          <t>L&amp;T Infotech</t>
        </is>
      </c>
      <c r="H1115" s="20" t="n">
        <v>14</v>
      </c>
      <c r="I1115" s="22" t="n">
        <v>59958.22</v>
      </c>
      <c r="J1115" s="23" t="n">
        <v>0.1</v>
      </c>
      <c r="K1115" s="24" t="n">
        <v>755473.5699999999</v>
      </c>
      <c r="L1115" s="24" t="n">
        <v>508829.95</v>
      </c>
      <c r="M1115" s="24" t="n">
        <v>246643.62</v>
      </c>
    </row>
    <row r="1116">
      <c r="A1116" s="20" t="inlineStr">
        <is>
          <t>ORD-20241115</t>
        </is>
      </c>
      <c r="B1116" s="21" t="n">
        <v>45970</v>
      </c>
      <c r="C1116" s="20" t="inlineStr">
        <is>
          <t>West</t>
        </is>
      </c>
      <c r="D1116" s="20" t="inlineStr">
        <is>
          <t>Apparel</t>
        </is>
      </c>
      <c r="E1116" s="20" t="inlineStr">
        <is>
          <t>Formal Blazer</t>
        </is>
      </c>
      <c r="F1116" s="20" t="inlineStr">
        <is>
          <t>SMB</t>
        </is>
      </c>
      <c r="G1116" s="20" t="inlineStr">
        <is>
          <t>CityCare Clinics</t>
        </is>
      </c>
      <c r="H1116" s="20" t="n">
        <v>18</v>
      </c>
      <c r="I1116" s="22" t="n">
        <v>425.74</v>
      </c>
      <c r="J1116" s="23" t="n">
        <v>0.12</v>
      </c>
      <c r="K1116" s="24" t="n">
        <v>6743.72</v>
      </c>
      <c r="L1116" s="24" t="n">
        <v>5258.07</v>
      </c>
      <c r="M1116" s="24" t="n">
        <v>1485.65</v>
      </c>
    </row>
    <row r="1117">
      <c r="A1117" s="20" t="inlineStr">
        <is>
          <t>ORD-20241116</t>
        </is>
      </c>
      <c r="B1117" s="21" t="n">
        <v>45970</v>
      </c>
      <c r="C1117" s="20" t="inlineStr">
        <is>
          <t>East</t>
        </is>
      </c>
      <c r="D1117" s="20" t="inlineStr">
        <is>
          <t>Office Supplies</t>
        </is>
      </c>
      <c r="E1117" s="20" t="inlineStr">
        <is>
          <t>Whiteboard Kit</t>
        </is>
      </c>
      <c r="F1117" s="20" t="inlineStr">
        <is>
          <t>Consumer</t>
        </is>
      </c>
      <c r="G1117" s="20" t="inlineStr">
        <is>
          <t>Walk-in Delhi</t>
        </is>
      </c>
      <c r="H1117" s="20" t="n">
        <v>21</v>
      </c>
      <c r="I1117" s="22" t="n">
        <v>3385.48</v>
      </c>
      <c r="J1117" s="23" t="n">
        <v>0</v>
      </c>
      <c r="K1117" s="24" t="n">
        <v>71095.08</v>
      </c>
      <c r="L1117" s="24" t="n">
        <v>52861.95</v>
      </c>
      <c r="M1117" s="24" t="n">
        <v>18233.13</v>
      </c>
    </row>
    <row r="1118">
      <c r="A1118" s="20" t="inlineStr">
        <is>
          <t>ORD-20241117</t>
        </is>
      </c>
      <c r="B1118" s="21" t="n">
        <v>45971</v>
      </c>
      <c r="C1118" s="20" t="inlineStr">
        <is>
          <t>Central</t>
        </is>
      </c>
      <c r="D1118" s="20" t="inlineStr">
        <is>
          <t>Home &amp; Kitchen</t>
        </is>
      </c>
      <c r="E1118" s="20" t="inlineStr">
        <is>
          <t>Vacuum Robot</t>
        </is>
      </c>
      <c r="F1118" s="20" t="inlineStr">
        <is>
          <t>Government</t>
        </is>
      </c>
      <c r="G1118" s="20" t="inlineStr">
        <is>
          <t>Municipal Corp Hyd</t>
        </is>
      </c>
      <c r="H1118" s="20" t="n">
        <v>24</v>
      </c>
      <c r="I1118" s="22" t="n">
        <v>27792.15</v>
      </c>
      <c r="J1118" s="23" t="n">
        <v>0</v>
      </c>
      <c r="K1118" s="24" t="n">
        <v>667011.6</v>
      </c>
      <c r="L1118" s="24" t="n">
        <v>424632.61</v>
      </c>
      <c r="M1118" s="24" t="n">
        <v>242378.99</v>
      </c>
    </row>
    <row r="1119">
      <c r="A1119" s="20" t="inlineStr">
        <is>
          <t>ORD-20241118</t>
        </is>
      </c>
      <c r="B1119" s="21" t="n">
        <v>45972</v>
      </c>
      <c r="C1119" s="20" t="inlineStr">
        <is>
          <t>West</t>
        </is>
      </c>
      <c r="D1119" s="20" t="inlineStr">
        <is>
          <t>Home &amp; Kitchen</t>
        </is>
      </c>
      <c r="E1119" s="20" t="inlineStr">
        <is>
          <t>Vacuum Robot</t>
        </is>
      </c>
      <c r="F1119" s="20" t="inlineStr">
        <is>
          <t>Consumer</t>
        </is>
      </c>
      <c r="G1119" s="20" t="inlineStr">
        <is>
          <t>App User North</t>
        </is>
      </c>
      <c r="H1119" s="20" t="n">
        <v>23</v>
      </c>
      <c r="I1119" s="22" t="n">
        <v>8981.99</v>
      </c>
      <c r="J1119" s="23" t="n">
        <v>0</v>
      </c>
      <c r="K1119" s="24" t="n">
        <v>206585.77</v>
      </c>
      <c r="L1119" s="24" t="n">
        <v>122737.4</v>
      </c>
      <c r="M1119" s="24" t="n">
        <v>83848.37</v>
      </c>
    </row>
    <row r="1120">
      <c r="A1120" s="20" t="inlineStr">
        <is>
          <t>ORD-20241119</t>
        </is>
      </c>
      <c r="B1120" s="21" t="n">
        <v>45972</v>
      </c>
      <c r="C1120" s="20" t="inlineStr">
        <is>
          <t>West</t>
        </is>
      </c>
      <c r="D1120" s="20" t="inlineStr">
        <is>
          <t>Apparel</t>
        </is>
      </c>
      <c r="E1120" s="20" t="inlineStr">
        <is>
          <t>Formal Blazer</t>
        </is>
      </c>
      <c r="F1120" s="20" t="inlineStr">
        <is>
          <t>Consumer</t>
        </is>
      </c>
      <c r="G1120" s="20" t="inlineStr">
        <is>
          <t>App User North</t>
        </is>
      </c>
      <c r="H1120" s="20" t="n">
        <v>23</v>
      </c>
      <c r="I1120" s="22" t="n">
        <v>2880.4</v>
      </c>
      <c r="J1120" s="23" t="n">
        <v>0.15</v>
      </c>
      <c r="K1120" s="24" t="n">
        <v>56311.82</v>
      </c>
      <c r="L1120" s="24" t="n">
        <v>47977.05</v>
      </c>
      <c r="M1120" s="24" t="n">
        <v>8334.77</v>
      </c>
    </row>
    <row r="1121">
      <c r="A1121" s="20" t="inlineStr">
        <is>
          <t>ORD-20241120</t>
        </is>
      </c>
      <c r="B1121" s="21" t="n">
        <v>45972</v>
      </c>
      <c r="C1121" s="20" t="inlineStr">
        <is>
          <t>Central</t>
        </is>
      </c>
      <c r="D1121" s="20" t="inlineStr">
        <is>
          <t>Office Supplies</t>
        </is>
      </c>
      <c r="E1121" s="20" t="inlineStr">
        <is>
          <t>Stapler Heavy</t>
        </is>
      </c>
      <c r="F1121" s="20" t="inlineStr">
        <is>
          <t>SMB</t>
        </is>
      </c>
      <c r="G1121" s="20" t="inlineStr">
        <is>
          <t>BrightRetail Co</t>
        </is>
      </c>
      <c r="H1121" s="20" t="n">
        <v>9</v>
      </c>
      <c r="I1121" s="22" t="n">
        <v>1334.91</v>
      </c>
      <c r="J1121" s="23" t="n">
        <v>0.12</v>
      </c>
      <c r="K1121" s="24" t="n">
        <v>10572.49</v>
      </c>
      <c r="L1121" s="24" t="n">
        <v>7604.36</v>
      </c>
      <c r="M1121" s="24" t="n">
        <v>2968.13</v>
      </c>
    </row>
    <row r="1122">
      <c r="A1122" s="20" t="inlineStr">
        <is>
          <t>ORD-20241121</t>
        </is>
      </c>
      <c r="B1122" s="21" t="n">
        <v>45972</v>
      </c>
      <c r="C1122" s="20" t="inlineStr">
        <is>
          <t>South</t>
        </is>
      </c>
      <c r="D1122" s="20" t="inlineStr">
        <is>
          <t>Office Supplies</t>
        </is>
      </c>
      <c r="E1122" s="20" t="inlineStr">
        <is>
          <t>A4 Paper Ream</t>
        </is>
      </c>
      <c r="F1122" s="20" t="inlineStr">
        <is>
          <t>Consumer</t>
        </is>
      </c>
      <c r="G1122" s="20" t="inlineStr">
        <is>
          <t>Online Guest</t>
        </is>
      </c>
      <c r="H1122" s="20" t="n">
        <v>8</v>
      </c>
      <c r="I1122" s="22" t="n">
        <v>760.0700000000001</v>
      </c>
      <c r="J1122" s="23" t="n">
        <v>0</v>
      </c>
      <c r="K1122" s="24" t="n">
        <v>6080.56</v>
      </c>
      <c r="L1122" s="24" t="n">
        <v>4612.26</v>
      </c>
      <c r="M1122" s="24" t="n">
        <v>1468.3</v>
      </c>
    </row>
    <row r="1123">
      <c r="A1123" s="20" t="inlineStr">
        <is>
          <t>ORD-20241122</t>
        </is>
      </c>
      <c r="B1123" s="21" t="n">
        <v>45973</v>
      </c>
      <c r="C1123" s="20" t="inlineStr">
        <is>
          <t>Central</t>
        </is>
      </c>
      <c r="D1123" s="20" t="inlineStr">
        <is>
          <t>Electronics</t>
        </is>
      </c>
      <c r="E1123" s="20" t="inlineStr">
        <is>
          <t>Wireless Mouse</t>
        </is>
      </c>
      <c r="F1123" s="20" t="inlineStr">
        <is>
          <t>Consumer</t>
        </is>
      </c>
      <c r="G1123" s="20" t="inlineStr">
        <is>
          <t>App User North</t>
        </is>
      </c>
      <c r="H1123" s="20" t="n">
        <v>19</v>
      </c>
      <c r="I1123" s="22" t="n">
        <v>29663.13</v>
      </c>
      <c r="J1123" s="23" t="n">
        <v>0.1</v>
      </c>
      <c r="K1123" s="24" t="n">
        <v>507239.52</v>
      </c>
      <c r="L1123" s="24" t="n">
        <v>372998.09</v>
      </c>
      <c r="M1123" s="24" t="n">
        <v>134241.43</v>
      </c>
    </row>
    <row r="1124">
      <c r="A1124" s="20" t="inlineStr">
        <is>
          <t>ORD-20241123</t>
        </is>
      </c>
      <c r="B1124" s="21" t="n">
        <v>45974</v>
      </c>
      <c r="C1124" s="20" t="inlineStr">
        <is>
          <t>North</t>
        </is>
      </c>
      <c r="D1124" s="20" t="inlineStr">
        <is>
          <t>Home &amp; Kitchen</t>
        </is>
      </c>
      <c r="E1124" s="20" t="inlineStr">
        <is>
          <t>Water Purifier</t>
        </is>
      </c>
      <c r="F1124" s="20" t="inlineStr">
        <is>
          <t>Government</t>
        </is>
      </c>
      <c r="G1124" s="20" t="inlineStr">
        <is>
          <t>MH Education Dept</t>
        </is>
      </c>
      <c r="H1124" s="20" t="n">
        <v>16</v>
      </c>
      <c r="I1124" s="22" t="n">
        <v>9578.780000000001</v>
      </c>
      <c r="J1124" s="23" t="n">
        <v>0.2</v>
      </c>
      <c r="K1124" s="24" t="n">
        <v>122608.38</v>
      </c>
      <c r="L1124" s="24" t="n">
        <v>117548.11</v>
      </c>
      <c r="M1124" s="24" t="n">
        <v>5060.27</v>
      </c>
    </row>
    <row r="1125">
      <c r="A1125" s="20" t="inlineStr">
        <is>
          <t>ORD-20241124</t>
        </is>
      </c>
      <c r="B1125" s="21" t="n">
        <v>45975</v>
      </c>
      <c r="C1125" s="20" t="inlineStr">
        <is>
          <t>West</t>
        </is>
      </c>
      <c r="D1125" s="20" t="inlineStr">
        <is>
          <t>Office Supplies</t>
        </is>
      </c>
      <c r="E1125" s="20" t="inlineStr">
        <is>
          <t>Whiteboard Kit</t>
        </is>
      </c>
      <c r="F1125" s="20" t="inlineStr">
        <is>
          <t>Consumer</t>
        </is>
      </c>
      <c r="G1125" s="20" t="inlineStr">
        <is>
          <t>Walk-in Mumbai</t>
        </is>
      </c>
      <c r="H1125" s="20" t="n">
        <v>9</v>
      </c>
      <c r="I1125" s="22" t="n">
        <v>1996.65</v>
      </c>
      <c r="J1125" s="23" t="n">
        <v>0</v>
      </c>
      <c r="K1125" s="24" t="n">
        <v>17969.85</v>
      </c>
      <c r="L1125" s="24" t="n">
        <v>12992.45</v>
      </c>
      <c r="M1125" s="24" t="n">
        <v>4977.4</v>
      </c>
    </row>
    <row r="1126">
      <c r="A1126" s="20" t="inlineStr">
        <is>
          <t>ORD-20241125</t>
        </is>
      </c>
      <c r="B1126" s="21" t="n">
        <v>45975</v>
      </c>
      <c r="C1126" s="20" t="inlineStr">
        <is>
          <t>Central</t>
        </is>
      </c>
      <c r="D1126" s="20" t="inlineStr">
        <is>
          <t>Furniture</t>
        </is>
      </c>
      <c r="E1126" s="20" t="inlineStr">
        <is>
          <t>Standing Desk</t>
        </is>
      </c>
      <c r="F1126" s="20" t="inlineStr">
        <is>
          <t>Consumer</t>
        </is>
      </c>
      <c r="G1126" s="20" t="inlineStr">
        <is>
          <t>Walk-in Delhi</t>
        </is>
      </c>
      <c r="H1126" s="20" t="n">
        <v>25</v>
      </c>
      <c r="I1126" s="22" t="n">
        <v>17470.11</v>
      </c>
      <c r="J1126" s="23" t="n">
        <v>0.15</v>
      </c>
      <c r="K1126" s="24" t="n">
        <v>371239.84</v>
      </c>
      <c r="L1126" s="24" t="n">
        <v>298758.73</v>
      </c>
      <c r="M1126" s="24" t="n">
        <v>72481.11</v>
      </c>
    </row>
    <row r="1127">
      <c r="A1127" s="20" t="inlineStr">
        <is>
          <t>ORD-20241126</t>
        </is>
      </c>
      <c r="B1127" s="21" t="n">
        <v>45975</v>
      </c>
      <c r="C1127" s="20" t="inlineStr">
        <is>
          <t>Central</t>
        </is>
      </c>
      <c r="D1127" s="20" t="inlineStr">
        <is>
          <t>Apparel</t>
        </is>
      </c>
      <c r="E1127" s="20" t="inlineStr">
        <is>
          <t>Safety Vest</t>
        </is>
      </c>
      <c r="F1127" s="20" t="inlineStr">
        <is>
          <t>Government</t>
        </is>
      </c>
      <c r="G1127" s="20" t="inlineStr">
        <is>
          <t>Delhi NDMC</t>
        </is>
      </c>
      <c r="H1127" s="20" t="n">
        <v>18</v>
      </c>
      <c r="I1127" s="22" t="n">
        <v>3979.44</v>
      </c>
      <c r="J1127" s="23" t="n">
        <v>0.05</v>
      </c>
      <c r="K1127" s="24" t="n">
        <v>68048.42</v>
      </c>
      <c r="L1127" s="24" t="n">
        <v>40678.35</v>
      </c>
      <c r="M1127" s="24" t="n">
        <v>27370.07</v>
      </c>
    </row>
    <row r="1128">
      <c r="A1128" s="20" t="inlineStr">
        <is>
          <t>ORD-20241127</t>
        </is>
      </c>
      <c r="B1128" s="21" t="n">
        <v>45976</v>
      </c>
      <c r="C1128" s="20" t="inlineStr">
        <is>
          <t>West</t>
        </is>
      </c>
      <c r="D1128" s="20" t="inlineStr">
        <is>
          <t>Electronics</t>
        </is>
      </c>
      <c r="E1128" s="20" t="inlineStr">
        <is>
          <t>Monitor 27in</t>
        </is>
      </c>
      <c r="F1128" s="20" t="inlineStr">
        <is>
          <t>SMB</t>
        </is>
      </c>
      <c r="G1128" s="20" t="inlineStr">
        <is>
          <t>Nova Logistics</t>
        </is>
      </c>
      <c r="H1128" s="20" t="n">
        <v>13</v>
      </c>
      <c r="I1128" s="22" t="n">
        <v>45643.43</v>
      </c>
      <c r="J1128" s="23" t="n">
        <v>0.05</v>
      </c>
      <c r="K1128" s="24" t="n">
        <v>563696.36</v>
      </c>
      <c r="L1128" s="24" t="n">
        <v>394623.26</v>
      </c>
      <c r="M1128" s="24" t="n">
        <v>169073.1</v>
      </c>
    </row>
    <row r="1129">
      <c r="A1129" s="20" t="inlineStr">
        <is>
          <t>ORD-20241128</t>
        </is>
      </c>
      <c r="B1129" s="21" t="n">
        <v>45976</v>
      </c>
      <c r="C1129" s="20" t="inlineStr">
        <is>
          <t>West</t>
        </is>
      </c>
      <c r="D1129" s="20" t="inlineStr">
        <is>
          <t>Apparel</t>
        </is>
      </c>
      <c r="E1129" s="20" t="inlineStr">
        <is>
          <t>Safety Vest</t>
        </is>
      </c>
      <c r="F1129" s="20" t="inlineStr">
        <is>
          <t>Consumer</t>
        </is>
      </c>
      <c r="G1129" s="20" t="inlineStr">
        <is>
          <t>Walk-in Delhi</t>
        </is>
      </c>
      <c r="H1129" s="20" t="n">
        <v>4</v>
      </c>
      <c r="I1129" s="22" t="n">
        <v>847.15</v>
      </c>
      <c r="J1129" s="23" t="n">
        <v>0</v>
      </c>
      <c r="K1129" s="24" t="n">
        <v>3388.6</v>
      </c>
      <c r="L1129" s="24" t="n">
        <v>2245.02</v>
      </c>
      <c r="M1129" s="24" t="n">
        <v>1143.58</v>
      </c>
    </row>
    <row r="1130">
      <c r="A1130" s="20" t="inlineStr">
        <is>
          <t>ORD-20241129</t>
        </is>
      </c>
      <c r="B1130" s="21" t="n">
        <v>45977</v>
      </c>
      <c r="C1130" s="20" t="inlineStr">
        <is>
          <t>West</t>
        </is>
      </c>
      <c r="D1130" s="20" t="inlineStr">
        <is>
          <t>Home &amp; Kitchen</t>
        </is>
      </c>
      <c r="E1130" s="20" t="inlineStr">
        <is>
          <t>Air Fryer</t>
        </is>
      </c>
      <c r="F1130" s="20" t="inlineStr">
        <is>
          <t>SMB</t>
        </is>
      </c>
      <c r="G1130" s="20" t="inlineStr">
        <is>
          <t>Nova Logistics</t>
        </is>
      </c>
      <c r="H1130" s="20" t="n">
        <v>12</v>
      </c>
      <c r="I1130" s="22" t="n">
        <v>8985.639999999999</v>
      </c>
      <c r="J1130" s="23" t="n">
        <v>0</v>
      </c>
      <c r="K1130" s="24" t="n">
        <v>107827.68</v>
      </c>
      <c r="L1130" s="24" t="n">
        <v>59700.3</v>
      </c>
      <c r="M1130" s="24" t="n">
        <v>48127.38</v>
      </c>
    </row>
    <row r="1131">
      <c r="A1131" s="20" t="inlineStr">
        <is>
          <t>ORD-20241130</t>
        </is>
      </c>
      <c r="B1131" s="21" t="n">
        <v>45978</v>
      </c>
      <c r="C1131" s="20" t="inlineStr">
        <is>
          <t>North</t>
        </is>
      </c>
      <c r="D1131" s="20" t="inlineStr">
        <is>
          <t>Electronics</t>
        </is>
      </c>
      <c r="E1131" s="20" t="inlineStr">
        <is>
          <t>Monitor 27in</t>
        </is>
      </c>
      <c r="F1131" s="20" t="inlineStr">
        <is>
          <t>Consumer</t>
        </is>
      </c>
      <c r="G1131" s="20" t="inlineStr">
        <is>
          <t>Walk-in Mumbai</t>
        </is>
      </c>
      <c r="H1131" s="20" t="n">
        <v>18</v>
      </c>
      <c r="I1131" s="22" t="n">
        <v>5850.4</v>
      </c>
      <c r="J1131" s="23" t="n">
        <v>0.2</v>
      </c>
      <c r="K1131" s="24" t="n">
        <v>84245.75999999999</v>
      </c>
      <c r="L1131" s="24" t="n">
        <v>71523.3</v>
      </c>
      <c r="M1131" s="24" t="n">
        <v>12722.46</v>
      </c>
    </row>
    <row r="1132">
      <c r="A1132" s="20" t="inlineStr">
        <is>
          <t>ORD-20241131</t>
        </is>
      </c>
      <c r="B1132" s="21" t="n">
        <v>45978</v>
      </c>
      <c r="C1132" s="20" t="inlineStr">
        <is>
          <t>Central</t>
        </is>
      </c>
      <c r="D1132" s="20" t="inlineStr">
        <is>
          <t>Apparel</t>
        </is>
      </c>
      <c r="E1132" s="20" t="inlineStr">
        <is>
          <t>Formal Blazer</t>
        </is>
      </c>
      <c r="F1132" s="20" t="inlineStr">
        <is>
          <t>Enterprise</t>
        </is>
      </c>
      <c r="G1132" s="20" t="inlineStr">
        <is>
          <t>Wipro Tech</t>
        </is>
      </c>
      <c r="H1132" s="20" t="n">
        <v>18</v>
      </c>
      <c r="I1132" s="22" t="n">
        <v>2069.39</v>
      </c>
      <c r="J1132" s="23" t="n">
        <v>0.1</v>
      </c>
      <c r="K1132" s="24" t="n">
        <v>33524.12</v>
      </c>
      <c r="L1132" s="24" t="n">
        <v>27453.74</v>
      </c>
      <c r="M1132" s="24" t="n">
        <v>6070.38</v>
      </c>
    </row>
    <row r="1133">
      <c r="A1133" s="20" t="inlineStr">
        <is>
          <t>ORD-20241132</t>
        </is>
      </c>
      <c r="B1133" s="21" t="n">
        <v>45978</v>
      </c>
      <c r="C1133" s="20" t="inlineStr">
        <is>
          <t>East</t>
        </is>
      </c>
      <c r="D1133" s="20" t="inlineStr">
        <is>
          <t>Apparel</t>
        </is>
      </c>
      <c r="E1133" s="20" t="inlineStr">
        <is>
          <t>Hoodie Soft</t>
        </is>
      </c>
      <c r="F1133" s="20" t="inlineStr">
        <is>
          <t>Government</t>
        </is>
      </c>
      <c r="G1133" s="20" t="inlineStr">
        <is>
          <t>Delhi NDMC</t>
        </is>
      </c>
      <c r="H1133" s="20" t="n">
        <v>17</v>
      </c>
      <c r="I1133" s="22" t="n">
        <v>799.41</v>
      </c>
      <c r="J1133" s="23" t="n">
        <v>0.12</v>
      </c>
      <c r="K1133" s="24" t="n">
        <v>11959.17</v>
      </c>
      <c r="L1133" s="24" t="n">
        <v>7928.73</v>
      </c>
      <c r="M1133" s="24" t="n">
        <v>4030.44</v>
      </c>
    </row>
    <row r="1134">
      <c r="A1134" s="20" t="inlineStr">
        <is>
          <t>ORD-20241133</t>
        </is>
      </c>
      <c r="B1134" s="21" t="n">
        <v>45978</v>
      </c>
      <c r="C1134" s="20" t="inlineStr">
        <is>
          <t>West</t>
        </is>
      </c>
      <c r="D1134" s="20" t="inlineStr">
        <is>
          <t>Furniture</t>
        </is>
      </c>
      <c r="E1134" s="20" t="inlineStr">
        <is>
          <t>Bookshelf Oak</t>
        </is>
      </c>
      <c r="F1134" s="20" t="inlineStr">
        <is>
          <t>Consumer</t>
        </is>
      </c>
      <c r="G1134" s="20" t="inlineStr">
        <is>
          <t>Walk-in Mumbai</t>
        </is>
      </c>
      <c r="H1134" s="20" t="n">
        <v>24</v>
      </c>
      <c r="I1134" s="22" t="n">
        <v>13449.21</v>
      </c>
      <c r="J1134" s="23" t="n">
        <v>0.15</v>
      </c>
      <c r="K1134" s="24" t="n">
        <v>274363.88</v>
      </c>
      <c r="L1134" s="24" t="n">
        <v>248168.88</v>
      </c>
      <c r="M1134" s="24" t="n">
        <v>26195</v>
      </c>
    </row>
    <row r="1135">
      <c r="A1135" s="20" t="inlineStr">
        <is>
          <t>ORD-20241134</t>
        </is>
      </c>
      <c r="B1135" s="21" t="n">
        <v>45979</v>
      </c>
      <c r="C1135" s="20" t="inlineStr">
        <is>
          <t>West</t>
        </is>
      </c>
      <c r="D1135" s="20" t="inlineStr">
        <is>
          <t>Home &amp; Kitchen</t>
        </is>
      </c>
      <c r="E1135" s="20" t="inlineStr">
        <is>
          <t>Water Purifier</t>
        </is>
      </c>
      <c r="F1135" s="20" t="inlineStr">
        <is>
          <t>Enterprise</t>
        </is>
      </c>
      <c r="G1135" s="20" t="inlineStr">
        <is>
          <t>L&amp;T Infotech</t>
        </is>
      </c>
      <c r="H1135" s="20" t="n">
        <v>21</v>
      </c>
      <c r="I1135" s="22" t="n">
        <v>3092.2</v>
      </c>
      <c r="J1135" s="23" t="n">
        <v>0</v>
      </c>
      <c r="K1135" s="24" t="n">
        <v>64936.2</v>
      </c>
      <c r="L1135" s="24" t="n">
        <v>49045.77</v>
      </c>
      <c r="M1135" s="24" t="n">
        <v>15890.43</v>
      </c>
    </row>
    <row r="1136">
      <c r="A1136" s="20" t="inlineStr">
        <is>
          <t>ORD-20241135</t>
        </is>
      </c>
      <c r="B1136" s="21" t="n">
        <v>45979</v>
      </c>
      <c r="C1136" s="20" t="inlineStr">
        <is>
          <t>North</t>
        </is>
      </c>
      <c r="D1136" s="20" t="inlineStr">
        <is>
          <t>Furniture</t>
        </is>
      </c>
      <c r="E1136" s="20" t="inlineStr">
        <is>
          <t>Standing Desk</t>
        </is>
      </c>
      <c r="F1136" s="20" t="inlineStr">
        <is>
          <t>Enterprise</t>
        </is>
      </c>
      <c r="G1136" s="20" t="inlineStr">
        <is>
          <t>TCS Digital</t>
        </is>
      </c>
      <c r="H1136" s="20" t="n">
        <v>10</v>
      </c>
      <c r="I1136" s="22" t="n">
        <v>7776.43</v>
      </c>
      <c r="J1136" s="23" t="n">
        <v>0.12</v>
      </c>
      <c r="K1136" s="24" t="n">
        <v>68432.58</v>
      </c>
      <c r="L1136" s="24" t="n">
        <v>45783.29</v>
      </c>
      <c r="M1136" s="24" t="n">
        <v>22649.29</v>
      </c>
    </row>
    <row r="1137">
      <c r="A1137" s="20" t="inlineStr">
        <is>
          <t>ORD-20241136</t>
        </is>
      </c>
      <c r="B1137" s="21" t="n">
        <v>45980</v>
      </c>
      <c r="C1137" s="20" t="inlineStr">
        <is>
          <t>North</t>
        </is>
      </c>
      <c r="D1137" s="20" t="inlineStr">
        <is>
          <t>Office Supplies</t>
        </is>
      </c>
      <c r="E1137" s="20" t="inlineStr">
        <is>
          <t>A4 Paper Ream</t>
        </is>
      </c>
      <c r="F1137" s="20" t="inlineStr">
        <is>
          <t>SMB</t>
        </is>
      </c>
      <c r="G1137" s="20" t="inlineStr">
        <is>
          <t>SwiftPrint</t>
        </is>
      </c>
      <c r="H1137" s="20" t="n">
        <v>19</v>
      </c>
      <c r="I1137" s="22" t="n">
        <v>2075.57</v>
      </c>
      <c r="J1137" s="23" t="n">
        <v>0</v>
      </c>
      <c r="K1137" s="24" t="n">
        <v>39435.83</v>
      </c>
      <c r="L1137" s="24" t="n">
        <v>30756.07</v>
      </c>
      <c r="M1137" s="24" t="n">
        <v>8679.76</v>
      </c>
    </row>
    <row r="1138">
      <c r="A1138" s="20" t="inlineStr">
        <is>
          <t>ORD-20241137</t>
        </is>
      </c>
      <c r="B1138" s="21" t="n">
        <v>45980</v>
      </c>
      <c r="C1138" s="20" t="inlineStr">
        <is>
          <t>East</t>
        </is>
      </c>
      <c r="D1138" s="20" t="inlineStr">
        <is>
          <t>Apparel</t>
        </is>
      </c>
      <c r="E1138" s="20" t="inlineStr">
        <is>
          <t>Hoodie Soft</t>
        </is>
      </c>
      <c r="F1138" s="20" t="inlineStr">
        <is>
          <t>Enterprise</t>
        </is>
      </c>
      <c r="G1138" s="20" t="inlineStr">
        <is>
          <t>HCL Services</t>
        </is>
      </c>
      <c r="H1138" s="20" t="n">
        <v>1</v>
      </c>
      <c r="I1138" s="22" t="n">
        <v>1541.96</v>
      </c>
      <c r="J1138" s="23" t="n">
        <v>0</v>
      </c>
      <c r="K1138" s="24" t="n">
        <v>1541.96</v>
      </c>
      <c r="L1138" s="24" t="n">
        <v>1009.37</v>
      </c>
      <c r="M1138" s="24" t="n">
        <v>532.59</v>
      </c>
    </row>
    <row r="1139">
      <c r="A1139" s="20" t="inlineStr">
        <is>
          <t>ORD-20241138</t>
        </is>
      </c>
      <c r="B1139" s="21" t="n">
        <v>45980</v>
      </c>
      <c r="C1139" s="20" t="inlineStr">
        <is>
          <t>Central</t>
        </is>
      </c>
      <c r="D1139" s="20" t="inlineStr">
        <is>
          <t>Home &amp; Kitchen</t>
        </is>
      </c>
      <c r="E1139" s="20" t="inlineStr">
        <is>
          <t>Vacuum Robot</t>
        </is>
      </c>
      <c r="F1139" s="20" t="inlineStr">
        <is>
          <t>SMB</t>
        </is>
      </c>
      <c r="G1139" s="20" t="inlineStr">
        <is>
          <t>Nova Logistics</t>
        </is>
      </c>
      <c r="H1139" s="20" t="n">
        <v>7</v>
      </c>
      <c r="I1139" s="22" t="n">
        <v>17852.15</v>
      </c>
      <c r="J1139" s="23" t="n">
        <v>0.05</v>
      </c>
      <c r="K1139" s="24" t="n">
        <v>118716.8</v>
      </c>
      <c r="L1139" s="24" t="n">
        <v>88465.33</v>
      </c>
      <c r="M1139" s="24" t="n">
        <v>30251.47</v>
      </c>
    </row>
    <row r="1140">
      <c r="A1140" s="20" t="inlineStr">
        <is>
          <t>ORD-20241139</t>
        </is>
      </c>
      <c r="B1140" s="21" t="n">
        <v>45981</v>
      </c>
      <c r="C1140" s="20" t="inlineStr">
        <is>
          <t>West</t>
        </is>
      </c>
      <c r="D1140" s="20" t="inlineStr">
        <is>
          <t>Office Supplies</t>
        </is>
      </c>
      <c r="E1140" s="20" t="inlineStr">
        <is>
          <t>Notebook Set</t>
        </is>
      </c>
      <c r="F1140" s="20" t="inlineStr">
        <is>
          <t>Government</t>
        </is>
      </c>
      <c r="G1140" s="20" t="inlineStr">
        <is>
          <t>Municipal Corp Hyd</t>
        </is>
      </c>
      <c r="H1140" s="20" t="n">
        <v>4</v>
      </c>
      <c r="I1140" s="22" t="n">
        <v>1250.34</v>
      </c>
      <c r="J1140" s="23" t="n">
        <v>0.15</v>
      </c>
      <c r="K1140" s="24" t="n">
        <v>4251.16</v>
      </c>
      <c r="L1140" s="24" t="n">
        <v>3460.91</v>
      </c>
      <c r="M1140" s="24" t="n">
        <v>790.25</v>
      </c>
    </row>
    <row r="1141">
      <c r="A1141" s="20" t="inlineStr">
        <is>
          <t>ORD-20241140</t>
        </is>
      </c>
      <c r="B1141" s="21" t="n">
        <v>45982</v>
      </c>
      <c r="C1141" s="20" t="inlineStr">
        <is>
          <t>West</t>
        </is>
      </c>
      <c r="D1141" s="20" t="inlineStr">
        <is>
          <t>Office Supplies</t>
        </is>
      </c>
      <c r="E1141" s="20" t="inlineStr">
        <is>
          <t>A4 Paper Ream</t>
        </is>
      </c>
      <c r="F1141" s="20" t="inlineStr">
        <is>
          <t>SMB</t>
        </is>
      </c>
      <c r="G1141" s="20" t="inlineStr">
        <is>
          <t>Pixel Studio</t>
        </is>
      </c>
      <c r="H1141" s="20" t="n">
        <v>6</v>
      </c>
      <c r="I1141" s="22" t="n">
        <v>930.15</v>
      </c>
      <c r="J1141" s="23" t="n">
        <v>0</v>
      </c>
      <c r="K1141" s="24" t="n">
        <v>5580.9</v>
      </c>
      <c r="L1141" s="24" t="n">
        <v>4217.38</v>
      </c>
      <c r="M1141" s="24" t="n">
        <v>1363.52</v>
      </c>
    </row>
    <row r="1142">
      <c r="A1142" s="20" t="inlineStr">
        <is>
          <t>ORD-20241141</t>
        </is>
      </c>
      <c r="B1142" s="21" t="n">
        <v>45983</v>
      </c>
      <c r="C1142" s="20" t="inlineStr">
        <is>
          <t>Central</t>
        </is>
      </c>
      <c r="D1142" s="20" t="inlineStr">
        <is>
          <t>Electronics</t>
        </is>
      </c>
      <c r="E1142" s="20" t="inlineStr">
        <is>
          <t>USB-C Hub</t>
        </is>
      </c>
      <c r="F1142" s="20" t="inlineStr">
        <is>
          <t>Consumer</t>
        </is>
      </c>
      <c r="G1142" s="20" t="inlineStr">
        <is>
          <t>Retail Counter</t>
        </is>
      </c>
      <c r="H1142" s="20" t="n">
        <v>15</v>
      </c>
      <c r="I1142" s="22" t="n">
        <v>5071.14</v>
      </c>
      <c r="J1142" s="23" t="n">
        <v>0</v>
      </c>
      <c r="K1142" s="24" t="n">
        <v>76067.10000000001</v>
      </c>
      <c r="L1142" s="24" t="n">
        <v>50072.63</v>
      </c>
      <c r="M1142" s="24" t="n">
        <v>25994.47</v>
      </c>
    </row>
    <row r="1143">
      <c r="A1143" s="20" t="inlineStr">
        <is>
          <t>ORD-20241142</t>
        </is>
      </c>
      <c r="B1143" s="21" t="n">
        <v>45983</v>
      </c>
      <c r="C1143" s="20" t="inlineStr">
        <is>
          <t>West</t>
        </is>
      </c>
      <c r="D1143" s="20" t="inlineStr">
        <is>
          <t>Home &amp; Kitchen</t>
        </is>
      </c>
      <c r="E1143" s="20" t="inlineStr">
        <is>
          <t>Air Fryer</t>
        </is>
      </c>
      <c r="F1143" s="20" t="inlineStr">
        <is>
          <t>Government</t>
        </is>
      </c>
      <c r="G1143" s="20" t="inlineStr">
        <is>
          <t>State Health UP</t>
        </is>
      </c>
      <c r="H1143" s="20" t="n">
        <v>14</v>
      </c>
      <c r="I1143" s="22" t="n">
        <v>24758.21</v>
      </c>
      <c r="J1143" s="23" t="n">
        <v>0</v>
      </c>
      <c r="K1143" s="24" t="n">
        <v>346614.94</v>
      </c>
      <c r="L1143" s="24" t="n">
        <v>217712.93</v>
      </c>
      <c r="M1143" s="24" t="n">
        <v>128902.01</v>
      </c>
    </row>
    <row r="1144">
      <c r="A1144" s="20" t="inlineStr">
        <is>
          <t>ORD-20241143</t>
        </is>
      </c>
      <c r="B1144" s="21" t="n">
        <v>45985</v>
      </c>
      <c r="C1144" s="20" t="inlineStr">
        <is>
          <t>West</t>
        </is>
      </c>
      <c r="D1144" s="20" t="inlineStr">
        <is>
          <t>Furniture</t>
        </is>
      </c>
      <c r="E1144" s="20" t="inlineStr">
        <is>
          <t>Standing Desk</t>
        </is>
      </c>
      <c r="F1144" s="20" t="inlineStr">
        <is>
          <t>Consumer</t>
        </is>
      </c>
      <c r="G1144" s="20" t="inlineStr">
        <is>
          <t>App User North</t>
        </is>
      </c>
      <c r="H1144" s="20" t="n">
        <v>9</v>
      </c>
      <c r="I1144" s="22" t="n">
        <v>30840.73</v>
      </c>
      <c r="J1144" s="23" t="n">
        <v>0.15</v>
      </c>
      <c r="K1144" s="24" t="n">
        <v>235931.58</v>
      </c>
      <c r="L1144" s="24" t="n">
        <v>210195.1</v>
      </c>
      <c r="M1144" s="24" t="n">
        <v>25736.48</v>
      </c>
    </row>
    <row r="1145">
      <c r="A1145" s="20" t="inlineStr">
        <is>
          <t>ORD-20241144</t>
        </is>
      </c>
      <c r="B1145" s="21" t="n">
        <v>45985</v>
      </c>
      <c r="C1145" s="20" t="inlineStr">
        <is>
          <t>West</t>
        </is>
      </c>
      <c r="D1145" s="20" t="inlineStr">
        <is>
          <t>Office Supplies</t>
        </is>
      </c>
      <c r="E1145" s="20" t="inlineStr">
        <is>
          <t>Notebook Set</t>
        </is>
      </c>
      <c r="F1145" s="20" t="inlineStr">
        <is>
          <t>Government</t>
        </is>
      </c>
      <c r="G1145" s="20" t="inlineStr">
        <is>
          <t>MH Education Dept</t>
        </is>
      </c>
      <c r="H1145" s="20" t="n">
        <v>24</v>
      </c>
      <c r="I1145" s="22" t="n">
        <v>2368.02</v>
      </c>
      <c r="J1145" s="23" t="n">
        <v>0.05</v>
      </c>
      <c r="K1145" s="24" t="n">
        <v>53990.86</v>
      </c>
      <c r="L1145" s="24" t="n">
        <v>38054.41</v>
      </c>
      <c r="M1145" s="24" t="n">
        <v>15936.45</v>
      </c>
    </row>
    <row r="1146">
      <c r="A1146" s="20" t="inlineStr">
        <is>
          <t>ORD-20241145</t>
        </is>
      </c>
      <c r="B1146" s="21" t="n">
        <v>45985</v>
      </c>
      <c r="C1146" s="20" t="inlineStr">
        <is>
          <t>South</t>
        </is>
      </c>
      <c r="D1146" s="20" t="inlineStr">
        <is>
          <t>Office Supplies</t>
        </is>
      </c>
      <c r="E1146" s="20" t="inlineStr">
        <is>
          <t>A4 Paper Ream</t>
        </is>
      </c>
      <c r="F1146" s="20" t="inlineStr">
        <is>
          <t>Enterprise</t>
        </is>
      </c>
      <c r="G1146" s="20" t="inlineStr">
        <is>
          <t>HCL Services</t>
        </is>
      </c>
      <c r="H1146" s="20" t="n">
        <v>2</v>
      </c>
      <c r="I1146" s="22" t="n">
        <v>1090.08</v>
      </c>
      <c r="J1146" s="23" t="n">
        <v>0.12</v>
      </c>
      <c r="K1146" s="24" t="n">
        <v>1918.54</v>
      </c>
      <c r="L1146" s="24" t="n">
        <v>1232.08</v>
      </c>
      <c r="M1146" s="24" t="n">
        <v>686.46</v>
      </c>
    </row>
    <row r="1147">
      <c r="A1147" s="20" t="inlineStr">
        <is>
          <t>ORD-20241146</t>
        </is>
      </c>
      <c r="B1147" s="21" t="n">
        <v>45986</v>
      </c>
      <c r="C1147" s="20" t="inlineStr">
        <is>
          <t>North</t>
        </is>
      </c>
      <c r="D1147" s="20" t="inlineStr">
        <is>
          <t>Apparel</t>
        </is>
      </c>
      <c r="E1147" s="20" t="inlineStr">
        <is>
          <t>Cap Embroidered</t>
        </is>
      </c>
      <c r="F1147" s="20" t="inlineStr">
        <is>
          <t>Government</t>
        </is>
      </c>
      <c r="G1147" s="20" t="inlineStr">
        <is>
          <t>State Health UP</t>
        </is>
      </c>
      <c r="H1147" s="20" t="n">
        <v>2</v>
      </c>
      <c r="I1147" s="22" t="n">
        <v>596.6799999999999</v>
      </c>
      <c r="J1147" s="23" t="n">
        <v>0.1</v>
      </c>
      <c r="K1147" s="24" t="n">
        <v>1074.02</v>
      </c>
      <c r="L1147" s="24" t="n">
        <v>659.74</v>
      </c>
      <c r="M1147" s="24" t="n">
        <v>414.28</v>
      </c>
    </row>
    <row r="1148">
      <c r="A1148" s="20" t="inlineStr">
        <is>
          <t>ORD-20241147</t>
        </is>
      </c>
      <c r="B1148" s="21" t="n">
        <v>45986</v>
      </c>
      <c r="C1148" s="20" t="inlineStr">
        <is>
          <t>North</t>
        </is>
      </c>
      <c r="D1148" s="20" t="inlineStr">
        <is>
          <t>Home &amp; Kitchen</t>
        </is>
      </c>
      <c r="E1148" s="20" t="inlineStr">
        <is>
          <t>Air Fryer</t>
        </is>
      </c>
      <c r="F1148" s="20" t="inlineStr">
        <is>
          <t>Government</t>
        </is>
      </c>
      <c r="G1148" s="20" t="inlineStr">
        <is>
          <t>MH Education Dept</t>
        </is>
      </c>
      <c r="H1148" s="20" t="n">
        <v>20</v>
      </c>
      <c r="I1148" s="22" t="n">
        <v>15560.26</v>
      </c>
      <c r="J1148" s="23" t="n">
        <v>0</v>
      </c>
      <c r="K1148" s="24" t="n">
        <v>311205.2</v>
      </c>
      <c r="L1148" s="24" t="n">
        <v>235365.38</v>
      </c>
      <c r="M1148" s="24" t="n">
        <v>75839.82000000001</v>
      </c>
    </row>
    <row r="1149">
      <c r="A1149" s="20" t="inlineStr">
        <is>
          <t>ORD-20241148</t>
        </is>
      </c>
      <c r="B1149" s="21" t="n">
        <v>45989</v>
      </c>
      <c r="C1149" s="20" t="inlineStr">
        <is>
          <t>South</t>
        </is>
      </c>
      <c r="D1149" s="20" t="inlineStr">
        <is>
          <t>Furniture</t>
        </is>
      </c>
      <c r="E1149" s="20" t="inlineStr">
        <is>
          <t>Ergo Chair</t>
        </is>
      </c>
      <c r="F1149" s="20" t="inlineStr">
        <is>
          <t>Government</t>
        </is>
      </c>
      <c r="G1149" s="20" t="inlineStr">
        <is>
          <t>Delhi NDMC</t>
        </is>
      </c>
      <c r="H1149" s="20" t="n">
        <v>17</v>
      </c>
      <c r="I1149" s="22" t="n">
        <v>30805.34</v>
      </c>
      <c r="J1149" s="23" t="n">
        <v>0.05</v>
      </c>
      <c r="K1149" s="24" t="n">
        <v>497506.24</v>
      </c>
      <c r="L1149" s="24" t="n">
        <v>344981.24</v>
      </c>
      <c r="M1149" s="24" t="n">
        <v>152525</v>
      </c>
    </row>
    <row r="1150">
      <c r="A1150" s="20" t="inlineStr">
        <is>
          <t>ORD-20241149</t>
        </is>
      </c>
      <c r="B1150" s="21" t="n">
        <v>45989</v>
      </c>
      <c r="C1150" s="20" t="inlineStr">
        <is>
          <t>South</t>
        </is>
      </c>
      <c r="D1150" s="20" t="inlineStr">
        <is>
          <t>Electronics</t>
        </is>
      </c>
      <c r="E1150" s="20" t="inlineStr">
        <is>
          <t>Wireless Mouse</t>
        </is>
      </c>
      <c r="F1150" s="20" t="inlineStr">
        <is>
          <t>Government</t>
        </is>
      </c>
      <c r="G1150" s="20" t="inlineStr">
        <is>
          <t>Municipal Corp Hyd</t>
        </is>
      </c>
      <c r="H1150" s="20" t="n">
        <v>10</v>
      </c>
      <c r="I1150" s="22" t="n">
        <v>33636.54</v>
      </c>
      <c r="J1150" s="23" t="n">
        <v>0.15</v>
      </c>
      <c r="K1150" s="24" t="n">
        <v>285910.59</v>
      </c>
      <c r="L1150" s="24" t="n">
        <v>200138.53</v>
      </c>
      <c r="M1150" s="24" t="n">
        <v>85772.06</v>
      </c>
    </row>
    <row r="1151">
      <c r="A1151" s="20" t="inlineStr">
        <is>
          <t>ORD-20241150</t>
        </is>
      </c>
      <c r="B1151" s="21" t="n">
        <v>45990</v>
      </c>
      <c r="C1151" s="20" t="inlineStr">
        <is>
          <t>South</t>
        </is>
      </c>
      <c r="D1151" s="20" t="inlineStr">
        <is>
          <t>Furniture</t>
        </is>
      </c>
      <c r="E1151" s="20" t="inlineStr">
        <is>
          <t>Ergo Chair</t>
        </is>
      </c>
      <c r="F1151" s="20" t="inlineStr">
        <is>
          <t>Enterprise</t>
        </is>
      </c>
      <c r="G1151" s="20" t="inlineStr">
        <is>
          <t>HCL Services</t>
        </is>
      </c>
      <c r="H1151" s="20" t="n">
        <v>6</v>
      </c>
      <c r="I1151" s="22" t="n">
        <v>40693.86</v>
      </c>
      <c r="J1151" s="23" t="n">
        <v>0.15</v>
      </c>
      <c r="K1151" s="24" t="n">
        <v>207538.69</v>
      </c>
      <c r="L1151" s="24" t="n">
        <v>190293.53</v>
      </c>
      <c r="M1151" s="24" t="n">
        <v>17245.16</v>
      </c>
    </row>
    <row r="1152">
      <c r="A1152" s="20" t="inlineStr">
        <is>
          <t>ORD-20241151</t>
        </is>
      </c>
      <c r="B1152" s="21" t="n">
        <v>45990</v>
      </c>
      <c r="C1152" s="20" t="inlineStr">
        <is>
          <t>East</t>
        </is>
      </c>
      <c r="D1152" s="20" t="inlineStr">
        <is>
          <t>Electronics</t>
        </is>
      </c>
      <c r="E1152" s="20" t="inlineStr">
        <is>
          <t>Laptop Pro 14</t>
        </is>
      </c>
      <c r="F1152" s="20" t="inlineStr">
        <is>
          <t>Government</t>
        </is>
      </c>
      <c r="G1152" s="20" t="inlineStr">
        <is>
          <t>MH Education Dept</t>
        </is>
      </c>
      <c r="H1152" s="20" t="n">
        <v>21</v>
      </c>
      <c r="I1152" s="22" t="n">
        <v>52473.63</v>
      </c>
      <c r="J1152" s="23" t="n">
        <v>0.05</v>
      </c>
      <c r="K1152" s="24" t="n">
        <v>1046848.92</v>
      </c>
      <c r="L1152" s="24" t="n">
        <v>849100.55</v>
      </c>
      <c r="M1152" s="24" t="n">
        <v>197748.37</v>
      </c>
    </row>
    <row r="1153">
      <c r="A1153" s="20" t="inlineStr">
        <is>
          <t>ORD-20241152</t>
        </is>
      </c>
      <c r="B1153" s="21" t="n">
        <v>45990</v>
      </c>
      <c r="C1153" s="20" t="inlineStr">
        <is>
          <t>East</t>
        </is>
      </c>
      <c r="D1153" s="20" t="inlineStr">
        <is>
          <t>Furniture</t>
        </is>
      </c>
      <c r="E1153" s="20" t="inlineStr">
        <is>
          <t>Conference Table</t>
        </is>
      </c>
      <c r="F1153" s="20" t="inlineStr">
        <is>
          <t>Consumer</t>
        </is>
      </c>
      <c r="G1153" s="20" t="inlineStr">
        <is>
          <t>Online Guest</t>
        </is>
      </c>
      <c r="H1153" s="20" t="n">
        <v>3</v>
      </c>
      <c r="I1153" s="22" t="n">
        <v>31493.54</v>
      </c>
      <c r="J1153" s="23" t="n">
        <v>0.2</v>
      </c>
      <c r="K1153" s="24" t="n">
        <v>75584.5</v>
      </c>
      <c r="L1153" s="24" t="n">
        <v>61745.09</v>
      </c>
      <c r="M1153" s="24" t="n">
        <v>13839.41</v>
      </c>
    </row>
    <row r="1154">
      <c r="A1154" s="20" t="inlineStr">
        <is>
          <t>ORD-20241153</t>
        </is>
      </c>
      <c r="B1154" s="21" t="n">
        <v>45991</v>
      </c>
      <c r="C1154" s="20" t="inlineStr">
        <is>
          <t>South</t>
        </is>
      </c>
      <c r="D1154" s="20" t="inlineStr">
        <is>
          <t>Electronics</t>
        </is>
      </c>
      <c r="E1154" s="20" t="inlineStr">
        <is>
          <t>Webcam HD</t>
        </is>
      </c>
      <c r="F1154" s="20" t="inlineStr">
        <is>
          <t>Government</t>
        </is>
      </c>
      <c r="G1154" s="20" t="inlineStr">
        <is>
          <t>Railways Zone W</t>
        </is>
      </c>
      <c r="H1154" s="20" t="n">
        <v>12</v>
      </c>
      <c r="I1154" s="22" t="n">
        <v>19203.27</v>
      </c>
      <c r="J1154" s="23" t="n">
        <v>0.05</v>
      </c>
      <c r="K1154" s="24" t="n">
        <v>218917.28</v>
      </c>
      <c r="L1154" s="24" t="n">
        <v>136429.35</v>
      </c>
      <c r="M1154" s="24" t="n">
        <v>82487.92999999999</v>
      </c>
    </row>
    <row r="1155">
      <c r="A1155" s="20" t="inlineStr">
        <is>
          <t>ORD-20241154</t>
        </is>
      </c>
      <c r="B1155" s="21" t="n">
        <v>45992</v>
      </c>
      <c r="C1155" s="20" t="inlineStr">
        <is>
          <t>Central</t>
        </is>
      </c>
      <c r="D1155" s="20" t="inlineStr">
        <is>
          <t>Electronics</t>
        </is>
      </c>
      <c r="E1155" s="20" t="inlineStr">
        <is>
          <t>Monitor 27in</t>
        </is>
      </c>
      <c r="F1155" s="20" t="inlineStr">
        <is>
          <t>SMB</t>
        </is>
      </c>
      <c r="G1155" s="20" t="inlineStr">
        <is>
          <t>BrightRetail Co</t>
        </is>
      </c>
      <c r="H1155" s="20" t="n">
        <v>7</v>
      </c>
      <c r="I1155" s="22" t="n">
        <v>36687.01</v>
      </c>
      <c r="J1155" s="23" t="n">
        <v>0.12</v>
      </c>
      <c r="K1155" s="24" t="n">
        <v>225991.98</v>
      </c>
      <c r="L1155" s="24" t="n">
        <v>160396.28</v>
      </c>
      <c r="M1155" s="24" t="n">
        <v>65595.7</v>
      </c>
    </row>
    <row r="1156">
      <c r="A1156" s="20" t="inlineStr">
        <is>
          <t>ORD-20241155</t>
        </is>
      </c>
      <c r="B1156" s="21" t="n">
        <v>45992</v>
      </c>
      <c r="C1156" s="20" t="inlineStr">
        <is>
          <t>South</t>
        </is>
      </c>
      <c r="D1156" s="20" t="inlineStr">
        <is>
          <t>Home &amp; Kitchen</t>
        </is>
      </c>
      <c r="E1156" s="20" t="inlineStr">
        <is>
          <t>Water Purifier</t>
        </is>
      </c>
      <c r="F1156" s="20" t="inlineStr">
        <is>
          <t>Enterprise</t>
        </is>
      </c>
      <c r="G1156" s="20" t="inlineStr">
        <is>
          <t>Infosys Ltd</t>
        </is>
      </c>
      <c r="H1156" s="20" t="n">
        <v>1</v>
      </c>
      <c r="I1156" s="22" t="n">
        <v>4404.46</v>
      </c>
      <c r="J1156" s="23" t="n">
        <v>0.1</v>
      </c>
      <c r="K1156" s="24" t="n">
        <v>3964.01</v>
      </c>
      <c r="L1156" s="24" t="n">
        <v>2928.97</v>
      </c>
      <c r="M1156" s="24" t="n">
        <v>1035.04</v>
      </c>
    </row>
    <row r="1157">
      <c r="A1157" s="20" t="inlineStr">
        <is>
          <t>ORD-20241156</t>
        </is>
      </c>
      <c r="B1157" s="21" t="n">
        <v>45992</v>
      </c>
      <c r="C1157" s="20" t="inlineStr">
        <is>
          <t>West</t>
        </is>
      </c>
      <c r="D1157" s="20" t="inlineStr">
        <is>
          <t>Electronics</t>
        </is>
      </c>
      <c r="E1157" s="20" t="inlineStr">
        <is>
          <t>USB-C Hub</t>
        </is>
      </c>
      <c r="F1157" s="20" t="inlineStr">
        <is>
          <t>Government</t>
        </is>
      </c>
      <c r="G1157" s="20" t="inlineStr">
        <is>
          <t>MH Education Dept</t>
        </is>
      </c>
      <c r="H1157" s="20" t="n">
        <v>2</v>
      </c>
      <c r="I1157" s="22" t="n">
        <v>18607.7</v>
      </c>
      <c r="J1157" s="23" t="n">
        <v>0</v>
      </c>
      <c r="K1157" s="24" t="n">
        <v>37215.4</v>
      </c>
      <c r="L1157" s="24" t="n">
        <v>28622.67</v>
      </c>
      <c r="M1157" s="24" t="n">
        <v>8592.73</v>
      </c>
    </row>
    <row r="1158">
      <c r="A1158" s="20" t="inlineStr">
        <is>
          <t>ORD-20241157</t>
        </is>
      </c>
      <c r="B1158" s="21" t="n">
        <v>45993</v>
      </c>
      <c r="C1158" s="20" t="inlineStr">
        <is>
          <t>North</t>
        </is>
      </c>
      <c r="D1158" s="20" t="inlineStr">
        <is>
          <t>Apparel</t>
        </is>
      </c>
      <c r="E1158" s="20" t="inlineStr">
        <is>
          <t>Hoodie Soft</t>
        </is>
      </c>
      <c r="F1158" s="20" t="inlineStr">
        <is>
          <t>Government</t>
        </is>
      </c>
      <c r="G1158" s="20" t="inlineStr">
        <is>
          <t>Municipal Corp Hyd</t>
        </is>
      </c>
      <c r="H1158" s="20" t="n">
        <v>10</v>
      </c>
      <c r="I1158" s="22" t="n">
        <v>3315.96</v>
      </c>
      <c r="J1158" s="23" t="n">
        <v>0.05</v>
      </c>
      <c r="K1158" s="24" t="n">
        <v>31501.62</v>
      </c>
      <c r="L1158" s="24" t="n">
        <v>21921.06</v>
      </c>
      <c r="M1158" s="24" t="n">
        <v>9580.559999999999</v>
      </c>
    </row>
    <row r="1159">
      <c r="A1159" s="20" t="inlineStr">
        <is>
          <t>ORD-20241158</t>
        </is>
      </c>
      <c r="B1159" s="21" t="n">
        <v>45993</v>
      </c>
      <c r="C1159" s="20" t="inlineStr">
        <is>
          <t>South</t>
        </is>
      </c>
      <c r="D1159" s="20" t="inlineStr">
        <is>
          <t>Apparel</t>
        </is>
      </c>
      <c r="E1159" s="20" t="inlineStr">
        <is>
          <t>Cap Embroidered</t>
        </is>
      </c>
      <c r="F1159" s="20" t="inlineStr">
        <is>
          <t>Consumer</t>
        </is>
      </c>
      <c r="G1159" s="20" t="inlineStr">
        <is>
          <t>App User North</t>
        </is>
      </c>
      <c r="H1159" s="20" t="n">
        <v>16</v>
      </c>
      <c r="I1159" s="22" t="n">
        <v>3889.85</v>
      </c>
      <c r="J1159" s="23" t="n">
        <v>0.15</v>
      </c>
      <c r="K1159" s="24" t="n">
        <v>52901.96</v>
      </c>
      <c r="L1159" s="24" t="n">
        <v>43679.47</v>
      </c>
      <c r="M1159" s="24" t="n">
        <v>9222.49</v>
      </c>
    </row>
    <row r="1160">
      <c r="A1160" s="20" t="inlineStr">
        <is>
          <t>ORD-20241159</t>
        </is>
      </c>
      <c r="B1160" s="21" t="n">
        <v>45993</v>
      </c>
      <c r="C1160" s="20" t="inlineStr">
        <is>
          <t>West</t>
        </is>
      </c>
      <c r="D1160" s="20" t="inlineStr">
        <is>
          <t>Home &amp; Kitchen</t>
        </is>
      </c>
      <c r="E1160" s="20" t="inlineStr">
        <is>
          <t>Mixer Grinder</t>
        </is>
      </c>
      <c r="F1160" s="20" t="inlineStr">
        <is>
          <t>Enterprise</t>
        </is>
      </c>
      <c r="G1160" s="20" t="inlineStr">
        <is>
          <t>Tech Mahindra</t>
        </is>
      </c>
      <c r="H1160" s="20" t="n">
        <v>7</v>
      </c>
      <c r="I1160" s="22" t="n">
        <v>10834.78</v>
      </c>
      <c r="J1160" s="23" t="n">
        <v>0</v>
      </c>
      <c r="K1160" s="24" t="n">
        <v>75843.46000000001</v>
      </c>
      <c r="L1160" s="24" t="n">
        <v>45906.99</v>
      </c>
      <c r="M1160" s="24" t="n">
        <v>29936.47</v>
      </c>
    </row>
    <row r="1161">
      <c r="A1161" s="20" t="inlineStr">
        <is>
          <t>ORD-20241160</t>
        </is>
      </c>
      <c r="B1161" s="21" t="n">
        <v>45993</v>
      </c>
      <c r="C1161" s="20" t="inlineStr">
        <is>
          <t>South</t>
        </is>
      </c>
      <c r="D1161" s="20" t="inlineStr">
        <is>
          <t>Electronics</t>
        </is>
      </c>
      <c r="E1161" s="20" t="inlineStr">
        <is>
          <t>Keyboard Mech</t>
        </is>
      </c>
      <c r="F1161" s="20" t="inlineStr">
        <is>
          <t>Consumer</t>
        </is>
      </c>
      <c r="G1161" s="20" t="inlineStr">
        <is>
          <t>Retail Counter</t>
        </is>
      </c>
      <c r="H1161" s="20" t="n">
        <v>13</v>
      </c>
      <c r="I1161" s="22" t="n">
        <v>26840.41</v>
      </c>
      <c r="J1161" s="23" t="n">
        <v>0.1</v>
      </c>
      <c r="K1161" s="24" t="n">
        <v>314032.8</v>
      </c>
      <c r="L1161" s="24" t="n">
        <v>264389.84</v>
      </c>
      <c r="M1161" s="24" t="n">
        <v>49642.96</v>
      </c>
    </row>
    <row r="1162">
      <c r="A1162" s="20" t="inlineStr">
        <is>
          <t>ORD-20241161</t>
        </is>
      </c>
      <c r="B1162" s="21" t="n">
        <v>45994</v>
      </c>
      <c r="C1162" s="20" t="inlineStr">
        <is>
          <t>East</t>
        </is>
      </c>
      <c r="D1162" s="20" t="inlineStr">
        <is>
          <t>Electronics</t>
        </is>
      </c>
      <c r="E1162" s="20" t="inlineStr">
        <is>
          <t>Keyboard Mech</t>
        </is>
      </c>
      <c r="F1162" s="20" t="inlineStr">
        <is>
          <t>SMB</t>
        </is>
      </c>
      <c r="G1162" s="20" t="inlineStr">
        <is>
          <t>GreenFarm Agro</t>
        </is>
      </c>
      <c r="H1162" s="20" t="n">
        <v>15</v>
      </c>
      <c r="I1162" s="22" t="n">
        <v>80836.75</v>
      </c>
      <c r="J1162" s="23" t="n">
        <v>0.1</v>
      </c>
      <c r="K1162" s="24" t="n">
        <v>1091296.12</v>
      </c>
      <c r="L1162" s="24" t="n">
        <v>694611.88</v>
      </c>
      <c r="M1162" s="24" t="n">
        <v>396684.24</v>
      </c>
    </row>
    <row r="1163">
      <c r="A1163" s="20" t="inlineStr">
        <is>
          <t>ORD-20241162</t>
        </is>
      </c>
      <c r="B1163" s="21" t="n">
        <v>45994</v>
      </c>
      <c r="C1163" s="20" t="inlineStr">
        <is>
          <t>West</t>
        </is>
      </c>
      <c r="D1163" s="20" t="inlineStr">
        <is>
          <t>Apparel</t>
        </is>
      </c>
      <c r="E1163" s="20" t="inlineStr">
        <is>
          <t>Cap Embroidered</t>
        </is>
      </c>
      <c r="F1163" s="20" t="inlineStr">
        <is>
          <t>Enterprise</t>
        </is>
      </c>
      <c r="G1163" s="20" t="inlineStr">
        <is>
          <t>Tech Mahindra</t>
        </is>
      </c>
      <c r="H1163" s="20" t="n">
        <v>9</v>
      </c>
      <c r="I1163" s="22" t="n">
        <v>2528.66</v>
      </c>
      <c r="J1163" s="23" t="n">
        <v>0</v>
      </c>
      <c r="K1163" s="24" t="n">
        <v>22757.94</v>
      </c>
      <c r="L1163" s="24" t="n">
        <v>13592.49</v>
      </c>
      <c r="M1163" s="24" t="n">
        <v>9165.450000000001</v>
      </c>
    </row>
    <row r="1164">
      <c r="A1164" s="20" t="inlineStr">
        <is>
          <t>ORD-20241163</t>
        </is>
      </c>
      <c r="B1164" s="21" t="n">
        <v>45994</v>
      </c>
      <c r="C1164" s="20" t="inlineStr">
        <is>
          <t>Central</t>
        </is>
      </c>
      <c r="D1164" s="20" t="inlineStr">
        <is>
          <t>Home &amp; Kitchen</t>
        </is>
      </c>
      <c r="E1164" s="20" t="inlineStr">
        <is>
          <t>Air Fryer</t>
        </is>
      </c>
      <c r="F1164" s="20" t="inlineStr">
        <is>
          <t>Enterprise</t>
        </is>
      </c>
      <c r="G1164" s="20" t="inlineStr">
        <is>
          <t>L&amp;T Infotech</t>
        </is>
      </c>
      <c r="H1164" s="20" t="n">
        <v>3</v>
      </c>
      <c r="I1164" s="22" t="n">
        <v>10657.26</v>
      </c>
      <c r="J1164" s="23" t="n">
        <v>0.2</v>
      </c>
      <c r="K1164" s="24" t="n">
        <v>25577.42</v>
      </c>
      <c r="L1164" s="24" t="n">
        <v>18364.95</v>
      </c>
      <c r="M1164" s="24" t="n">
        <v>7212.47</v>
      </c>
    </row>
    <row r="1165">
      <c r="A1165" s="20" t="inlineStr">
        <is>
          <t>ORD-20241164</t>
        </is>
      </c>
      <c r="B1165" s="21" t="n">
        <v>45994</v>
      </c>
      <c r="C1165" s="20" t="inlineStr">
        <is>
          <t>Central</t>
        </is>
      </c>
      <c r="D1165" s="20" t="inlineStr">
        <is>
          <t>Furniture</t>
        </is>
      </c>
      <c r="E1165" s="20" t="inlineStr">
        <is>
          <t>Conference Table</t>
        </is>
      </c>
      <c r="F1165" s="20" t="inlineStr">
        <is>
          <t>SMB</t>
        </is>
      </c>
      <c r="G1165" s="20" t="inlineStr">
        <is>
          <t>CityCare Clinics</t>
        </is>
      </c>
      <c r="H1165" s="20" t="n">
        <v>25</v>
      </c>
      <c r="I1165" s="22" t="n">
        <v>10230.08</v>
      </c>
      <c r="J1165" s="23" t="n">
        <v>0.2</v>
      </c>
      <c r="K1165" s="24" t="n">
        <v>204601.6</v>
      </c>
      <c r="L1165" s="24" t="n">
        <v>156223.49</v>
      </c>
      <c r="M1165" s="24" t="n">
        <v>48378.11</v>
      </c>
    </row>
    <row r="1166">
      <c r="A1166" s="20" t="inlineStr">
        <is>
          <t>ORD-20241165</t>
        </is>
      </c>
      <c r="B1166" s="21" t="n">
        <v>45994</v>
      </c>
      <c r="C1166" s="20" t="inlineStr">
        <is>
          <t>East</t>
        </is>
      </c>
      <c r="D1166" s="20" t="inlineStr">
        <is>
          <t>Electronics</t>
        </is>
      </c>
      <c r="E1166" s="20" t="inlineStr">
        <is>
          <t>USB-C Hub</t>
        </is>
      </c>
      <c r="F1166" s="20" t="inlineStr">
        <is>
          <t>Consumer</t>
        </is>
      </c>
      <c r="G1166" s="20" t="inlineStr">
        <is>
          <t>Retail Counter</t>
        </is>
      </c>
      <c r="H1166" s="20" t="n">
        <v>25</v>
      </c>
      <c r="I1166" s="22" t="n">
        <v>56703.5</v>
      </c>
      <c r="J1166" s="23" t="n">
        <v>0.15</v>
      </c>
      <c r="K1166" s="24" t="n">
        <v>1204949.38</v>
      </c>
      <c r="L1166" s="24" t="n">
        <v>816438.3199999999</v>
      </c>
      <c r="M1166" s="24" t="n">
        <v>388511.06</v>
      </c>
    </row>
    <row r="1167">
      <c r="A1167" s="20" t="inlineStr">
        <is>
          <t>ORD-20241166</t>
        </is>
      </c>
      <c r="B1167" s="21" t="n">
        <v>45996</v>
      </c>
      <c r="C1167" s="20" t="inlineStr">
        <is>
          <t>West</t>
        </is>
      </c>
      <c r="D1167" s="20" t="inlineStr">
        <is>
          <t>Home &amp; Kitchen</t>
        </is>
      </c>
      <c r="E1167" s="20" t="inlineStr">
        <is>
          <t>Vacuum Robot</t>
        </is>
      </c>
      <c r="F1167" s="20" t="inlineStr">
        <is>
          <t>Enterprise</t>
        </is>
      </c>
      <c r="G1167" s="20" t="inlineStr">
        <is>
          <t>Wipro Tech</t>
        </is>
      </c>
      <c r="H1167" s="20" t="n">
        <v>11</v>
      </c>
      <c r="I1167" s="22" t="n">
        <v>19192.45</v>
      </c>
      <c r="J1167" s="23" t="n">
        <v>0.12</v>
      </c>
      <c r="K1167" s="24" t="n">
        <v>185782.92</v>
      </c>
      <c r="L1167" s="24" t="n">
        <v>144457.09</v>
      </c>
      <c r="M1167" s="24" t="n">
        <v>41325.83</v>
      </c>
    </row>
    <row r="1168">
      <c r="A1168" s="20" t="inlineStr">
        <is>
          <t>ORD-20241167</t>
        </is>
      </c>
      <c r="B1168" s="21" t="n">
        <v>45997</v>
      </c>
      <c r="C1168" s="20" t="inlineStr">
        <is>
          <t>North</t>
        </is>
      </c>
      <c r="D1168" s="20" t="inlineStr">
        <is>
          <t>Apparel</t>
        </is>
      </c>
      <c r="E1168" s="20" t="inlineStr">
        <is>
          <t>Polo Shirt</t>
        </is>
      </c>
      <c r="F1168" s="20" t="inlineStr">
        <is>
          <t>SMB</t>
        </is>
      </c>
      <c r="G1168" s="20" t="inlineStr">
        <is>
          <t>GreenFarm Agro</t>
        </is>
      </c>
      <c r="H1168" s="20" t="n">
        <v>15</v>
      </c>
      <c r="I1168" s="22" t="n">
        <v>302.18</v>
      </c>
      <c r="J1168" s="23" t="n">
        <v>0.12</v>
      </c>
      <c r="K1168" s="24" t="n">
        <v>3988.78</v>
      </c>
      <c r="L1168" s="24" t="n">
        <v>2703.91</v>
      </c>
      <c r="M1168" s="24" t="n">
        <v>1284.87</v>
      </c>
    </row>
    <row r="1169">
      <c r="A1169" s="20" t="inlineStr">
        <is>
          <t>ORD-20241168</t>
        </is>
      </c>
      <c r="B1169" s="21" t="n">
        <v>45997</v>
      </c>
      <c r="C1169" s="20" t="inlineStr">
        <is>
          <t>East</t>
        </is>
      </c>
      <c r="D1169" s="20" t="inlineStr">
        <is>
          <t>Home &amp; Kitchen</t>
        </is>
      </c>
      <c r="E1169" s="20" t="inlineStr">
        <is>
          <t>Mixer Grinder</t>
        </is>
      </c>
      <c r="F1169" s="20" t="inlineStr">
        <is>
          <t>SMB</t>
        </is>
      </c>
      <c r="G1169" s="20" t="inlineStr">
        <is>
          <t>SwiftPrint</t>
        </is>
      </c>
      <c r="H1169" s="20" t="n">
        <v>19</v>
      </c>
      <c r="I1169" s="22" t="n">
        <v>22990.08</v>
      </c>
      <c r="J1169" s="23" t="n">
        <v>0.12</v>
      </c>
      <c r="K1169" s="24" t="n">
        <v>384394.14</v>
      </c>
      <c r="L1169" s="24" t="n">
        <v>271071.84</v>
      </c>
      <c r="M1169" s="24" t="n">
        <v>113322.3</v>
      </c>
    </row>
    <row r="1170">
      <c r="A1170" s="20" t="inlineStr">
        <is>
          <t>ORD-20241169</t>
        </is>
      </c>
      <c r="B1170" s="21" t="n">
        <v>45997</v>
      </c>
      <c r="C1170" s="20" t="inlineStr">
        <is>
          <t>Central</t>
        </is>
      </c>
      <c r="D1170" s="20" t="inlineStr">
        <is>
          <t>Furniture</t>
        </is>
      </c>
      <c r="E1170" s="20" t="inlineStr">
        <is>
          <t>Conference Table</t>
        </is>
      </c>
      <c r="F1170" s="20" t="inlineStr">
        <is>
          <t>Consumer</t>
        </is>
      </c>
      <c r="G1170" s="20" t="inlineStr">
        <is>
          <t>Online Guest</t>
        </is>
      </c>
      <c r="H1170" s="20" t="n">
        <v>6</v>
      </c>
      <c r="I1170" s="22" t="n">
        <v>38100.29</v>
      </c>
      <c r="J1170" s="23" t="n">
        <v>0.05</v>
      </c>
      <c r="K1170" s="24" t="n">
        <v>217171.65</v>
      </c>
      <c r="L1170" s="24" t="n">
        <v>165110.14</v>
      </c>
      <c r="M1170" s="24" t="n">
        <v>52061.51</v>
      </c>
    </row>
    <row r="1171">
      <c r="A1171" s="20" t="inlineStr">
        <is>
          <t>ORD-20241170</t>
        </is>
      </c>
      <c r="B1171" s="21" t="n">
        <v>45998</v>
      </c>
      <c r="C1171" s="20" t="inlineStr">
        <is>
          <t>South</t>
        </is>
      </c>
      <c r="D1171" s="20" t="inlineStr">
        <is>
          <t>Office Supplies</t>
        </is>
      </c>
      <c r="E1171" s="20" t="inlineStr">
        <is>
          <t>Stapler Heavy</t>
        </is>
      </c>
      <c r="F1171" s="20" t="inlineStr">
        <is>
          <t>Enterprise</t>
        </is>
      </c>
      <c r="G1171" s="20" t="inlineStr">
        <is>
          <t>L&amp;T Infotech</t>
        </is>
      </c>
      <c r="H1171" s="20" t="n">
        <v>7</v>
      </c>
      <c r="I1171" s="22" t="n">
        <v>1138.64</v>
      </c>
      <c r="J1171" s="23" t="n">
        <v>0.2</v>
      </c>
      <c r="K1171" s="24" t="n">
        <v>6376.38</v>
      </c>
      <c r="L1171" s="24" t="n">
        <v>6126.92</v>
      </c>
      <c r="M1171" s="24" t="n">
        <v>249.46</v>
      </c>
    </row>
    <row r="1172">
      <c r="A1172" s="20" t="inlineStr">
        <is>
          <t>ORD-20241171</t>
        </is>
      </c>
      <c r="B1172" s="21" t="n">
        <v>45998</v>
      </c>
      <c r="C1172" s="20" t="inlineStr">
        <is>
          <t>South</t>
        </is>
      </c>
      <c r="D1172" s="20" t="inlineStr">
        <is>
          <t>Office Supplies</t>
        </is>
      </c>
      <c r="E1172" s="20" t="inlineStr">
        <is>
          <t>Stapler Heavy</t>
        </is>
      </c>
      <c r="F1172" s="20" t="inlineStr">
        <is>
          <t>Enterprise</t>
        </is>
      </c>
      <c r="G1172" s="20" t="inlineStr">
        <is>
          <t>HCL Services</t>
        </is>
      </c>
      <c r="H1172" s="20" t="n">
        <v>13</v>
      </c>
      <c r="I1172" s="22" t="n">
        <v>3369.97</v>
      </c>
      <c r="J1172" s="23" t="n">
        <v>0.05</v>
      </c>
      <c r="K1172" s="24" t="n">
        <v>41619.13</v>
      </c>
      <c r="L1172" s="24" t="n">
        <v>32516.06</v>
      </c>
      <c r="M1172" s="24" t="n">
        <v>9103.07</v>
      </c>
    </row>
    <row r="1173">
      <c r="A1173" s="20" t="inlineStr">
        <is>
          <t>ORD-20241172</t>
        </is>
      </c>
      <c r="B1173" s="21" t="n">
        <v>45999</v>
      </c>
      <c r="C1173" s="20" t="inlineStr">
        <is>
          <t>South</t>
        </is>
      </c>
      <c r="D1173" s="20" t="inlineStr">
        <is>
          <t>Furniture</t>
        </is>
      </c>
      <c r="E1173" s="20" t="inlineStr">
        <is>
          <t>Bookshelf Oak</t>
        </is>
      </c>
      <c r="F1173" s="20" t="inlineStr">
        <is>
          <t>Government</t>
        </is>
      </c>
      <c r="G1173" s="20" t="inlineStr">
        <is>
          <t>Municipal Corp Hyd</t>
        </is>
      </c>
      <c r="H1173" s="20" t="n">
        <v>23</v>
      </c>
      <c r="I1173" s="22" t="n">
        <v>20676.69</v>
      </c>
      <c r="J1173" s="23" t="n">
        <v>0</v>
      </c>
      <c r="K1173" s="24" t="n">
        <v>475563.87</v>
      </c>
      <c r="L1173" s="24" t="n">
        <v>273796.86</v>
      </c>
      <c r="M1173" s="24" t="n">
        <v>201767.01</v>
      </c>
    </row>
    <row r="1174">
      <c r="A1174" s="20" t="inlineStr">
        <is>
          <t>ORD-20241173</t>
        </is>
      </c>
      <c r="B1174" s="21" t="n">
        <v>45999</v>
      </c>
      <c r="C1174" s="20" t="inlineStr">
        <is>
          <t>East</t>
        </is>
      </c>
      <c r="D1174" s="20" t="inlineStr">
        <is>
          <t>Furniture</t>
        </is>
      </c>
      <c r="E1174" s="20" t="inlineStr">
        <is>
          <t>Standing Desk</t>
        </is>
      </c>
      <c r="F1174" s="20" t="inlineStr">
        <is>
          <t>Enterprise</t>
        </is>
      </c>
      <c r="G1174" s="20" t="inlineStr">
        <is>
          <t>TCS Digital</t>
        </is>
      </c>
      <c r="H1174" s="20" t="n">
        <v>18</v>
      </c>
      <c r="I1174" s="22" t="n">
        <v>28042.46</v>
      </c>
      <c r="J1174" s="23" t="n">
        <v>0.05</v>
      </c>
      <c r="K1174" s="24" t="n">
        <v>479526.07</v>
      </c>
      <c r="L1174" s="24" t="n">
        <v>368055.45</v>
      </c>
      <c r="M1174" s="24" t="n">
        <v>111470.62</v>
      </c>
    </row>
    <row r="1175">
      <c r="A1175" s="20" t="inlineStr">
        <is>
          <t>ORD-20241174</t>
        </is>
      </c>
      <c r="B1175" s="21" t="n">
        <v>46001</v>
      </c>
      <c r="C1175" s="20" t="inlineStr">
        <is>
          <t>Central</t>
        </is>
      </c>
      <c r="D1175" s="20" t="inlineStr">
        <is>
          <t>Electronics</t>
        </is>
      </c>
      <c r="E1175" s="20" t="inlineStr">
        <is>
          <t>USB-C Hub</t>
        </is>
      </c>
      <c r="F1175" s="20" t="inlineStr">
        <is>
          <t>Enterprise</t>
        </is>
      </c>
      <c r="G1175" s="20" t="inlineStr">
        <is>
          <t>Wipro Tech</t>
        </is>
      </c>
      <c r="H1175" s="20" t="n">
        <v>6</v>
      </c>
      <c r="I1175" s="22" t="n">
        <v>49775.31</v>
      </c>
      <c r="J1175" s="23" t="n">
        <v>0</v>
      </c>
      <c r="K1175" s="24" t="n">
        <v>298651.86</v>
      </c>
      <c r="L1175" s="24" t="n">
        <v>186217.4</v>
      </c>
      <c r="M1175" s="24" t="n">
        <v>112434.46</v>
      </c>
    </row>
    <row r="1176">
      <c r="A1176" s="20" t="inlineStr">
        <is>
          <t>ORD-20241175</t>
        </is>
      </c>
      <c r="B1176" s="21" t="n">
        <v>46002</v>
      </c>
      <c r="C1176" s="20" t="inlineStr">
        <is>
          <t>North</t>
        </is>
      </c>
      <c r="D1176" s="20" t="inlineStr">
        <is>
          <t>Furniture</t>
        </is>
      </c>
      <c r="E1176" s="20" t="inlineStr">
        <is>
          <t>Ergo Chair</t>
        </is>
      </c>
      <c r="F1176" s="20" t="inlineStr">
        <is>
          <t>Enterprise</t>
        </is>
      </c>
      <c r="G1176" s="20" t="inlineStr">
        <is>
          <t>TCS Digital</t>
        </is>
      </c>
      <c r="H1176" s="20" t="n">
        <v>20</v>
      </c>
      <c r="I1176" s="22" t="n">
        <v>41886.01</v>
      </c>
      <c r="J1176" s="23" t="n">
        <v>0.05</v>
      </c>
      <c r="K1176" s="24" t="n">
        <v>795834.1899999999</v>
      </c>
      <c r="L1176" s="24" t="n">
        <v>463392.18</v>
      </c>
      <c r="M1176" s="24" t="n">
        <v>332442.01</v>
      </c>
    </row>
    <row r="1177">
      <c r="A1177" s="20" t="inlineStr">
        <is>
          <t>ORD-20241176</t>
        </is>
      </c>
      <c r="B1177" s="21" t="n">
        <v>46002</v>
      </c>
      <c r="C1177" s="20" t="inlineStr">
        <is>
          <t>Central</t>
        </is>
      </c>
      <c r="D1177" s="20" t="inlineStr">
        <is>
          <t>Apparel</t>
        </is>
      </c>
      <c r="E1177" s="20" t="inlineStr">
        <is>
          <t>Polo Shirt</t>
        </is>
      </c>
      <c r="F1177" s="20" t="inlineStr">
        <is>
          <t>SMB</t>
        </is>
      </c>
      <c r="G1177" s="20" t="inlineStr">
        <is>
          <t>Pixel Studio</t>
        </is>
      </c>
      <c r="H1177" s="20" t="n">
        <v>4</v>
      </c>
      <c r="I1177" s="22" t="n">
        <v>3118.38</v>
      </c>
      <c r="J1177" s="23" t="n">
        <v>0.12</v>
      </c>
      <c r="K1177" s="24" t="n">
        <v>10976.7</v>
      </c>
      <c r="L1177" s="24" t="n">
        <v>8805.27</v>
      </c>
      <c r="M1177" s="24" t="n">
        <v>2171.43</v>
      </c>
    </row>
    <row r="1178">
      <c r="A1178" s="20" t="inlineStr">
        <is>
          <t>ORD-20241177</t>
        </is>
      </c>
      <c r="B1178" s="21" t="n">
        <v>46003</v>
      </c>
      <c r="C1178" s="20" t="inlineStr">
        <is>
          <t>West</t>
        </is>
      </c>
      <c r="D1178" s="20" t="inlineStr">
        <is>
          <t>Office Supplies</t>
        </is>
      </c>
      <c r="E1178" s="20" t="inlineStr">
        <is>
          <t>Stapler Heavy</t>
        </is>
      </c>
      <c r="F1178" s="20" t="inlineStr">
        <is>
          <t>Enterprise</t>
        </is>
      </c>
      <c r="G1178" s="20" t="inlineStr">
        <is>
          <t>HCL Services</t>
        </is>
      </c>
      <c r="H1178" s="20" t="n">
        <v>18</v>
      </c>
      <c r="I1178" s="22" t="n">
        <v>273.99</v>
      </c>
      <c r="J1178" s="23" t="n">
        <v>0.15</v>
      </c>
      <c r="K1178" s="24" t="n">
        <v>4192.05</v>
      </c>
      <c r="L1178" s="24" t="n">
        <v>2865.12</v>
      </c>
      <c r="M1178" s="24" t="n">
        <v>1326.93</v>
      </c>
    </row>
    <row r="1179">
      <c r="A1179" s="20" t="inlineStr">
        <is>
          <t>ORD-20241178</t>
        </is>
      </c>
      <c r="B1179" s="21" t="n">
        <v>46004</v>
      </c>
      <c r="C1179" s="20" t="inlineStr">
        <is>
          <t>West</t>
        </is>
      </c>
      <c r="D1179" s="20" t="inlineStr">
        <is>
          <t>Furniture</t>
        </is>
      </c>
      <c r="E1179" s="20" t="inlineStr">
        <is>
          <t>Conference Table</t>
        </is>
      </c>
      <c r="F1179" s="20" t="inlineStr">
        <is>
          <t>SMB</t>
        </is>
      </c>
      <c r="G1179" s="20" t="inlineStr">
        <is>
          <t>BrightRetail Co</t>
        </is>
      </c>
      <c r="H1179" s="20" t="n">
        <v>5</v>
      </c>
      <c r="I1179" s="22" t="n">
        <v>29795.32</v>
      </c>
      <c r="J1179" s="23" t="n">
        <v>0.12</v>
      </c>
      <c r="K1179" s="24" t="n">
        <v>131099.41</v>
      </c>
      <c r="L1179" s="24" t="n">
        <v>111409.94</v>
      </c>
      <c r="M1179" s="24" t="n">
        <v>19689.47</v>
      </c>
    </row>
    <row r="1180">
      <c r="A1180" s="20" t="inlineStr">
        <is>
          <t>ORD-20241179</t>
        </is>
      </c>
      <c r="B1180" s="21" t="n">
        <v>46006</v>
      </c>
      <c r="C1180" s="20" t="inlineStr">
        <is>
          <t>North</t>
        </is>
      </c>
      <c r="D1180" s="20" t="inlineStr">
        <is>
          <t>Apparel</t>
        </is>
      </c>
      <c r="E1180" s="20" t="inlineStr">
        <is>
          <t>Polo Shirt</t>
        </is>
      </c>
      <c r="F1180" s="20" t="inlineStr">
        <is>
          <t>Government</t>
        </is>
      </c>
      <c r="G1180" s="20" t="inlineStr">
        <is>
          <t>Railways Zone W</t>
        </is>
      </c>
      <c r="H1180" s="20" t="n">
        <v>17</v>
      </c>
      <c r="I1180" s="22" t="n">
        <v>452.76</v>
      </c>
      <c r="J1180" s="23" t="n">
        <v>0.12</v>
      </c>
      <c r="K1180" s="24" t="n">
        <v>6773.29</v>
      </c>
      <c r="L1180" s="24" t="n">
        <v>5566.14</v>
      </c>
      <c r="M1180" s="24" t="n">
        <v>1207.15</v>
      </c>
    </row>
    <row r="1181">
      <c r="A1181" s="20" t="inlineStr">
        <is>
          <t>ORD-20241180</t>
        </is>
      </c>
      <c r="B1181" s="21" t="n">
        <v>46007</v>
      </c>
      <c r="C1181" s="20" t="inlineStr">
        <is>
          <t>West</t>
        </is>
      </c>
      <c r="D1181" s="20" t="inlineStr">
        <is>
          <t>Office Supplies</t>
        </is>
      </c>
      <c r="E1181" s="20" t="inlineStr">
        <is>
          <t>Whiteboard Kit</t>
        </is>
      </c>
      <c r="F1181" s="20" t="inlineStr">
        <is>
          <t>Enterprise</t>
        </is>
      </c>
      <c r="G1181" s="20" t="inlineStr">
        <is>
          <t>Wipro Tech</t>
        </is>
      </c>
      <c r="H1181" s="20" t="n">
        <v>11</v>
      </c>
      <c r="I1181" s="22" t="n">
        <v>2831.63</v>
      </c>
      <c r="J1181" s="23" t="n">
        <v>0</v>
      </c>
      <c r="K1181" s="24" t="n">
        <v>31147.93</v>
      </c>
      <c r="L1181" s="24" t="n">
        <v>20404.74</v>
      </c>
      <c r="M1181" s="24" t="n">
        <v>10743.19</v>
      </c>
    </row>
    <row r="1182">
      <c r="A1182" s="20" t="inlineStr">
        <is>
          <t>ORD-20241181</t>
        </is>
      </c>
      <c r="B1182" s="21" t="n">
        <v>46008</v>
      </c>
      <c r="C1182" s="20" t="inlineStr">
        <is>
          <t>West</t>
        </is>
      </c>
      <c r="D1182" s="20" t="inlineStr">
        <is>
          <t>Office Supplies</t>
        </is>
      </c>
      <c r="E1182" s="20" t="inlineStr">
        <is>
          <t>Gel Pen Pack</t>
        </is>
      </c>
      <c r="F1182" s="20" t="inlineStr">
        <is>
          <t>Government</t>
        </is>
      </c>
      <c r="G1182" s="20" t="inlineStr">
        <is>
          <t>Delhi NDMC</t>
        </is>
      </c>
      <c r="H1182" s="20" t="n">
        <v>8</v>
      </c>
      <c r="I1182" s="22" t="n">
        <v>1365.71</v>
      </c>
      <c r="J1182" s="23" t="n">
        <v>0.1</v>
      </c>
      <c r="K1182" s="24" t="n">
        <v>9833.110000000001</v>
      </c>
      <c r="L1182" s="24" t="n">
        <v>7453.57</v>
      </c>
      <c r="M1182" s="24" t="n">
        <v>2379.54</v>
      </c>
    </row>
    <row r="1183">
      <c r="A1183" s="20" t="inlineStr">
        <is>
          <t>ORD-20241182</t>
        </is>
      </c>
      <c r="B1183" s="21" t="n">
        <v>46008</v>
      </c>
      <c r="C1183" s="20" t="inlineStr">
        <is>
          <t>South</t>
        </is>
      </c>
      <c r="D1183" s="20" t="inlineStr">
        <is>
          <t>Apparel</t>
        </is>
      </c>
      <c r="E1183" s="20" t="inlineStr">
        <is>
          <t>Cap Embroidered</t>
        </is>
      </c>
      <c r="F1183" s="20" t="inlineStr">
        <is>
          <t>SMB</t>
        </is>
      </c>
      <c r="G1183" s="20" t="inlineStr">
        <is>
          <t>Nova Logistics</t>
        </is>
      </c>
      <c r="H1183" s="20" t="n">
        <v>20</v>
      </c>
      <c r="I1183" s="22" t="n">
        <v>1511.85</v>
      </c>
      <c r="J1183" s="23" t="n">
        <v>0.1</v>
      </c>
      <c r="K1183" s="24" t="n">
        <v>27213.3</v>
      </c>
      <c r="L1183" s="24" t="n">
        <v>19357.05</v>
      </c>
      <c r="M1183" s="24" t="n">
        <v>7856.25</v>
      </c>
    </row>
    <row r="1184">
      <c r="A1184" s="20" t="inlineStr">
        <is>
          <t>ORD-20241183</t>
        </is>
      </c>
      <c r="B1184" s="21" t="n">
        <v>46009</v>
      </c>
      <c r="C1184" s="20" t="inlineStr">
        <is>
          <t>South</t>
        </is>
      </c>
      <c r="D1184" s="20" t="inlineStr">
        <is>
          <t>Apparel</t>
        </is>
      </c>
      <c r="E1184" s="20" t="inlineStr">
        <is>
          <t>Cap Embroidered</t>
        </is>
      </c>
      <c r="F1184" s="20" t="inlineStr">
        <is>
          <t>SMB</t>
        </is>
      </c>
      <c r="G1184" s="20" t="inlineStr">
        <is>
          <t>BrightRetail Co</t>
        </is>
      </c>
      <c r="H1184" s="20" t="n">
        <v>5</v>
      </c>
      <c r="I1184" s="22" t="n">
        <v>3719.53</v>
      </c>
      <c r="J1184" s="23" t="n">
        <v>0.05</v>
      </c>
      <c r="K1184" s="24" t="n">
        <v>17667.77</v>
      </c>
      <c r="L1184" s="24" t="n">
        <v>14251.39</v>
      </c>
      <c r="M1184" s="24" t="n">
        <v>3416.38</v>
      </c>
    </row>
    <row r="1185">
      <c r="A1185" s="20" t="inlineStr">
        <is>
          <t>ORD-20241184</t>
        </is>
      </c>
      <c r="B1185" s="21" t="n">
        <v>46009</v>
      </c>
      <c r="C1185" s="20" t="inlineStr">
        <is>
          <t>Central</t>
        </is>
      </c>
      <c r="D1185" s="20" t="inlineStr">
        <is>
          <t>Apparel</t>
        </is>
      </c>
      <c r="E1185" s="20" t="inlineStr">
        <is>
          <t>Safety Vest</t>
        </is>
      </c>
      <c r="F1185" s="20" t="inlineStr">
        <is>
          <t>SMB</t>
        </is>
      </c>
      <c r="G1185" s="20" t="inlineStr">
        <is>
          <t>BrightRetail Co</t>
        </is>
      </c>
      <c r="H1185" s="20" t="n">
        <v>11</v>
      </c>
      <c r="I1185" s="22" t="n">
        <v>597.4400000000001</v>
      </c>
      <c r="J1185" s="23" t="n">
        <v>0.2</v>
      </c>
      <c r="K1185" s="24" t="n">
        <v>5257.47</v>
      </c>
      <c r="L1185" s="24" t="n">
        <v>3893.98</v>
      </c>
      <c r="M1185" s="24" t="n">
        <v>1363.49</v>
      </c>
    </row>
    <row r="1186">
      <c r="A1186" s="20" t="inlineStr">
        <is>
          <t>ORD-20241185</t>
        </is>
      </c>
      <c r="B1186" s="21" t="n">
        <v>46010</v>
      </c>
      <c r="C1186" s="20" t="inlineStr">
        <is>
          <t>South</t>
        </is>
      </c>
      <c r="D1186" s="20" t="inlineStr">
        <is>
          <t>Office Supplies</t>
        </is>
      </c>
      <c r="E1186" s="20" t="inlineStr">
        <is>
          <t>Whiteboard Kit</t>
        </is>
      </c>
      <c r="F1186" s="20" t="inlineStr">
        <is>
          <t>SMB</t>
        </is>
      </c>
      <c r="G1186" s="20" t="inlineStr">
        <is>
          <t>GreenFarm Agro</t>
        </is>
      </c>
      <c r="H1186" s="20" t="n">
        <v>20</v>
      </c>
      <c r="I1186" s="22" t="n">
        <v>2465.05</v>
      </c>
      <c r="J1186" s="23" t="n">
        <v>0.2</v>
      </c>
      <c r="K1186" s="24" t="n">
        <v>39440.8</v>
      </c>
      <c r="L1186" s="24" t="n">
        <v>30504.99</v>
      </c>
      <c r="M1186" s="24" t="n">
        <v>8935.809999999999</v>
      </c>
    </row>
    <row r="1187">
      <c r="A1187" s="20" t="inlineStr">
        <is>
          <t>ORD-20241186</t>
        </is>
      </c>
      <c r="B1187" s="21" t="n">
        <v>46010</v>
      </c>
      <c r="C1187" s="20" t="inlineStr">
        <is>
          <t>West</t>
        </is>
      </c>
      <c r="D1187" s="20" t="inlineStr">
        <is>
          <t>Furniture</t>
        </is>
      </c>
      <c r="E1187" s="20" t="inlineStr">
        <is>
          <t>Filing Cabinet</t>
        </is>
      </c>
      <c r="F1187" s="20" t="inlineStr">
        <is>
          <t>Government</t>
        </is>
      </c>
      <c r="G1187" s="20" t="inlineStr">
        <is>
          <t>Railways Zone W</t>
        </is>
      </c>
      <c r="H1187" s="20" t="n">
        <v>22</v>
      </c>
      <c r="I1187" s="22" t="n">
        <v>31763.4</v>
      </c>
      <c r="J1187" s="23" t="n">
        <v>0.12</v>
      </c>
      <c r="K1187" s="24" t="n">
        <v>614939.42</v>
      </c>
      <c r="L1187" s="24" t="n">
        <v>486252.63</v>
      </c>
      <c r="M1187" s="24" t="n">
        <v>128686.79</v>
      </c>
    </row>
    <row r="1188">
      <c r="A1188" s="20" t="inlineStr">
        <is>
          <t>ORD-20241187</t>
        </is>
      </c>
      <c r="B1188" s="21" t="n">
        <v>46016</v>
      </c>
      <c r="C1188" s="20" t="inlineStr">
        <is>
          <t>South</t>
        </is>
      </c>
      <c r="D1188" s="20" t="inlineStr">
        <is>
          <t>Office Supplies</t>
        </is>
      </c>
      <c r="E1188" s="20" t="inlineStr">
        <is>
          <t>Stapler Heavy</t>
        </is>
      </c>
      <c r="F1188" s="20" t="inlineStr">
        <is>
          <t>Enterprise</t>
        </is>
      </c>
      <c r="G1188" s="20" t="inlineStr">
        <is>
          <t>Infosys Ltd</t>
        </is>
      </c>
      <c r="H1188" s="20" t="n">
        <v>4</v>
      </c>
      <c r="I1188" s="22" t="n">
        <v>2486.48</v>
      </c>
      <c r="J1188" s="23" t="n">
        <v>0.1</v>
      </c>
      <c r="K1188" s="24" t="n">
        <v>8951.33</v>
      </c>
      <c r="L1188" s="24" t="n">
        <v>5665.4</v>
      </c>
      <c r="M1188" s="24" t="n">
        <v>3285.93</v>
      </c>
    </row>
    <row r="1189">
      <c r="A1189" s="20" t="inlineStr">
        <is>
          <t>ORD-20241188</t>
        </is>
      </c>
      <c r="B1189" s="21" t="n">
        <v>46017</v>
      </c>
      <c r="C1189" s="20" t="inlineStr">
        <is>
          <t>West</t>
        </is>
      </c>
      <c r="D1189" s="20" t="inlineStr">
        <is>
          <t>Office Supplies</t>
        </is>
      </c>
      <c r="E1189" s="20" t="inlineStr">
        <is>
          <t>Gel Pen Pack</t>
        </is>
      </c>
      <c r="F1189" s="20" t="inlineStr">
        <is>
          <t>Consumer</t>
        </is>
      </c>
      <c r="G1189" s="20" t="inlineStr">
        <is>
          <t>Retail Counter</t>
        </is>
      </c>
      <c r="H1189" s="20" t="n">
        <v>11</v>
      </c>
      <c r="I1189" s="22" t="n">
        <v>1800.24</v>
      </c>
      <c r="J1189" s="23" t="n">
        <v>0.2</v>
      </c>
      <c r="K1189" s="24" t="n">
        <v>15842.11</v>
      </c>
      <c r="L1189" s="24" t="n">
        <v>13316.05</v>
      </c>
      <c r="M1189" s="24" t="n">
        <v>2526.06</v>
      </c>
    </row>
    <row r="1190">
      <c r="A1190" s="20" t="inlineStr">
        <is>
          <t>ORD-20241189</t>
        </is>
      </c>
      <c r="B1190" s="21" t="n">
        <v>46017</v>
      </c>
      <c r="C1190" s="20" t="inlineStr">
        <is>
          <t>West</t>
        </is>
      </c>
      <c r="D1190" s="20" t="inlineStr">
        <is>
          <t>Apparel</t>
        </is>
      </c>
      <c r="E1190" s="20" t="inlineStr">
        <is>
          <t>Polo Shirt</t>
        </is>
      </c>
      <c r="F1190" s="20" t="inlineStr">
        <is>
          <t>Enterprise</t>
        </is>
      </c>
      <c r="G1190" s="20" t="inlineStr">
        <is>
          <t>Wipro Tech</t>
        </is>
      </c>
      <c r="H1190" s="20" t="n">
        <v>18</v>
      </c>
      <c r="I1190" s="22" t="n">
        <v>3793.34</v>
      </c>
      <c r="J1190" s="23" t="n">
        <v>0.12</v>
      </c>
      <c r="K1190" s="24" t="n">
        <v>60086.51</v>
      </c>
      <c r="L1190" s="24" t="n">
        <v>50463.52</v>
      </c>
      <c r="M1190" s="24" t="n">
        <v>9622.99</v>
      </c>
    </row>
    <row r="1191">
      <c r="A1191" s="20" t="inlineStr">
        <is>
          <t>ORD-20241190</t>
        </is>
      </c>
      <c r="B1191" s="21" t="n">
        <v>46018</v>
      </c>
      <c r="C1191" s="20" t="inlineStr">
        <is>
          <t>North</t>
        </is>
      </c>
      <c r="D1191" s="20" t="inlineStr">
        <is>
          <t>Furniture</t>
        </is>
      </c>
      <c r="E1191" s="20" t="inlineStr">
        <is>
          <t>Filing Cabinet</t>
        </is>
      </c>
      <c r="F1191" s="20" t="inlineStr">
        <is>
          <t>SMB</t>
        </is>
      </c>
      <c r="G1191" s="20" t="inlineStr">
        <is>
          <t>Pixel Studio</t>
        </is>
      </c>
      <c r="H1191" s="20" t="n">
        <v>20</v>
      </c>
      <c r="I1191" s="22" t="n">
        <v>36716.14</v>
      </c>
      <c r="J1191" s="23" t="n">
        <v>0.05</v>
      </c>
      <c r="K1191" s="24" t="n">
        <v>697606.66</v>
      </c>
      <c r="L1191" s="24" t="n">
        <v>524255.31</v>
      </c>
      <c r="M1191" s="24" t="n">
        <v>173351.35</v>
      </c>
    </row>
    <row r="1192">
      <c r="A1192" s="20" t="inlineStr">
        <is>
          <t>ORD-20241191</t>
        </is>
      </c>
      <c r="B1192" s="21" t="n">
        <v>46018</v>
      </c>
      <c r="C1192" s="20" t="inlineStr">
        <is>
          <t>North</t>
        </is>
      </c>
      <c r="D1192" s="20" t="inlineStr">
        <is>
          <t>Home &amp; Kitchen</t>
        </is>
      </c>
      <c r="E1192" s="20" t="inlineStr">
        <is>
          <t>Vacuum Robot</t>
        </is>
      </c>
      <c r="F1192" s="20" t="inlineStr">
        <is>
          <t>Government</t>
        </is>
      </c>
      <c r="G1192" s="20" t="inlineStr">
        <is>
          <t>State Health UP</t>
        </is>
      </c>
      <c r="H1192" s="20" t="n">
        <v>6</v>
      </c>
      <c r="I1192" s="22" t="n">
        <v>4775.75</v>
      </c>
      <c r="J1192" s="23" t="n">
        <v>0.12</v>
      </c>
      <c r="K1192" s="24" t="n">
        <v>25215.96</v>
      </c>
      <c r="L1192" s="24" t="n">
        <v>15798.27</v>
      </c>
      <c r="M1192" s="24" t="n">
        <v>9417.690000000001</v>
      </c>
    </row>
    <row r="1193">
      <c r="A1193" s="20" t="inlineStr">
        <is>
          <t>ORD-20241192</t>
        </is>
      </c>
      <c r="B1193" s="21" t="n">
        <v>46019</v>
      </c>
      <c r="C1193" s="20" t="inlineStr">
        <is>
          <t>North</t>
        </is>
      </c>
      <c r="D1193" s="20" t="inlineStr">
        <is>
          <t>Home &amp; Kitchen</t>
        </is>
      </c>
      <c r="E1193" s="20" t="inlineStr">
        <is>
          <t>Water Purifier</t>
        </is>
      </c>
      <c r="F1193" s="20" t="inlineStr">
        <is>
          <t>Enterprise</t>
        </is>
      </c>
      <c r="G1193" s="20" t="inlineStr">
        <is>
          <t>TCS Digital</t>
        </is>
      </c>
      <c r="H1193" s="20" t="n">
        <v>11</v>
      </c>
      <c r="I1193" s="22" t="n">
        <v>7161.11</v>
      </c>
      <c r="J1193" s="23" t="n">
        <v>0.1</v>
      </c>
      <c r="K1193" s="24" t="n">
        <v>70894.99000000001</v>
      </c>
      <c r="L1193" s="24" t="n">
        <v>55155.75</v>
      </c>
      <c r="M1193" s="24" t="n">
        <v>15739.24</v>
      </c>
    </row>
    <row r="1194">
      <c r="A1194" s="20" t="inlineStr">
        <is>
          <t>ORD-20241193</t>
        </is>
      </c>
      <c r="B1194" s="21" t="n">
        <v>46020</v>
      </c>
      <c r="C1194" s="20" t="inlineStr">
        <is>
          <t>West</t>
        </is>
      </c>
      <c r="D1194" s="20" t="inlineStr">
        <is>
          <t>Electronics</t>
        </is>
      </c>
      <c r="E1194" s="20" t="inlineStr">
        <is>
          <t>Wireless Mouse</t>
        </is>
      </c>
      <c r="F1194" s="20" t="inlineStr">
        <is>
          <t>Enterprise</t>
        </is>
      </c>
      <c r="G1194" s="20" t="inlineStr">
        <is>
          <t>Wipro Tech</t>
        </is>
      </c>
      <c r="H1194" s="20" t="n">
        <v>21</v>
      </c>
      <c r="I1194" s="22" t="n">
        <v>11483.98</v>
      </c>
      <c r="J1194" s="23" t="n">
        <v>0</v>
      </c>
      <c r="K1194" s="24" t="n">
        <v>241163.58</v>
      </c>
      <c r="L1194" s="24" t="n">
        <v>146488.97</v>
      </c>
      <c r="M1194" s="24" t="n">
        <v>94674.61</v>
      </c>
    </row>
    <row r="1195">
      <c r="A1195" s="20" t="inlineStr">
        <is>
          <t>ORD-20241194</t>
        </is>
      </c>
      <c r="B1195" s="21" t="n">
        <v>46020</v>
      </c>
      <c r="C1195" s="20" t="inlineStr">
        <is>
          <t>North</t>
        </is>
      </c>
      <c r="D1195" s="20" t="inlineStr">
        <is>
          <t>Home &amp; Kitchen</t>
        </is>
      </c>
      <c r="E1195" s="20" t="inlineStr">
        <is>
          <t>Vacuum Robot</t>
        </is>
      </c>
      <c r="F1195" s="20" t="inlineStr">
        <is>
          <t>Consumer</t>
        </is>
      </c>
      <c r="G1195" s="20" t="inlineStr">
        <is>
          <t>Walk-in Delhi</t>
        </is>
      </c>
      <c r="H1195" s="20" t="n">
        <v>8</v>
      </c>
      <c r="I1195" s="22" t="n">
        <v>12655.75</v>
      </c>
      <c r="J1195" s="23" t="n">
        <v>0.12</v>
      </c>
      <c r="K1195" s="24" t="n">
        <v>89096.48</v>
      </c>
      <c r="L1195" s="24" t="n">
        <v>70244.39999999999</v>
      </c>
      <c r="M1195" s="24" t="n">
        <v>18852.08</v>
      </c>
    </row>
    <row r="1196">
      <c r="A1196" s="20" t="inlineStr">
        <is>
          <t>ORD-20241195</t>
        </is>
      </c>
      <c r="B1196" s="21" t="n">
        <v>46020</v>
      </c>
      <c r="C1196" s="20" t="inlineStr">
        <is>
          <t>South</t>
        </is>
      </c>
      <c r="D1196" s="20" t="inlineStr">
        <is>
          <t>Furniture</t>
        </is>
      </c>
      <c r="E1196" s="20" t="inlineStr">
        <is>
          <t>Filing Cabinet</t>
        </is>
      </c>
      <c r="F1196" s="20" t="inlineStr">
        <is>
          <t>Consumer</t>
        </is>
      </c>
      <c r="G1196" s="20" t="inlineStr">
        <is>
          <t>Retail Counter</t>
        </is>
      </c>
      <c r="H1196" s="20" t="n">
        <v>23</v>
      </c>
      <c r="I1196" s="22" t="n">
        <v>30420.72</v>
      </c>
      <c r="J1196" s="23" t="n">
        <v>0</v>
      </c>
      <c r="K1196" s="24" t="n">
        <v>699676.5600000001</v>
      </c>
      <c r="L1196" s="24" t="n">
        <v>526947.3199999999</v>
      </c>
      <c r="M1196" s="24" t="n">
        <v>172729.24</v>
      </c>
    </row>
    <row r="1197">
      <c r="A1197" s="20" t="inlineStr">
        <is>
          <t>ORD-20241196</t>
        </is>
      </c>
      <c r="B1197" s="21" t="n">
        <v>46021</v>
      </c>
      <c r="C1197" s="20" t="inlineStr">
        <is>
          <t>Central</t>
        </is>
      </c>
      <c r="D1197" s="20" t="inlineStr">
        <is>
          <t>Office Supplies</t>
        </is>
      </c>
      <c r="E1197" s="20" t="inlineStr">
        <is>
          <t>Notebook Set</t>
        </is>
      </c>
      <c r="F1197" s="20" t="inlineStr">
        <is>
          <t>Enterprise</t>
        </is>
      </c>
      <c r="G1197" s="20" t="inlineStr">
        <is>
          <t>TCS Digital</t>
        </is>
      </c>
      <c r="H1197" s="20" t="n">
        <v>11</v>
      </c>
      <c r="I1197" s="22" t="n">
        <v>104.02</v>
      </c>
      <c r="J1197" s="23" t="n">
        <v>0.05</v>
      </c>
      <c r="K1197" s="24" t="n">
        <v>1087.01</v>
      </c>
      <c r="L1197" s="24" t="n">
        <v>783.8099999999999</v>
      </c>
      <c r="M1197" s="24" t="n">
        <v>303.2</v>
      </c>
    </row>
    <row r="1198">
      <c r="A1198" s="20" t="inlineStr">
        <is>
          <t>ORD-20241197</t>
        </is>
      </c>
      <c r="B1198" s="21" t="n">
        <v>46021</v>
      </c>
      <c r="C1198" s="20" t="inlineStr">
        <is>
          <t>East</t>
        </is>
      </c>
      <c r="D1198" s="20" t="inlineStr">
        <is>
          <t>Apparel</t>
        </is>
      </c>
      <c r="E1198" s="20" t="inlineStr">
        <is>
          <t>Formal Blazer</t>
        </is>
      </c>
      <c r="F1198" s="20" t="inlineStr">
        <is>
          <t>Consumer</t>
        </is>
      </c>
      <c r="G1198" s="20" t="inlineStr">
        <is>
          <t>Online Guest</t>
        </is>
      </c>
      <c r="H1198" s="20" t="n">
        <v>20</v>
      </c>
      <c r="I1198" s="22" t="n">
        <v>4321.98</v>
      </c>
      <c r="J1198" s="23" t="n">
        <v>0.12</v>
      </c>
      <c r="K1198" s="24" t="n">
        <v>76066.85000000001</v>
      </c>
      <c r="L1198" s="24" t="n">
        <v>48337.28</v>
      </c>
      <c r="M1198" s="24" t="n">
        <v>27729.57</v>
      </c>
    </row>
    <row r="1199">
      <c r="A1199" s="20" t="inlineStr">
        <is>
          <t>ORD-20241198</t>
        </is>
      </c>
      <c r="B1199" s="21" t="n">
        <v>46021</v>
      </c>
      <c r="C1199" s="20" t="inlineStr">
        <is>
          <t>East</t>
        </is>
      </c>
      <c r="D1199" s="20" t="inlineStr">
        <is>
          <t>Apparel</t>
        </is>
      </c>
      <c r="E1199" s="20" t="inlineStr">
        <is>
          <t>Safety Vest</t>
        </is>
      </c>
      <c r="F1199" s="20" t="inlineStr">
        <is>
          <t>SMB</t>
        </is>
      </c>
      <c r="G1199" s="20" t="inlineStr">
        <is>
          <t>BrightRetail Co</t>
        </is>
      </c>
      <c r="H1199" s="20" t="n">
        <v>5</v>
      </c>
      <c r="I1199" s="22" t="n">
        <v>624.52</v>
      </c>
      <c r="J1199" s="23" t="n">
        <v>0.12</v>
      </c>
      <c r="K1199" s="24" t="n">
        <v>2747.89</v>
      </c>
      <c r="L1199" s="24" t="n">
        <v>1776.11</v>
      </c>
      <c r="M1199" s="24" t="n">
        <v>971.78</v>
      </c>
    </row>
    <row r="1200">
      <c r="A1200" s="20" t="inlineStr">
        <is>
          <t>ORD-20241199</t>
        </is>
      </c>
      <c r="B1200" s="21" t="n">
        <v>46022</v>
      </c>
      <c r="C1200" s="20" t="inlineStr">
        <is>
          <t>East</t>
        </is>
      </c>
      <c r="D1200" s="20" t="inlineStr">
        <is>
          <t>Electronics</t>
        </is>
      </c>
      <c r="E1200" s="20" t="inlineStr">
        <is>
          <t>Wireless Mouse</t>
        </is>
      </c>
      <c r="F1200" s="20" t="inlineStr">
        <is>
          <t>Government</t>
        </is>
      </c>
      <c r="G1200" s="20" t="inlineStr">
        <is>
          <t>MH Education Dept</t>
        </is>
      </c>
      <c r="H1200" s="20" t="n">
        <v>2</v>
      </c>
      <c r="I1200" s="22" t="n">
        <v>52538.83</v>
      </c>
      <c r="J1200" s="23" t="n">
        <v>0.1</v>
      </c>
      <c r="K1200" s="24" t="n">
        <v>94569.89</v>
      </c>
      <c r="L1200" s="24" t="n">
        <v>62178.16</v>
      </c>
      <c r="M1200" s="24" t="n">
        <v>32391.73</v>
      </c>
    </row>
    <row r="1201">
      <c r="A1201" s="20" t="inlineStr">
        <is>
          <t>ORD-20241200</t>
        </is>
      </c>
      <c r="B1201" s="21" t="n">
        <v>46022</v>
      </c>
      <c r="C1201" s="20" t="inlineStr">
        <is>
          <t>Central</t>
        </is>
      </c>
      <c r="D1201" s="20" t="inlineStr">
        <is>
          <t>Furniture</t>
        </is>
      </c>
      <c r="E1201" s="20" t="inlineStr">
        <is>
          <t>Bookshelf Oak</t>
        </is>
      </c>
      <c r="F1201" s="20" t="inlineStr">
        <is>
          <t>Government</t>
        </is>
      </c>
      <c r="G1201" s="20" t="inlineStr">
        <is>
          <t>State Health UP</t>
        </is>
      </c>
      <c r="H1201" s="20" t="n">
        <v>19</v>
      </c>
      <c r="I1201" s="22" t="n">
        <v>7921.82</v>
      </c>
      <c r="J1201" s="23" t="n">
        <v>0</v>
      </c>
      <c r="K1201" s="24" t="n">
        <v>150514.58</v>
      </c>
      <c r="L1201" s="24" t="n">
        <v>106554</v>
      </c>
      <c r="M1201" s="24" t="n">
        <v>43960.58</v>
      </c>
    </row>
  </sheetData>
  <autoFilter ref="A1:M12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3" customWidth="1" min="4" max="4"/>
    <col width="18" customWidth="1" min="5" max="5"/>
    <col width="16" customWidth="1" min="6" max="6"/>
    <col width="3" customWidth="1" min="7" max="7"/>
    <col width="16" customWidth="1" min="8" max="8"/>
    <col width="16" customWidth="1" min="9" max="9"/>
  </cols>
  <sheetData>
    <row r="2">
      <c r="B2" s="1" t="inlineStr">
        <is>
          <t>Lookup / Dimension Tables</t>
        </is>
      </c>
    </row>
    <row r="3">
      <c r="B3" s="25" t="inlineStr">
        <is>
          <t>Used by XLOOKUP / VLOOKUP / INDEX-MATCH demos on Clean_Model &amp; Advanced_Formulas</t>
        </is>
      </c>
    </row>
    <row r="5">
      <c r="B5" s="4" t="inlineStr">
        <is>
          <t>Region → Manager</t>
        </is>
      </c>
      <c r="E5" s="4" t="inlineStr">
        <is>
          <t>Category → Target Margin</t>
        </is>
      </c>
      <c r="H5" s="4" t="inlineStr">
        <is>
          <t>Segment → Priority</t>
        </is>
      </c>
    </row>
    <row r="6">
      <c r="B6" s="12" t="inlineStr">
        <is>
          <t>Region</t>
        </is>
      </c>
      <c r="C6" s="12" t="inlineStr">
        <is>
          <t>Manager</t>
        </is>
      </c>
      <c r="E6" s="12" t="inlineStr">
        <is>
          <t>Category</t>
        </is>
      </c>
      <c r="F6" s="12" t="inlineStr">
        <is>
          <t>TargetMargin</t>
        </is>
      </c>
      <c r="H6" s="12" t="inlineStr">
        <is>
          <t>Segment</t>
        </is>
      </c>
      <c r="I6" s="12" t="inlineStr">
        <is>
          <t>Priority</t>
        </is>
      </c>
    </row>
    <row r="7">
      <c r="B7" s="26" t="inlineStr">
        <is>
          <t>North</t>
        </is>
      </c>
      <c r="C7" s="26" t="inlineStr">
        <is>
          <t>Priya Sharma</t>
        </is>
      </c>
      <c r="E7" s="26" t="inlineStr">
        <is>
          <t>Electronics</t>
        </is>
      </c>
      <c r="F7" s="27" t="n">
        <v>0.18</v>
      </c>
      <c r="H7" s="26" t="inlineStr">
        <is>
          <t>Enterprise</t>
        </is>
      </c>
      <c r="I7" s="26" t="inlineStr">
        <is>
          <t>P1-Strategic</t>
        </is>
      </c>
    </row>
    <row r="8">
      <c r="B8" s="26" t="inlineStr">
        <is>
          <t>South</t>
        </is>
      </c>
      <c r="C8" s="26" t="inlineStr">
        <is>
          <t>Arjun Menon</t>
        </is>
      </c>
      <c r="E8" s="26" t="inlineStr">
        <is>
          <t>Furniture</t>
        </is>
      </c>
      <c r="F8" s="27" t="n">
        <v>0.22</v>
      </c>
      <c r="H8" s="26" t="inlineStr">
        <is>
          <t>SMB</t>
        </is>
      </c>
      <c r="I8" s="26" t="inlineStr">
        <is>
          <t>P2-Growth</t>
        </is>
      </c>
    </row>
    <row r="9">
      <c r="B9" s="26" t="inlineStr">
        <is>
          <t>East</t>
        </is>
      </c>
      <c r="C9" s="26" t="inlineStr">
        <is>
          <t>Ananya Bose</t>
        </is>
      </c>
      <c r="E9" s="26" t="inlineStr">
        <is>
          <t>Office Supplies</t>
        </is>
      </c>
      <c r="F9" s="27" t="n">
        <v>0.28</v>
      </c>
      <c r="H9" s="26" t="inlineStr">
        <is>
          <t>Consumer</t>
        </is>
      </c>
      <c r="I9" s="26" t="inlineStr">
        <is>
          <t>P3-Volume</t>
        </is>
      </c>
    </row>
    <row r="10">
      <c r="B10" s="26" t="inlineStr">
        <is>
          <t>West</t>
        </is>
      </c>
      <c r="C10" s="26" t="inlineStr">
        <is>
          <t>Rohan Patel</t>
        </is>
      </c>
      <c r="E10" s="26" t="inlineStr">
        <is>
          <t>Apparel</t>
        </is>
      </c>
      <c r="F10" s="27" t="n">
        <v>0.35</v>
      </c>
      <c r="H10" s="26" t="inlineStr">
        <is>
          <t>Government</t>
        </is>
      </c>
      <c r="I10" s="26" t="inlineStr">
        <is>
          <t>P2-Growth</t>
        </is>
      </c>
    </row>
    <row r="11">
      <c r="B11" s="26" t="inlineStr">
        <is>
          <t>Central</t>
        </is>
      </c>
      <c r="C11" s="26" t="inlineStr">
        <is>
          <t>Kavita Gupta</t>
        </is>
      </c>
      <c r="E11" s="26" t="inlineStr">
        <is>
          <t>Home &amp; Kitchen</t>
        </is>
      </c>
      <c r="F11" s="27" t="n">
        <v>0.25</v>
      </c>
    </row>
    <row r="14">
      <c r="B14" s="28" t="inlineStr">
        <is>
          <t>Named ranges (conceptual): Regions B7:B11, Managers C7:C11, Categories E7:E11, TargetMargins F7:F11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7" customWidth="1" min="3" max="3"/>
    <col width="7" customWidth="1" min="4" max="4"/>
    <col width="11" customWidth="1" min="5" max="5"/>
    <col width="10" customWidth="1" min="6" max="6"/>
    <col width="15" customWidth="1" min="7" max="7"/>
    <col width="16" customWidth="1" min="8" max="8"/>
    <col width="14" customWidth="1" min="9" max="9"/>
    <col width="16" customWidth="1" min="10" max="10"/>
    <col width="9" customWidth="1" min="11" max="11"/>
    <col width="11" customWidth="1" min="12" max="12"/>
    <col width="9" customWidth="1" min="13" max="13"/>
    <col width="11" customWidth="1" min="14" max="14"/>
    <col width="12" customWidth="1" min="15" max="15"/>
    <col width="11" customWidth="1" min="16" max="16"/>
    <col width="11" customWidth="1" min="17" max="17"/>
    <col width="12" customWidth="1" min="18" max="18"/>
    <col width="14" customWidth="1" min="19" max="19"/>
    <col width="12" customWidth="1" min="20" max="20"/>
    <col width="13" customWidth="1" min="21" max="21"/>
    <col width="13" customWidth="1" min="22" max="22"/>
    <col width="13" customWidth="1" min="23" max="23"/>
    <col width="10" customWidth="1" min="24" max="24"/>
    <col width="14" customWidth="1" min="25" max="25"/>
  </cols>
  <sheetData>
    <row r="1">
      <c r="A1" s="12" t="inlineStr">
        <is>
          <t>OrderID</t>
        </is>
      </c>
      <c r="B1" s="12" t="inlineStr">
        <is>
          <t>OrderDate</t>
        </is>
      </c>
      <c r="C1" s="12" t="inlineStr">
        <is>
          <t>Year</t>
        </is>
      </c>
      <c r="D1" s="12" t="inlineStr">
        <is>
          <t>Month</t>
        </is>
      </c>
      <c r="E1" s="12" t="inlineStr">
        <is>
          <t>MonthName</t>
        </is>
      </c>
      <c r="F1" s="12" t="inlineStr">
        <is>
          <t>Region</t>
        </is>
      </c>
      <c r="G1" s="12" t="inlineStr">
        <is>
          <t>ProductCategory</t>
        </is>
      </c>
      <c r="H1" s="12" t="inlineStr">
        <is>
          <t>Product</t>
        </is>
      </c>
      <c r="I1" s="12" t="inlineStr">
        <is>
          <t>CustomerSegment</t>
        </is>
      </c>
      <c r="J1" s="12" t="inlineStr">
        <is>
          <t>Customer</t>
        </is>
      </c>
      <c r="K1" s="12" t="inlineStr">
        <is>
          <t>Quantity</t>
        </is>
      </c>
      <c r="L1" s="12" t="inlineStr">
        <is>
          <t>UnitPrice</t>
        </is>
      </c>
      <c r="M1" s="12" t="inlineStr">
        <is>
          <t>Discount</t>
        </is>
      </c>
      <c r="N1" s="12" t="inlineStr">
        <is>
          <t>Gross</t>
        </is>
      </c>
      <c r="O1" s="12" t="inlineStr">
        <is>
          <t>NetRevenue</t>
        </is>
      </c>
      <c r="P1" s="12" t="inlineStr">
        <is>
          <t>Cost</t>
        </is>
      </c>
      <c r="Q1" s="12" t="inlineStr">
        <is>
          <t>Profit</t>
        </is>
      </c>
      <c r="R1" s="12" t="inlineStr">
        <is>
          <t>ProfitMargin%</t>
        </is>
      </c>
      <c r="S1" s="12" t="inlineStr">
        <is>
          <t>RegionManager</t>
        </is>
      </c>
      <c r="T1" s="12" t="inlineStr">
        <is>
          <t>TargetMargin</t>
        </is>
      </c>
      <c r="U1" s="12" t="inlineStr">
        <is>
          <t>MarginVsTarget</t>
        </is>
      </c>
      <c r="V1" s="12" t="inlineStr">
        <is>
          <t>Priority</t>
        </is>
      </c>
      <c r="W1" s="12" t="inlineStr">
        <is>
          <t>HighValueFlag</t>
        </is>
      </c>
      <c r="X1" s="12" t="inlineStr">
        <is>
          <t>LossFlag</t>
        </is>
      </c>
      <c r="Y1" s="12" t="inlineStr">
        <is>
          <t>HighDiscountFlag</t>
        </is>
      </c>
    </row>
    <row r="2">
      <c r="A2">
        <f>Raw_Data!A2</f>
        <v/>
      </c>
      <c r="B2" s="29">
        <f>Raw_Data!B2</f>
        <v/>
      </c>
      <c r="C2">
        <f>YEAR(B2)</f>
        <v/>
      </c>
      <c r="D2">
        <f>MONTH(B2)</f>
        <v/>
      </c>
      <c r="E2">
        <f>TEXT(B2,"MMM-YYYY")</f>
        <v/>
      </c>
      <c r="F2">
        <f>Raw_Data!C2</f>
        <v/>
      </c>
      <c r="G2">
        <f>Raw_Data!D2</f>
        <v/>
      </c>
      <c r="H2">
        <f>Raw_Data!E2</f>
        <v/>
      </c>
      <c r="I2">
        <f>Raw_Data!F2</f>
        <v/>
      </c>
      <c r="J2">
        <f>Raw_Data!G2</f>
        <v/>
      </c>
      <c r="K2">
        <f>Raw_Data!H2</f>
        <v/>
      </c>
      <c r="L2" s="30">
        <f>Raw_Data!I2</f>
        <v/>
      </c>
      <c r="M2" s="31">
        <f>Raw_Data!J2</f>
        <v/>
      </c>
      <c r="N2" s="17">
        <f>K2*L2</f>
        <v/>
      </c>
      <c r="O2" s="17">
        <f>N2*(1-M2)</f>
        <v/>
      </c>
      <c r="P2" s="17">
        <f>Raw_Data!L2</f>
        <v/>
      </c>
      <c r="Q2" s="17">
        <f>O2-P2</f>
        <v/>
      </c>
      <c r="R2" s="31">
        <f>IF(O2=0,0,Q2/O2)</f>
        <v/>
      </c>
      <c r="S2">
        <f>XLOOKUP(F2,Lookups!$B$7:$B$11,Lookups!$C$7:$C$11,"Unknown")</f>
        <v/>
      </c>
      <c r="T2" s="31">
        <f>XLOOKUP(G2,Lookups!$E$7:$E$11,Lookups!$F$7:$F$11,0)</f>
        <v/>
      </c>
      <c r="U2" s="32">
        <f>R2-T2</f>
        <v/>
      </c>
      <c r="V2">
        <f>XLOOKUP(I2,Lookups!$H$7:$H$10,Lookups!$I$7:$I$10,"")</f>
        <v/>
      </c>
      <c r="W2">
        <f>IF(O2&gt;=50000,"HIGH VALUE","")</f>
        <v/>
      </c>
      <c r="X2">
        <f>IF(Q2&lt;0,"LOSS","")</f>
        <v/>
      </c>
      <c r="Y2">
        <f>IFS(M2&gt;=0.15,"Deep Discount",M2&gt;=0.1,"Moderate",TRUE,"Standard")</f>
        <v/>
      </c>
    </row>
    <row r="3">
      <c r="A3">
        <f>Raw_Data!A3</f>
        <v/>
      </c>
      <c r="B3" s="29">
        <f>Raw_Data!B3</f>
        <v/>
      </c>
      <c r="C3">
        <f>YEAR(B3)</f>
        <v/>
      </c>
      <c r="D3">
        <f>MONTH(B3)</f>
        <v/>
      </c>
      <c r="E3">
        <f>TEXT(B3,"MMM-YYYY")</f>
        <v/>
      </c>
      <c r="F3">
        <f>Raw_Data!C3</f>
        <v/>
      </c>
      <c r="G3">
        <f>Raw_Data!D3</f>
        <v/>
      </c>
      <c r="H3">
        <f>Raw_Data!E3</f>
        <v/>
      </c>
      <c r="I3">
        <f>Raw_Data!F3</f>
        <v/>
      </c>
      <c r="J3">
        <f>Raw_Data!G3</f>
        <v/>
      </c>
      <c r="K3">
        <f>Raw_Data!H3</f>
        <v/>
      </c>
      <c r="L3" s="30">
        <f>Raw_Data!I3</f>
        <v/>
      </c>
      <c r="M3" s="31">
        <f>Raw_Data!J3</f>
        <v/>
      </c>
      <c r="N3" s="17">
        <f>K3*L3</f>
        <v/>
      </c>
      <c r="O3" s="17">
        <f>N3*(1-M3)</f>
        <v/>
      </c>
      <c r="P3" s="17">
        <f>Raw_Data!L3</f>
        <v/>
      </c>
      <c r="Q3" s="17">
        <f>O3-P3</f>
        <v/>
      </c>
      <c r="R3" s="31">
        <f>IF(O3=0,0,Q3/O3)</f>
        <v/>
      </c>
      <c r="S3">
        <f>XLOOKUP(F3,Lookups!$B$7:$B$11,Lookups!$C$7:$C$11,"Unknown")</f>
        <v/>
      </c>
      <c r="T3" s="31">
        <f>XLOOKUP(G3,Lookups!$E$7:$E$11,Lookups!$F$7:$F$11,0)</f>
        <v/>
      </c>
      <c r="U3" s="32">
        <f>R3-T3</f>
        <v/>
      </c>
      <c r="V3">
        <f>XLOOKUP(I3,Lookups!$H$7:$H$10,Lookups!$I$7:$I$10,"")</f>
        <v/>
      </c>
      <c r="W3">
        <f>IF(O3&gt;=50000,"HIGH VALUE","")</f>
        <v/>
      </c>
      <c r="X3">
        <f>IF(Q3&lt;0,"LOSS","")</f>
        <v/>
      </c>
      <c r="Y3">
        <f>IFS(M3&gt;=0.15,"Deep Discount",M3&gt;=0.1,"Moderate",TRUE,"Standard")</f>
        <v/>
      </c>
    </row>
    <row r="4">
      <c r="A4">
        <f>Raw_Data!A4</f>
        <v/>
      </c>
      <c r="B4" s="29">
        <f>Raw_Data!B4</f>
        <v/>
      </c>
      <c r="C4">
        <f>YEAR(B4)</f>
        <v/>
      </c>
      <c r="D4">
        <f>MONTH(B4)</f>
        <v/>
      </c>
      <c r="E4">
        <f>TEXT(B4,"MMM-YYYY")</f>
        <v/>
      </c>
      <c r="F4">
        <f>Raw_Data!C4</f>
        <v/>
      </c>
      <c r="G4">
        <f>Raw_Data!D4</f>
        <v/>
      </c>
      <c r="H4">
        <f>Raw_Data!E4</f>
        <v/>
      </c>
      <c r="I4">
        <f>Raw_Data!F4</f>
        <v/>
      </c>
      <c r="J4">
        <f>Raw_Data!G4</f>
        <v/>
      </c>
      <c r="K4">
        <f>Raw_Data!H4</f>
        <v/>
      </c>
      <c r="L4" s="30">
        <f>Raw_Data!I4</f>
        <v/>
      </c>
      <c r="M4" s="31">
        <f>Raw_Data!J4</f>
        <v/>
      </c>
      <c r="N4" s="17">
        <f>K4*L4</f>
        <v/>
      </c>
      <c r="O4" s="17">
        <f>N4*(1-M4)</f>
        <v/>
      </c>
      <c r="P4" s="17">
        <f>Raw_Data!L4</f>
        <v/>
      </c>
      <c r="Q4" s="17">
        <f>O4-P4</f>
        <v/>
      </c>
      <c r="R4" s="31">
        <f>IF(O4=0,0,Q4/O4)</f>
        <v/>
      </c>
      <c r="S4">
        <f>XLOOKUP(F4,Lookups!$B$7:$B$11,Lookups!$C$7:$C$11,"Unknown")</f>
        <v/>
      </c>
      <c r="T4" s="31">
        <f>XLOOKUP(G4,Lookups!$E$7:$E$11,Lookups!$F$7:$F$11,0)</f>
        <v/>
      </c>
      <c r="U4" s="32">
        <f>R4-T4</f>
        <v/>
      </c>
      <c r="V4">
        <f>XLOOKUP(I4,Lookups!$H$7:$H$10,Lookups!$I$7:$I$10,"")</f>
        <v/>
      </c>
      <c r="W4">
        <f>IF(O4&gt;=50000,"HIGH VALUE","")</f>
        <v/>
      </c>
      <c r="X4">
        <f>IF(Q4&lt;0,"LOSS","")</f>
        <v/>
      </c>
      <c r="Y4">
        <f>IFS(M4&gt;=0.15,"Deep Discount",M4&gt;=0.1,"Moderate",TRUE,"Standard")</f>
        <v/>
      </c>
    </row>
    <row r="5">
      <c r="A5">
        <f>Raw_Data!A5</f>
        <v/>
      </c>
      <c r="B5" s="29">
        <f>Raw_Data!B5</f>
        <v/>
      </c>
      <c r="C5">
        <f>YEAR(B5)</f>
        <v/>
      </c>
      <c r="D5">
        <f>MONTH(B5)</f>
        <v/>
      </c>
      <c r="E5">
        <f>TEXT(B5,"MMM-YYYY")</f>
        <v/>
      </c>
      <c r="F5">
        <f>Raw_Data!C5</f>
        <v/>
      </c>
      <c r="G5">
        <f>Raw_Data!D5</f>
        <v/>
      </c>
      <c r="H5">
        <f>Raw_Data!E5</f>
        <v/>
      </c>
      <c r="I5">
        <f>Raw_Data!F5</f>
        <v/>
      </c>
      <c r="J5">
        <f>Raw_Data!G5</f>
        <v/>
      </c>
      <c r="K5">
        <f>Raw_Data!H5</f>
        <v/>
      </c>
      <c r="L5" s="30">
        <f>Raw_Data!I5</f>
        <v/>
      </c>
      <c r="M5" s="31">
        <f>Raw_Data!J5</f>
        <v/>
      </c>
      <c r="N5" s="17">
        <f>K5*L5</f>
        <v/>
      </c>
      <c r="O5" s="17">
        <f>N5*(1-M5)</f>
        <v/>
      </c>
      <c r="P5" s="17">
        <f>Raw_Data!L5</f>
        <v/>
      </c>
      <c r="Q5" s="17">
        <f>O5-P5</f>
        <v/>
      </c>
      <c r="R5" s="31">
        <f>IF(O5=0,0,Q5/O5)</f>
        <v/>
      </c>
      <c r="S5">
        <f>XLOOKUP(F5,Lookups!$B$7:$B$11,Lookups!$C$7:$C$11,"Unknown")</f>
        <v/>
      </c>
      <c r="T5" s="31">
        <f>XLOOKUP(G5,Lookups!$E$7:$E$11,Lookups!$F$7:$F$11,0)</f>
        <v/>
      </c>
      <c r="U5" s="32">
        <f>R5-T5</f>
        <v/>
      </c>
      <c r="V5">
        <f>XLOOKUP(I5,Lookups!$H$7:$H$10,Lookups!$I$7:$I$10,"")</f>
        <v/>
      </c>
      <c r="W5">
        <f>IF(O5&gt;=50000,"HIGH VALUE","")</f>
        <v/>
      </c>
      <c r="X5">
        <f>IF(Q5&lt;0,"LOSS","")</f>
        <v/>
      </c>
      <c r="Y5">
        <f>IFS(M5&gt;=0.15,"Deep Discount",M5&gt;=0.1,"Moderate",TRUE,"Standard")</f>
        <v/>
      </c>
    </row>
    <row r="6">
      <c r="A6">
        <f>Raw_Data!A6</f>
        <v/>
      </c>
      <c r="B6" s="29">
        <f>Raw_Data!B6</f>
        <v/>
      </c>
      <c r="C6">
        <f>YEAR(B6)</f>
        <v/>
      </c>
      <c r="D6">
        <f>MONTH(B6)</f>
        <v/>
      </c>
      <c r="E6">
        <f>TEXT(B6,"MMM-YYYY")</f>
        <v/>
      </c>
      <c r="F6">
        <f>Raw_Data!C6</f>
        <v/>
      </c>
      <c r="G6">
        <f>Raw_Data!D6</f>
        <v/>
      </c>
      <c r="H6">
        <f>Raw_Data!E6</f>
        <v/>
      </c>
      <c r="I6">
        <f>Raw_Data!F6</f>
        <v/>
      </c>
      <c r="J6">
        <f>Raw_Data!G6</f>
        <v/>
      </c>
      <c r="K6">
        <f>Raw_Data!H6</f>
        <v/>
      </c>
      <c r="L6" s="30">
        <f>Raw_Data!I6</f>
        <v/>
      </c>
      <c r="M6" s="31">
        <f>Raw_Data!J6</f>
        <v/>
      </c>
      <c r="N6" s="17">
        <f>K6*L6</f>
        <v/>
      </c>
      <c r="O6" s="17">
        <f>N6*(1-M6)</f>
        <v/>
      </c>
      <c r="P6" s="17">
        <f>Raw_Data!L6</f>
        <v/>
      </c>
      <c r="Q6" s="17">
        <f>O6-P6</f>
        <v/>
      </c>
      <c r="R6" s="31">
        <f>IF(O6=0,0,Q6/O6)</f>
        <v/>
      </c>
      <c r="S6">
        <f>XLOOKUP(F6,Lookups!$B$7:$B$11,Lookups!$C$7:$C$11,"Unknown")</f>
        <v/>
      </c>
      <c r="T6" s="31">
        <f>XLOOKUP(G6,Lookups!$E$7:$E$11,Lookups!$F$7:$F$11,0)</f>
        <v/>
      </c>
      <c r="U6" s="32">
        <f>R6-T6</f>
        <v/>
      </c>
      <c r="V6">
        <f>XLOOKUP(I6,Lookups!$H$7:$H$10,Lookups!$I$7:$I$10,"")</f>
        <v/>
      </c>
      <c r="W6">
        <f>IF(O6&gt;=50000,"HIGH VALUE","")</f>
        <v/>
      </c>
      <c r="X6">
        <f>IF(Q6&lt;0,"LOSS","")</f>
        <v/>
      </c>
      <c r="Y6">
        <f>IFS(M6&gt;=0.15,"Deep Discount",M6&gt;=0.1,"Moderate",TRUE,"Standard")</f>
        <v/>
      </c>
    </row>
    <row r="7">
      <c r="A7">
        <f>Raw_Data!A7</f>
        <v/>
      </c>
      <c r="B7" s="29">
        <f>Raw_Data!B7</f>
        <v/>
      </c>
      <c r="C7">
        <f>YEAR(B7)</f>
        <v/>
      </c>
      <c r="D7">
        <f>MONTH(B7)</f>
        <v/>
      </c>
      <c r="E7">
        <f>TEXT(B7,"MMM-YYYY")</f>
        <v/>
      </c>
      <c r="F7">
        <f>Raw_Data!C7</f>
        <v/>
      </c>
      <c r="G7">
        <f>Raw_Data!D7</f>
        <v/>
      </c>
      <c r="H7">
        <f>Raw_Data!E7</f>
        <v/>
      </c>
      <c r="I7">
        <f>Raw_Data!F7</f>
        <v/>
      </c>
      <c r="J7">
        <f>Raw_Data!G7</f>
        <v/>
      </c>
      <c r="K7">
        <f>Raw_Data!H7</f>
        <v/>
      </c>
      <c r="L7" s="30">
        <f>Raw_Data!I7</f>
        <v/>
      </c>
      <c r="M7" s="31">
        <f>Raw_Data!J7</f>
        <v/>
      </c>
      <c r="N7" s="17">
        <f>K7*L7</f>
        <v/>
      </c>
      <c r="O7" s="17">
        <f>N7*(1-M7)</f>
        <v/>
      </c>
      <c r="P7" s="17">
        <f>Raw_Data!L7</f>
        <v/>
      </c>
      <c r="Q7" s="17">
        <f>O7-P7</f>
        <v/>
      </c>
      <c r="R7" s="31">
        <f>IF(O7=0,0,Q7/O7)</f>
        <v/>
      </c>
      <c r="S7">
        <f>XLOOKUP(F7,Lookups!$B$7:$B$11,Lookups!$C$7:$C$11,"Unknown")</f>
        <v/>
      </c>
      <c r="T7" s="31">
        <f>XLOOKUP(G7,Lookups!$E$7:$E$11,Lookups!$F$7:$F$11,0)</f>
        <v/>
      </c>
      <c r="U7" s="32">
        <f>R7-T7</f>
        <v/>
      </c>
      <c r="V7">
        <f>XLOOKUP(I7,Lookups!$H$7:$H$10,Lookups!$I$7:$I$10,"")</f>
        <v/>
      </c>
      <c r="W7">
        <f>IF(O7&gt;=50000,"HIGH VALUE","")</f>
        <v/>
      </c>
      <c r="X7">
        <f>IF(Q7&lt;0,"LOSS","")</f>
        <v/>
      </c>
      <c r="Y7">
        <f>IFS(M7&gt;=0.15,"Deep Discount",M7&gt;=0.1,"Moderate",TRUE,"Standard")</f>
        <v/>
      </c>
    </row>
    <row r="8">
      <c r="A8">
        <f>Raw_Data!A8</f>
        <v/>
      </c>
      <c r="B8" s="29">
        <f>Raw_Data!B8</f>
        <v/>
      </c>
      <c r="C8">
        <f>YEAR(B8)</f>
        <v/>
      </c>
      <c r="D8">
        <f>MONTH(B8)</f>
        <v/>
      </c>
      <c r="E8">
        <f>TEXT(B8,"MMM-YYYY")</f>
        <v/>
      </c>
      <c r="F8">
        <f>Raw_Data!C8</f>
        <v/>
      </c>
      <c r="G8">
        <f>Raw_Data!D8</f>
        <v/>
      </c>
      <c r="H8">
        <f>Raw_Data!E8</f>
        <v/>
      </c>
      <c r="I8">
        <f>Raw_Data!F8</f>
        <v/>
      </c>
      <c r="J8">
        <f>Raw_Data!G8</f>
        <v/>
      </c>
      <c r="K8">
        <f>Raw_Data!H8</f>
        <v/>
      </c>
      <c r="L8" s="30">
        <f>Raw_Data!I8</f>
        <v/>
      </c>
      <c r="M8" s="31">
        <f>Raw_Data!J8</f>
        <v/>
      </c>
      <c r="N8" s="17">
        <f>K8*L8</f>
        <v/>
      </c>
      <c r="O8" s="17">
        <f>N8*(1-M8)</f>
        <v/>
      </c>
      <c r="P8" s="17">
        <f>Raw_Data!L8</f>
        <v/>
      </c>
      <c r="Q8" s="17">
        <f>O8-P8</f>
        <v/>
      </c>
      <c r="R8" s="31">
        <f>IF(O8=0,0,Q8/O8)</f>
        <v/>
      </c>
      <c r="S8">
        <f>XLOOKUP(F8,Lookups!$B$7:$B$11,Lookups!$C$7:$C$11,"Unknown")</f>
        <v/>
      </c>
      <c r="T8" s="31">
        <f>XLOOKUP(G8,Lookups!$E$7:$E$11,Lookups!$F$7:$F$11,0)</f>
        <v/>
      </c>
      <c r="U8" s="32">
        <f>R8-T8</f>
        <v/>
      </c>
      <c r="V8">
        <f>XLOOKUP(I8,Lookups!$H$7:$H$10,Lookups!$I$7:$I$10,"")</f>
        <v/>
      </c>
      <c r="W8">
        <f>IF(O8&gt;=50000,"HIGH VALUE","")</f>
        <v/>
      </c>
      <c r="X8">
        <f>IF(Q8&lt;0,"LOSS","")</f>
        <v/>
      </c>
      <c r="Y8">
        <f>IFS(M8&gt;=0.15,"Deep Discount",M8&gt;=0.1,"Moderate",TRUE,"Standard")</f>
        <v/>
      </c>
    </row>
    <row r="9">
      <c r="A9">
        <f>Raw_Data!A9</f>
        <v/>
      </c>
      <c r="B9" s="29">
        <f>Raw_Data!B9</f>
        <v/>
      </c>
      <c r="C9">
        <f>YEAR(B9)</f>
        <v/>
      </c>
      <c r="D9">
        <f>MONTH(B9)</f>
        <v/>
      </c>
      <c r="E9">
        <f>TEXT(B9,"MMM-YYYY")</f>
        <v/>
      </c>
      <c r="F9">
        <f>Raw_Data!C9</f>
        <v/>
      </c>
      <c r="G9">
        <f>Raw_Data!D9</f>
        <v/>
      </c>
      <c r="H9">
        <f>Raw_Data!E9</f>
        <v/>
      </c>
      <c r="I9">
        <f>Raw_Data!F9</f>
        <v/>
      </c>
      <c r="J9">
        <f>Raw_Data!G9</f>
        <v/>
      </c>
      <c r="K9">
        <f>Raw_Data!H9</f>
        <v/>
      </c>
      <c r="L9" s="30">
        <f>Raw_Data!I9</f>
        <v/>
      </c>
      <c r="M9" s="31">
        <f>Raw_Data!J9</f>
        <v/>
      </c>
      <c r="N9" s="17">
        <f>K9*L9</f>
        <v/>
      </c>
      <c r="O9" s="17">
        <f>N9*(1-M9)</f>
        <v/>
      </c>
      <c r="P9" s="17">
        <f>Raw_Data!L9</f>
        <v/>
      </c>
      <c r="Q9" s="17">
        <f>O9-P9</f>
        <v/>
      </c>
      <c r="R9" s="31">
        <f>IF(O9=0,0,Q9/O9)</f>
        <v/>
      </c>
      <c r="S9">
        <f>XLOOKUP(F9,Lookups!$B$7:$B$11,Lookups!$C$7:$C$11,"Unknown")</f>
        <v/>
      </c>
      <c r="T9" s="31">
        <f>XLOOKUP(G9,Lookups!$E$7:$E$11,Lookups!$F$7:$F$11,0)</f>
        <v/>
      </c>
      <c r="U9" s="32">
        <f>R9-T9</f>
        <v/>
      </c>
      <c r="V9">
        <f>XLOOKUP(I9,Lookups!$H$7:$H$10,Lookups!$I$7:$I$10,"")</f>
        <v/>
      </c>
      <c r="W9">
        <f>IF(O9&gt;=50000,"HIGH VALUE","")</f>
        <v/>
      </c>
      <c r="X9">
        <f>IF(Q9&lt;0,"LOSS","")</f>
        <v/>
      </c>
      <c r="Y9">
        <f>IFS(M9&gt;=0.15,"Deep Discount",M9&gt;=0.1,"Moderate",TRUE,"Standard")</f>
        <v/>
      </c>
    </row>
    <row r="10">
      <c r="A10">
        <f>Raw_Data!A10</f>
        <v/>
      </c>
      <c r="B10" s="29">
        <f>Raw_Data!B10</f>
        <v/>
      </c>
      <c r="C10">
        <f>YEAR(B10)</f>
        <v/>
      </c>
      <c r="D10">
        <f>MONTH(B10)</f>
        <v/>
      </c>
      <c r="E10">
        <f>TEXT(B10,"MMM-YYYY")</f>
        <v/>
      </c>
      <c r="F10">
        <f>Raw_Data!C10</f>
        <v/>
      </c>
      <c r="G10">
        <f>Raw_Data!D10</f>
        <v/>
      </c>
      <c r="H10">
        <f>Raw_Data!E10</f>
        <v/>
      </c>
      <c r="I10">
        <f>Raw_Data!F10</f>
        <v/>
      </c>
      <c r="J10">
        <f>Raw_Data!G10</f>
        <v/>
      </c>
      <c r="K10">
        <f>Raw_Data!H10</f>
        <v/>
      </c>
      <c r="L10" s="30">
        <f>Raw_Data!I10</f>
        <v/>
      </c>
      <c r="M10" s="31">
        <f>Raw_Data!J10</f>
        <v/>
      </c>
      <c r="N10" s="17">
        <f>K10*L10</f>
        <v/>
      </c>
      <c r="O10" s="17">
        <f>N10*(1-M10)</f>
        <v/>
      </c>
      <c r="P10" s="17">
        <f>Raw_Data!L10</f>
        <v/>
      </c>
      <c r="Q10" s="17">
        <f>O10-P10</f>
        <v/>
      </c>
      <c r="R10" s="31">
        <f>IF(O10=0,0,Q10/O10)</f>
        <v/>
      </c>
      <c r="S10">
        <f>XLOOKUP(F10,Lookups!$B$7:$B$11,Lookups!$C$7:$C$11,"Unknown")</f>
        <v/>
      </c>
      <c r="T10" s="31">
        <f>XLOOKUP(G10,Lookups!$E$7:$E$11,Lookups!$F$7:$F$11,0)</f>
        <v/>
      </c>
      <c r="U10" s="32">
        <f>R10-T10</f>
        <v/>
      </c>
      <c r="V10">
        <f>XLOOKUP(I10,Lookups!$H$7:$H$10,Lookups!$I$7:$I$10,"")</f>
        <v/>
      </c>
      <c r="W10">
        <f>IF(O10&gt;=50000,"HIGH VALUE","")</f>
        <v/>
      </c>
      <c r="X10">
        <f>IF(Q10&lt;0,"LOSS","")</f>
        <v/>
      </c>
      <c r="Y10">
        <f>IFS(M10&gt;=0.15,"Deep Discount",M10&gt;=0.1,"Moderate",TRUE,"Standard")</f>
        <v/>
      </c>
    </row>
    <row r="11">
      <c r="A11">
        <f>Raw_Data!A11</f>
        <v/>
      </c>
      <c r="B11" s="29">
        <f>Raw_Data!B11</f>
        <v/>
      </c>
      <c r="C11">
        <f>YEAR(B11)</f>
        <v/>
      </c>
      <c r="D11">
        <f>MONTH(B11)</f>
        <v/>
      </c>
      <c r="E11">
        <f>TEXT(B11,"MMM-YYYY")</f>
        <v/>
      </c>
      <c r="F11">
        <f>Raw_Data!C11</f>
        <v/>
      </c>
      <c r="G11">
        <f>Raw_Data!D11</f>
        <v/>
      </c>
      <c r="H11">
        <f>Raw_Data!E11</f>
        <v/>
      </c>
      <c r="I11">
        <f>Raw_Data!F11</f>
        <v/>
      </c>
      <c r="J11">
        <f>Raw_Data!G11</f>
        <v/>
      </c>
      <c r="K11">
        <f>Raw_Data!H11</f>
        <v/>
      </c>
      <c r="L11" s="30">
        <f>Raw_Data!I11</f>
        <v/>
      </c>
      <c r="M11" s="31">
        <f>Raw_Data!J11</f>
        <v/>
      </c>
      <c r="N11" s="17">
        <f>K11*L11</f>
        <v/>
      </c>
      <c r="O11" s="17">
        <f>N11*(1-M11)</f>
        <v/>
      </c>
      <c r="P11" s="17">
        <f>Raw_Data!L11</f>
        <v/>
      </c>
      <c r="Q11" s="17">
        <f>O11-P11</f>
        <v/>
      </c>
      <c r="R11" s="31">
        <f>IF(O11=0,0,Q11/O11)</f>
        <v/>
      </c>
      <c r="S11">
        <f>XLOOKUP(F11,Lookups!$B$7:$B$11,Lookups!$C$7:$C$11,"Unknown")</f>
        <v/>
      </c>
      <c r="T11" s="31">
        <f>XLOOKUP(G11,Lookups!$E$7:$E$11,Lookups!$F$7:$F$11,0)</f>
        <v/>
      </c>
      <c r="U11" s="32">
        <f>R11-T11</f>
        <v/>
      </c>
      <c r="V11">
        <f>XLOOKUP(I11,Lookups!$H$7:$H$10,Lookups!$I$7:$I$10,"")</f>
        <v/>
      </c>
      <c r="W11">
        <f>IF(O11&gt;=50000,"HIGH VALUE","")</f>
        <v/>
      </c>
      <c r="X11">
        <f>IF(Q11&lt;0,"LOSS","")</f>
        <v/>
      </c>
      <c r="Y11">
        <f>IFS(M11&gt;=0.15,"Deep Discount",M11&gt;=0.1,"Moderate",TRUE,"Standard")</f>
        <v/>
      </c>
    </row>
    <row r="12">
      <c r="A12">
        <f>Raw_Data!A12</f>
        <v/>
      </c>
      <c r="B12" s="29">
        <f>Raw_Data!B12</f>
        <v/>
      </c>
      <c r="C12">
        <f>YEAR(B12)</f>
        <v/>
      </c>
      <c r="D12">
        <f>MONTH(B12)</f>
        <v/>
      </c>
      <c r="E12">
        <f>TEXT(B12,"MMM-YYYY")</f>
        <v/>
      </c>
      <c r="F12">
        <f>Raw_Data!C12</f>
        <v/>
      </c>
      <c r="G12">
        <f>Raw_Data!D12</f>
        <v/>
      </c>
      <c r="H12">
        <f>Raw_Data!E12</f>
        <v/>
      </c>
      <c r="I12">
        <f>Raw_Data!F12</f>
        <v/>
      </c>
      <c r="J12">
        <f>Raw_Data!G12</f>
        <v/>
      </c>
      <c r="K12">
        <f>Raw_Data!H12</f>
        <v/>
      </c>
      <c r="L12" s="30">
        <f>Raw_Data!I12</f>
        <v/>
      </c>
      <c r="M12" s="31">
        <f>Raw_Data!J12</f>
        <v/>
      </c>
      <c r="N12" s="17">
        <f>K12*L12</f>
        <v/>
      </c>
      <c r="O12" s="17">
        <f>N12*(1-M12)</f>
        <v/>
      </c>
      <c r="P12" s="17">
        <f>Raw_Data!L12</f>
        <v/>
      </c>
      <c r="Q12" s="17">
        <f>O12-P12</f>
        <v/>
      </c>
      <c r="R12" s="31">
        <f>IF(O12=0,0,Q12/O12)</f>
        <v/>
      </c>
      <c r="S12">
        <f>XLOOKUP(F12,Lookups!$B$7:$B$11,Lookups!$C$7:$C$11,"Unknown")</f>
        <v/>
      </c>
      <c r="T12" s="31">
        <f>XLOOKUP(G12,Lookups!$E$7:$E$11,Lookups!$F$7:$F$11,0)</f>
        <v/>
      </c>
      <c r="U12" s="32">
        <f>R12-T12</f>
        <v/>
      </c>
      <c r="V12">
        <f>XLOOKUP(I12,Lookups!$H$7:$H$10,Lookups!$I$7:$I$10,"")</f>
        <v/>
      </c>
      <c r="W12">
        <f>IF(O12&gt;=50000,"HIGH VALUE","")</f>
        <v/>
      </c>
      <c r="X12">
        <f>IF(Q12&lt;0,"LOSS","")</f>
        <v/>
      </c>
      <c r="Y12">
        <f>IFS(M12&gt;=0.15,"Deep Discount",M12&gt;=0.1,"Moderate",TRUE,"Standard")</f>
        <v/>
      </c>
    </row>
    <row r="13">
      <c r="A13">
        <f>Raw_Data!A13</f>
        <v/>
      </c>
      <c r="B13" s="29">
        <f>Raw_Data!B13</f>
        <v/>
      </c>
      <c r="C13">
        <f>YEAR(B13)</f>
        <v/>
      </c>
      <c r="D13">
        <f>MONTH(B13)</f>
        <v/>
      </c>
      <c r="E13">
        <f>TEXT(B13,"MMM-YYYY")</f>
        <v/>
      </c>
      <c r="F13">
        <f>Raw_Data!C13</f>
        <v/>
      </c>
      <c r="G13">
        <f>Raw_Data!D13</f>
        <v/>
      </c>
      <c r="H13">
        <f>Raw_Data!E13</f>
        <v/>
      </c>
      <c r="I13">
        <f>Raw_Data!F13</f>
        <v/>
      </c>
      <c r="J13">
        <f>Raw_Data!G13</f>
        <v/>
      </c>
      <c r="K13">
        <f>Raw_Data!H13</f>
        <v/>
      </c>
      <c r="L13" s="30">
        <f>Raw_Data!I13</f>
        <v/>
      </c>
      <c r="M13" s="31">
        <f>Raw_Data!J13</f>
        <v/>
      </c>
      <c r="N13" s="17">
        <f>K13*L13</f>
        <v/>
      </c>
      <c r="O13" s="17">
        <f>N13*(1-M13)</f>
        <v/>
      </c>
      <c r="P13" s="17">
        <f>Raw_Data!L13</f>
        <v/>
      </c>
      <c r="Q13" s="17">
        <f>O13-P13</f>
        <v/>
      </c>
      <c r="R13" s="31">
        <f>IF(O13=0,0,Q13/O13)</f>
        <v/>
      </c>
      <c r="S13">
        <f>XLOOKUP(F13,Lookups!$B$7:$B$11,Lookups!$C$7:$C$11,"Unknown")</f>
        <v/>
      </c>
      <c r="T13" s="31">
        <f>XLOOKUP(G13,Lookups!$E$7:$E$11,Lookups!$F$7:$F$11,0)</f>
        <v/>
      </c>
      <c r="U13" s="32">
        <f>R13-T13</f>
        <v/>
      </c>
      <c r="V13">
        <f>XLOOKUP(I13,Lookups!$H$7:$H$10,Lookups!$I$7:$I$10,"")</f>
        <v/>
      </c>
      <c r="W13">
        <f>IF(O13&gt;=50000,"HIGH VALUE","")</f>
        <v/>
      </c>
      <c r="X13">
        <f>IF(Q13&lt;0,"LOSS","")</f>
        <v/>
      </c>
      <c r="Y13">
        <f>IFS(M13&gt;=0.15,"Deep Discount",M13&gt;=0.1,"Moderate",TRUE,"Standard")</f>
        <v/>
      </c>
    </row>
    <row r="14">
      <c r="A14">
        <f>Raw_Data!A14</f>
        <v/>
      </c>
      <c r="B14" s="29">
        <f>Raw_Data!B14</f>
        <v/>
      </c>
      <c r="C14">
        <f>YEAR(B14)</f>
        <v/>
      </c>
      <c r="D14">
        <f>MONTH(B14)</f>
        <v/>
      </c>
      <c r="E14">
        <f>TEXT(B14,"MMM-YYYY")</f>
        <v/>
      </c>
      <c r="F14">
        <f>Raw_Data!C14</f>
        <v/>
      </c>
      <c r="G14">
        <f>Raw_Data!D14</f>
        <v/>
      </c>
      <c r="H14">
        <f>Raw_Data!E14</f>
        <v/>
      </c>
      <c r="I14">
        <f>Raw_Data!F14</f>
        <v/>
      </c>
      <c r="J14">
        <f>Raw_Data!G14</f>
        <v/>
      </c>
      <c r="K14">
        <f>Raw_Data!H14</f>
        <v/>
      </c>
      <c r="L14" s="30">
        <f>Raw_Data!I14</f>
        <v/>
      </c>
      <c r="M14" s="31">
        <f>Raw_Data!J14</f>
        <v/>
      </c>
      <c r="N14" s="17">
        <f>K14*L14</f>
        <v/>
      </c>
      <c r="O14" s="17">
        <f>N14*(1-M14)</f>
        <v/>
      </c>
      <c r="P14" s="17">
        <f>Raw_Data!L14</f>
        <v/>
      </c>
      <c r="Q14" s="17">
        <f>O14-P14</f>
        <v/>
      </c>
      <c r="R14" s="31">
        <f>IF(O14=0,0,Q14/O14)</f>
        <v/>
      </c>
      <c r="S14">
        <f>XLOOKUP(F14,Lookups!$B$7:$B$11,Lookups!$C$7:$C$11,"Unknown")</f>
        <v/>
      </c>
      <c r="T14" s="31">
        <f>XLOOKUP(G14,Lookups!$E$7:$E$11,Lookups!$F$7:$F$11,0)</f>
        <v/>
      </c>
      <c r="U14" s="32">
        <f>R14-T14</f>
        <v/>
      </c>
      <c r="V14">
        <f>XLOOKUP(I14,Lookups!$H$7:$H$10,Lookups!$I$7:$I$10,"")</f>
        <v/>
      </c>
      <c r="W14">
        <f>IF(O14&gt;=50000,"HIGH VALUE","")</f>
        <v/>
      </c>
      <c r="X14">
        <f>IF(Q14&lt;0,"LOSS","")</f>
        <v/>
      </c>
      <c r="Y14">
        <f>IFS(M14&gt;=0.15,"Deep Discount",M14&gt;=0.1,"Moderate",TRUE,"Standard")</f>
        <v/>
      </c>
    </row>
    <row r="15">
      <c r="A15">
        <f>Raw_Data!A15</f>
        <v/>
      </c>
      <c r="B15" s="29">
        <f>Raw_Data!B15</f>
        <v/>
      </c>
      <c r="C15">
        <f>YEAR(B15)</f>
        <v/>
      </c>
      <c r="D15">
        <f>MONTH(B15)</f>
        <v/>
      </c>
      <c r="E15">
        <f>TEXT(B15,"MMM-YYYY")</f>
        <v/>
      </c>
      <c r="F15">
        <f>Raw_Data!C15</f>
        <v/>
      </c>
      <c r="G15">
        <f>Raw_Data!D15</f>
        <v/>
      </c>
      <c r="H15">
        <f>Raw_Data!E15</f>
        <v/>
      </c>
      <c r="I15">
        <f>Raw_Data!F15</f>
        <v/>
      </c>
      <c r="J15">
        <f>Raw_Data!G15</f>
        <v/>
      </c>
      <c r="K15">
        <f>Raw_Data!H15</f>
        <v/>
      </c>
      <c r="L15" s="30">
        <f>Raw_Data!I15</f>
        <v/>
      </c>
      <c r="M15" s="31">
        <f>Raw_Data!J15</f>
        <v/>
      </c>
      <c r="N15" s="17">
        <f>K15*L15</f>
        <v/>
      </c>
      <c r="O15" s="17">
        <f>N15*(1-M15)</f>
        <v/>
      </c>
      <c r="P15" s="17">
        <f>Raw_Data!L15</f>
        <v/>
      </c>
      <c r="Q15" s="17">
        <f>O15-P15</f>
        <v/>
      </c>
      <c r="R15" s="31">
        <f>IF(O15=0,0,Q15/O15)</f>
        <v/>
      </c>
      <c r="S15">
        <f>XLOOKUP(F15,Lookups!$B$7:$B$11,Lookups!$C$7:$C$11,"Unknown")</f>
        <v/>
      </c>
      <c r="T15" s="31">
        <f>XLOOKUP(G15,Lookups!$E$7:$E$11,Lookups!$F$7:$F$11,0)</f>
        <v/>
      </c>
      <c r="U15" s="32">
        <f>R15-T15</f>
        <v/>
      </c>
      <c r="V15">
        <f>XLOOKUP(I15,Lookups!$H$7:$H$10,Lookups!$I$7:$I$10,"")</f>
        <v/>
      </c>
      <c r="W15">
        <f>IF(O15&gt;=50000,"HIGH VALUE","")</f>
        <v/>
      </c>
      <c r="X15">
        <f>IF(Q15&lt;0,"LOSS","")</f>
        <v/>
      </c>
      <c r="Y15">
        <f>IFS(M15&gt;=0.15,"Deep Discount",M15&gt;=0.1,"Moderate",TRUE,"Standard")</f>
        <v/>
      </c>
    </row>
    <row r="16">
      <c r="A16">
        <f>Raw_Data!A16</f>
        <v/>
      </c>
      <c r="B16" s="29">
        <f>Raw_Data!B16</f>
        <v/>
      </c>
      <c r="C16">
        <f>YEAR(B16)</f>
        <v/>
      </c>
      <c r="D16">
        <f>MONTH(B16)</f>
        <v/>
      </c>
      <c r="E16">
        <f>TEXT(B16,"MMM-YYYY")</f>
        <v/>
      </c>
      <c r="F16">
        <f>Raw_Data!C16</f>
        <v/>
      </c>
      <c r="G16">
        <f>Raw_Data!D16</f>
        <v/>
      </c>
      <c r="H16">
        <f>Raw_Data!E16</f>
        <v/>
      </c>
      <c r="I16">
        <f>Raw_Data!F16</f>
        <v/>
      </c>
      <c r="J16">
        <f>Raw_Data!G16</f>
        <v/>
      </c>
      <c r="K16">
        <f>Raw_Data!H16</f>
        <v/>
      </c>
      <c r="L16" s="30">
        <f>Raw_Data!I16</f>
        <v/>
      </c>
      <c r="M16" s="31">
        <f>Raw_Data!J16</f>
        <v/>
      </c>
      <c r="N16" s="17">
        <f>K16*L16</f>
        <v/>
      </c>
      <c r="O16" s="17">
        <f>N16*(1-M16)</f>
        <v/>
      </c>
      <c r="P16" s="17">
        <f>Raw_Data!L16</f>
        <v/>
      </c>
      <c r="Q16" s="17">
        <f>O16-P16</f>
        <v/>
      </c>
      <c r="R16" s="31">
        <f>IF(O16=0,0,Q16/O16)</f>
        <v/>
      </c>
      <c r="S16">
        <f>XLOOKUP(F16,Lookups!$B$7:$B$11,Lookups!$C$7:$C$11,"Unknown")</f>
        <v/>
      </c>
      <c r="T16" s="31">
        <f>XLOOKUP(G16,Lookups!$E$7:$E$11,Lookups!$F$7:$F$11,0)</f>
        <v/>
      </c>
      <c r="U16" s="32">
        <f>R16-T16</f>
        <v/>
      </c>
      <c r="V16">
        <f>XLOOKUP(I16,Lookups!$H$7:$H$10,Lookups!$I$7:$I$10,"")</f>
        <v/>
      </c>
      <c r="W16">
        <f>IF(O16&gt;=50000,"HIGH VALUE","")</f>
        <v/>
      </c>
      <c r="X16">
        <f>IF(Q16&lt;0,"LOSS","")</f>
        <v/>
      </c>
      <c r="Y16">
        <f>IFS(M16&gt;=0.15,"Deep Discount",M16&gt;=0.1,"Moderate",TRUE,"Standard")</f>
        <v/>
      </c>
    </row>
    <row r="17">
      <c r="A17">
        <f>Raw_Data!A17</f>
        <v/>
      </c>
      <c r="B17" s="29">
        <f>Raw_Data!B17</f>
        <v/>
      </c>
      <c r="C17">
        <f>YEAR(B17)</f>
        <v/>
      </c>
      <c r="D17">
        <f>MONTH(B17)</f>
        <v/>
      </c>
      <c r="E17">
        <f>TEXT(B17,"MMM-YYYY")</f>
        <v/>
      </c>
      <c r="F17">
        <f>Raw_Data!C17</f>
        <v/>
      </c>
      <c r="G17">
        <f>Raw_Data!D17</f>
        <v/>
      </c>
      <c r="H17">
        <f>Raw_Data!E17</f>
        <v/>
      </c>
      <c r="I17">
        <f>Raw_Data!F17</f>
        <v/>
      </c>
      <c r="J17">
        <f>Raw_Data!G17</f>
        <v/>
      </c>
      <c r="K17">
        <f>Raw_Data!H17</f>
        <v/>
      </c>
      <c r="L17" s="30">
        <f>Raw_Data!I17</f>
        <v/>
      </c>
      <c r="M17" s="31">
        <f>Raw_Data!J17</f>
        <v/>
      </c>
      <c r="N17" s="17">
        <f>K17*L17</f>
        <v/>
      </c>
      <c r="O17" s="17">
        <f>N17*(1-M17)</f>
        <v/>
      </c>
      <c r="P17" s="17">
        <f>Raw_Data!L17</f>
        <v/>
      </c>
      <c r="Q17" s="17">
        <f>O17-P17</f>
        <v/>
      </c>
      <c r="R17" s="31">
        <f>IF(O17=0,0,Q17/O17)</f>
        <v/>
      </c>
      <c r="S17">
        <f>XLOOKUP(F17,Lookups!$B$7:$B$11,Lookups!$C$7:$C$11,"Unknown")</f>
        <v/>
      </c>
      <c r="T17" s="31">
        <f>XLOOKUP(G17,Lookups!$E$7:$E$11,Lookups!$F$7:$F$11,0)</f>
        <v/>
      </c>
      <c r="U17" s="32">
        <f>R17-T17</f>
        <v/>
      </c>
      <c r="V17">
        <f>XLOOKUP(I17,Lookups!$H$7:$H$10,Lookups!$I$7:$I$10,"")</f>
        <v/>
      </c>
      <c r="W17">
        <f>IF(O17&gt;=50000,"HIGH VALUE","")</f>
        <v/>
      </c>
      <c r="X17">
        <f>IF(Q17&lt;0,"LOSS","")</f>
        <v/>
      </c>
      <c r="Y17">
        <f>IFS(M17&gt;=0.15,"Deep Discount",M17&gt;=0.1,"Moderate",TRUE,"Standard")</f>
        <v/>
      </c>
    </row>
    <row r="18">
      <c r="A18">
        <f>Raw_Data!A18</f>
        <v/>
      </c>
      <c r="B18" s="29">
        <f>Raw_Data!B18</f>
        <v/>
      </c>
      <c r="C18">
        <f>YEAR(B18)</f>
        <v/>
      </c>
      <c r="D18">
        <f>MONTH(B18)</f>
        <v/>
      </c>
      <c r="E18">
        <f>TEXT(B18,"MMM-YYYY")</f>
        <v/>
      </c>
      <c r="F18">
        <f>Raw_Data!C18</f>
        <v/>
      </c>
      <c r="G18">
        <f>Raw_Data!D18</f>
        <v/>
      </c>
      <c r="H18">
        <f>Raw_Data!E18</f>
        <v/>
      </c>
      <c r="I18">
        <f>Raw_Data!F18</f>
        <v/>
      </c>
      <c r="J18">
        <f>Raw_Data!G18</f>
        <v/>
      </c>
      <c r="K18">
        <f>Raw_Data!H18</f>
        <v/>
      </c>
      <c r="L18" s="30">
        <f>Raw_Data!I18</f>
        <v/>
      </c>
      <c r="M18" s="31">
        <f>Raw_Data!J18</f>
        <v/>
      </c>
      <c r="N18" s="17">
        <f>K18*L18</f>
        <v/>
      </c>
      <c r="O18" s="17">
        <f>N18*(1-M18)</f>
        <v/>
      </c>
      <c r="P18" s="17">
        <f>Raw_Data!L18</f>
        <v/>
      </c>
      <c r="Q18" s="17">
        <f>O18-P18</f>
        <v/>
      </c>
      <c r="R18" s="31">
        <f>IF(O18=0,0,Q18/O18)</f>
        <v/>
      </c>
      <c r="S18">
        <f>XLOOKUP(F18,Lookups!$B$7:$B$11,Lookups!$C$7:$C$11,"Unknown")</f>
        <v/>
      </c>
      <c r="T18" s="31">
        <f>XLOOKUP(G18,Lookups!$E$7:$E$11,Lookups!$F$7:$F$11,0)</f>
        <v/>
      </c>
      <c r="U18" s="32">
        <f>R18-T18</f>
        <v/>
      </c>
      <c r="V18">
        <f>XLOOKUP(I18,Lookups!$H$7:$H$10,Lookups!$I$7:$I$10,"")</f>
        <v/>
      </c>
      <c r="W18">
        <f>IF(O18&gt;=50000,"HIGH VALUE","")</f>
        <v/>
      </c>
      <c r="X18">
        <f>IF(Q18&lt;0,"LOSS","")</f>
        <v/>
      </c>
      <c r="Y18">
        <f>IFS(M18&gt;=0.15,"Deep Discount",M18&gt;=0.1,"Moderate",TRUE,"Standard")</f>
        <v/>
      </c>
    </row>
    <row r="19">
      <c r="A19">
        <f>Raw_Data!A19</f>
        <v/>
      </c>
      <c r="B19" s="29">
        <f>Raw_Data!B19</f>
        <v/>
      </c>
      <c r="C19">
        <f>YEAR(B19)</f>
        <v/>
      </c>
      <c r="D19">
        <f>MONTH(B19)</f>
        <v/>
      </c>
      <c r="E19">
        <f>TEXT(B19,"MMM-YYYY")</f>
        <v/>
      </c>
      <c r="F19">
        <f>Raw_Data!C19</f>
        <v/>
      </c>
      <c r="G19">
        <f>Raw_Data!D19</f>
        <v/>
      </c>
      <c r="H19">
        <f>Raw_Data!E19</f>
        <v/>
      </c>
      <c r="I19">
        <f>Raw_Data!F19</f>
        <v/>
      </c>
      <c r="J19">
        <f>Raw_Data!G19</f>
        <v/>
      </c>
      <c r="K19">
        <f>Raw_Data!H19</f>
        <v/>
      </c>
      <c r="L19" s="30">
        <f>Raw_Data!I19</f>
        <v/>
      </c>
      <c r="M19" s="31">
        <f>Raw_Data!J19</f>
        <v/>
      </c>
      <c r="N19" s="17">
        <f>K19*L19</f>
        <v/>
      </c>
      <c r="O19" s="17">
        <f>N19*(1-M19)</f>
        <v/>
      </c>
      <c r="P19" s="17">
        <f>Raw_Data!L19</f>
        <v/>
      </c>
      <c r="Q19" s="17">
        <f>O19-P19</f>
        <v/>
      </c>
      <c r="R19" s="31">
        <f>IF(O19=0,0,Q19/O19)</f>
        <v/>
      </c>
      <c r="S19">
        <f>XLOOKUP(F19,Lookups!$B$7:$B$11,Lookups!$C$7:$C$11,"Unknown")</f>
        <v/>
      </c>
      <c r="T19" s="31">
        <f>XLOOKUP(G19,Lookups!$E$7:$E$11,Lookups!$F$7:$F$11,0)</f>
        <v/>
      </c>
      <c r="U19" s="32">
        <f>R19-T19</f>
        <v/>
      </c>
      <c r="V19">
        <f>XLOOKUP(I19,Lookups!$H$7:$H$10,Lookups!$I$7:$I$10,"")</f>
        <v/>
      </c>
      <c r="W19">
        <f>IF(O19&gt;=50000,"HIGH VALUE","")</f>
        <v/>
      </c>
      <c r="X19">
        <f>IF(Q19&lt;0,"LOSS","")</f>
        <v/>
      </c>
      <c r="Y19">
        <f>IFS(M19&gt;=0.15,"Deep Discount",M19&gt;=0.1,"Moderate",TRUE,"Standard")</f>
        <v/>
      </c>
    </row>
    <row r="20">
      <c r="A20">
        <f>Raw_Data!A20</f>
        <v/>
      </c>
      <c r="B20" s="29">
        <f>Raw_Data!B20</f>
        <v/>
      </c>
      <c r="C20">
        <f>YEAR(B20)</f>
        <v/>
      </c>
      <c r="D20">
        <f>MONTH(B20)</f>
        <v/>
      </c>
      <c r="E20">
        <f>TEXT(B20,"MMM-YYYY")</f>
        <v/>
      </c>
      <c r="F20">
        <f>Raw_Data!C20</f>
        <v/>
      </c>
      <c r="G20">
        <f>Raw_Data!D20</f>
        <v/>
      </c>
      <c r="H20">
        <f>Raw_Data!E20</f>
        <v/>
      </c>
      <c r="I20">
        <f>Raw_Data!F20</f>
        <v/>
      </c>
      <c r="J20">
        <f>Raw_Data!G20</f>
        <v/>
      </c>
      <c r="K20">
        <f>Raw_Data!H20</f>
        <v/>
      </c>
      <c r="L20" s="30">
        <f>Raw_Data!I20</f>
        <v/>
      </c>
      <c r="M20" s="31">
        <f>Raw_Data!J20</f>
        <v/>
      </c>
      <c r="N20" s="17">
        <f>K20*L20</f>
        <v/>
      </c>
      <c r="O20" s="17">
        <f>N20*(1-M20)</f>
        <v/>
      </c>
      <c r="P20" s="17">
        <f>Raw_Data!L20</f>
        <v/>
      </c>
      <c r="Q20" s="17">
        <f>O20-P20</f>
        <v/>
      </c>
      <c r="R20" s="31">
        <f>IF(O20=0,0,Q20/O20)</f>
        <v/>
      </c>
      <c r="S20">
        <f>XLOOKUP(F20,Lookups!$B$7:$B$11,Lookups!$C$7:$C$11,"Unknown")</f>
        <v/>
      </c>
      <c r="T20" s="31">
        <f>XLOOKUP(G20,Lookups!$E$7:$E$11,Lookups!$F$7:$F$11,0)</f>
        <v/>
      </c>
      <c r="U20" s="32">
        <f>R20-T20</f>
        <v/>
      </c>
      <c r="V20">
        <f>XLOOKUP(I20,Lookups!$H$7:$H$10,Lookups!$I$7:$I$10,"")</f>
        <v/>
      </c>
      <c r="W20">
        <f>IF(O20&gt;=50000,"HIGH VALUE","")</f>
        <v/>
      </c>
      <c r="X20">
        <f>IF(Q20&lt;0,"LOSS","")</f>
        <v/>
      </c>
      <c r="Y20">
        <f>IFS(M20&gt;=0.15,"Deep Discount",M20&gt;=0.1,"Moderate",TRUE,"Standard")</f>
        <v/>
      </c>
    </row>
    <row r="21">
      <c r="A21">
        <f>Raw_Data!A21</f>
        <v/>
      </c>
      <c r="B21" s="29">
        <f>Raw_Data!B21</f>
        <v/>
      </c>
      <c r="C21">
        <f>YEAR(B21)</f>
        <v/>
      </c>
      <c r="D21">
        <f>MONTH(B21)</f>
        <v/>
      </c>
      <c r="E21">
        <f>TEXT(B21,"MMM-YYYY")</f>
        <v/>
      </c>
      <c r="F21">
        <f>Raw_Data!C21</f>
        <v/>
      </c>
      <c r="G21">
        <f>Raw_Data!D21</f>
        <v/>
      </c>
      <c r="H21">
        <f>Raw_Data!E21</f>
        <v/>
      </c>
      <c r="I21">
        <f>Raw_Data!F21</f>
        <v/>
      </c>
      <c r="J21">
        <f>Raw_Data!G21</f>
        <v/>
      </c>
      <c r="K21">
        <f>Raw_Data!H21</f>
        <v/>
      </c>
      <c r="L21" s="30">
        <f>Raw_Data!I21</f>
        <v/>
      </c>
      <c r="M21" s="31">
        <f>Raw_Data!J21</f>
        <v/>
      </c>
      <c r="N21" s="17">
        <f>K21*L21</f>
        <v/>
      </c>
      <c r="O21" s="17">
        <f>N21*(1-M21)</f>
        <v/>
      </c>
      <c r="P21" s="17">
        <f>Raw_Data!L21</f>
        <v/>
      </c>
      <c r="Q21" s="17">
        <f>O21-P21</f>
        <v/>
      </c>
      <c r="R21" s="31">
        <f>IF(O21=0,0,Q21/O21)</f>
        <v/>
      </c>
      <c r="S21">
        <f>XLOOKUP(F21,Lookups!$B$7:$B$11,Lookups!$C$7:$C$11,"Unknown")</f>
        <v/>
      </c>
      <c r="T21" s="31">
        <f>XLOOKUP(G21,Lookups!$E$7:$E$11,Lookups!$F$7:$F$11,0)</f>
        <v/>
      </c>
      <c r="U21" s="32">
        <f>R21-T21</f>
        <v/>
      </c>
      <c r="V21">
        <f>XLOOKUP(I21,Lookups!$H$7:$H$10,Lookups!$I$7:$I$10,"")</f>
        <v/>
      </c>
      <c r="W21">
        <f>IF(O21&gt;=50000,"HIGH VALUE","")</f>
        <v/>
      </c>
      <c r="X21">
        <f>IF(Q21&lt;0,"LOSS","")</f>
        <v/>
      </c>
      <c r="Y21">
        <f>IFS(M21&gt;=0.15,"Deep Discount",M21&gt;=0.1,"Moderate",TRUE,"Standard")</f>
        <v/>
      </c>
    </row>
    <row r="22">
      <c r="A22">
        <f>Raw_Data!A22</f>
        <v/>
      </c>
      <c r="B22" s="29">
        <f>Raw_Data!B22</f>
        <v/>
      </c>
      <c r="C22">
        <f>YEAR(B22)</f>
        <v/>
      </c>
      <c r="D22">
        <f>MONTH(B22)</f>
        <v/>
      </c>
      <c r="E22">
        <f>TEXT(B22,"MMM-YYYY")</f>
        <v/>
      </c>
      <c r="F22">
        <f>Raw_Data!C22</f>
        <v/>
      </c>
      <c r="G22">
        <f>Raw_Data!D22</f>
        <v/>
      </c>
      <c r="H22">
        <f>Raw_Data!E22</f>
        <v/>
      </c>
      <c r="I22">
        <f>Raw_Data!F22</f>
        <v/>
      </c>
      <c r="J22">
        <f>Raw_Data!G22</f>
        <v/>
      </c>
      <c r="K22">
        <f>Raw_Data!H22</f>
        <v/>
      </c>
      <c r="L22" s="30">
        <f>Raw_Data!I22</f>
        <v/>
      </c>
      <c r="M22" s="31">
        <f>Raw_Data!J22</f>
        <v/>
      </c>
      <c r="N22" s="17">
        <f>K22*L22</f>
        <v/>
      </c>
      <c r="O22" s="17">
        <f>N22*(1-M22)</f>
        <v/>
      </c>
      <c r="P22" s="17">
        <f>Raw_Data!L22</f>
        <v/>
      </c>
      <c r="Q22" s="17">
        <f>O22-P22</f>
        <v/>
      </c>
      <c r="R22" s="31">
        <f>IF(O22=0,0,Q22/O22)</f>
        <v/>
      </c>
      <c r="S22">
        <f>XLOOKUP(F22,Lookups!$B$7:$B$11,Lookups!$C$7:$C$11,"Unknown")</f>
        <v/>
      </c>
      <c r="T22" s="31">
        <f>XLOOKUP(G22,Lookups!$E$7:$E$11,Lookups!$F$7:$F$11,0)</f>
        <v/>
      </c>
      <c r="U22" s="32">
        <f>R22-T22</f>
        <v/>
      </c>
      <c r="V22">
        <f>XLOOKUP(I22,Lookups!$H$7:$H$10,Lookups!$I$7:$I$10,"")</f>
        <v/>
      </c>
      <c r="W22">
        <f>IF(O22&gt;=50000,"HIGH VALUE","")</f>
        <v/>
      </c>
      <c r="X22">
        <f>IF(Q22&lt;0,"LOSS","")</f>
        <v/>
      </c>
      <c r="Y22">
        <f>IFS(M22&gt;=0.15,"Deep Discount",M22&gt;=0.1,"Moderate",TRUE,"Standard")</f>
        <v/>
      </c>
    </row>
    <row r="23">
      <c r="A23">
        <f>Raw_Data!A23</f>
        <v/>
      </c>
      <c r="B23" s="29">
        <f>Raw_Data!B23</f>
        <v/>
      </c>
      <c r="C23">
        <f>YEAR(B23)</f>
        <v/>
      </c>
      <c r="D23">
        <f>MONTH(B23)</f>
        <v/>
      </c>
      <c r="E23">
        <f>TEXT(B23,"MMM-YYYY")</f>
        <v/>
      </c>
      <c r="F23">
        <f>Raw_Data!C23</f>
        <v/>
      </c>
      <c r="G23">
        <f>Raw_Data!D23</f>
        <v/>
      </c>
      <c r="H23">
        <f>Raw_Data!E23</f>
        <v/>
      </c>
      <c r="I23">
        <f>Raw_Data!F23</f>
        <v/>
      </c>
      <c r="J23">
        <f>Raw_Data!G23</f>
        <v/>
      </c>
      <c r="K23">
        <f>Raw_Data!H23</f>
        <v/>
      </c>
      <c r="L23" s="30">
        <f>Raw_Data!I23</f>
        <v/>
      </c>
      <c r="M23" s="31">
        <f>Raw_Data!J23</f>
        <v/>
      </c>
      <c r="N23" s="17">
        <f>K23*L23</f>
        <v/>
      </c>
      <c r="O23" s="17">
        <f>N23*(1-M23)</f>
        <v/>
      </c>
      <c r="P23" s="17">
        <f>Raw_Data!L23</f>
        <v/>
      </c>
      <c r="Q23" s="17">
        <f>O23-P23</f>
        <v/>
      </c>
      <c r="R23" s="31">
        <f>IF(O23=0,0,Q23/O23)</f>
        <v/>
      </c>
      <c r="S23">
        <f>XLOOKUP(F23,Lookups!$B$7:$B$11,Lookups!$C$7:$C$11,"Unknown")</f>
        <v/>
      </c>
      <c r="T23" s="31">
        <f>XLOOKUP(G23,Lookups!$E$7:$E$11,Lookups!$F$7:$F$11,0)</f>
        <v/>
      </c>
      <c r="U23" s="32">
        <f>R23-T23</f>
        <v/>
      </c>
      <c r="V23">
        <f>XLOOKUP(I23,Lookups!$H$7:$H$10,Lookups!$I$7:$I$10,"")</f>
        <v/>
      </c>
      <c r="W23">
        <f>IF(O23&gt;=50000,"HIGH VALUE","")</f>
        <v/>
      </c>
      <c r="X23">
        <f>IF(Q23&lt;0,"LOSS","")</f>
        <v/>
      </c>
      <c r="Y23">
        <f>IFS(M23&gt;=0.15,"Deep Discount",M23&gt;=0.1,"Moderate",TRUE,"Standard")</f>
        <v/>
      </c>
    </row>
    <row r="24">
      <c r="A24">
        <f>Raw_Data!A24</f>
        <v/>
      </c>
      <c r="B24" s="29">
        <f>Raw_Data!B24</f>
        <v/>
      </c>
      <c r="C24">
        <f>YEAR(B24)</f>
        <v/>
      </c>
      <c r="D24">
        <f>MONTH(B24)</f>
        <v/>
      </c>
      <c r="E24">
        <f>TEXT(B24,"MMM-YYYY")</f>
        <v/>
      </c>
      <c r="F24">
        <f>Raw_Data!C24</f>
        <v/>
      </c>
      <c r="G24">
        <f>Raw_Data!D24</f>
        <v/>
      </c>
      <c r="H24">
        <f>Raw_Data!E24</f>
        <v/>
      </c>
      <c r="I24">
        <f>Raw_Data!F24</f>
        <v/>
      </c>
      <c r="J24">
        <f>Raw_Data!G24</f>
        <v/>
      </c>
      <c r="K24">
        <f>Raw_Data!H24</f>
        <v/>
      </c>
      <c r="L24" s="30">
        <f>Raw_Data!I24</f>
        <v/>
      </c>
      <c r="M24" s="31">
        <f>Raw_Data!J24</f>
        <v/>
      </c>
      <c r="N24" s="17">
        <f>K24*L24</f>
        <v/>
      </c>
      <c r="O24" s="17">
        <f>N24*(1-M24)</f>
        <v/>
      </c>
      <c r="P24" s="17">
        <f>Raw_Data!L24</f>
        <v/>
      </c>
      <c r="Q24" s="17">
        <f>O24-P24</f>
        <v/>
      </c>
      <c r="R24" s="31">
        <f>IF(O24=0,0,Q24/O24)</f>
        <v/>
      </c>
      <c r="S24">
        <f>XLOOKUP(F24,Lookups!$B$7:$B$11,Lookups!$C$7:$C$11,"Unknown")</f>
        <v/>
      </c>
      <c r="T24" s="31">
        <f>XLOOKUP(G24,Lookups!$E$7:$E$11,Lookups!$F$7:$F$11,0)</f>
        <v/>
      </c>
      <c r="U24" s="32">
        <f>R24-T24</f>
        <v/>
      </c>
      <c r="V24">
        <f>XLOOKUP(I24,Lookups!$H$7:$H$10,Lookups!$I$7:$I$10,"")</f>
        <v/>
      </c>
      <c r="W24">
        <f>IF(O24&gt;=50000,"HIGH VALUE","")</f>
        <v/>
      </c>
      <c r="X24">
        <f>IF(Q24&lt;0,"LOSS","")</f>
        <v/>
      </c>
      <c r="Y24">
        <f>IFS(M24&gt;=0.15,"Deep Discount",M24&gt;=0.1,"Moderate",TRUE,"Standard")</f>
        <v/>
      </c>
    </row>
    <row r="25">
      <c r="A25">
        <f>Raw_Data!A25</f>
        <v/>
      </c>
      <c r="B25" s="29">
        <f>Raw_Data!B25</f>
        <v/>
      </c>
      <c r="C25">
        <f>YEAR(B25)</f>
        <v/>
      </c>
      <c r="D25">
        <f>MONTH(B25)</f>
        <v/>
      </c>
      <c r="E25">
        <f>TEXT(B25,"MMM-YYYY")</f>
        <v/>
      </c>
      <c r="F25">
        <f>Raw_Data!C25</f>
        <v/>
      </c>
      <c r="G25">
        <f>Raw_Data!D25</f>
        <v/>
      </c>
      <c r="H25">
        <f>Raw_Data!E25</f>
        <v/>
      </c>
      <c r="I25">
        <f>Raw_Data!F25</f>
        <v/>
      </c>
      <c r="J25">
        <f>Raw_Data!G25</f>
        <v/>
      </c>
      <c r="K25">
        <f>Raw_Data!H25</f>
        <v/>
      </c>
      <c r="L25" s="30">
        <f>Raw_Data!I25</f>
        <v/>
      </c>
      <c r="M25" s="31">
        <f>Raw_Data!J25</f>
        <v/>
      </c>
      <c r="N25" s="17">
        <f>K25*L25</f>
        <v/>
      </c>
      <c r="O25" s="17">
        <f>N25*(1-M25)</f>
        <v/>
      </c>
      <c r="P25" s="17">
        <f>Raw_Data!L25</f>
        <v/>
      </c>
      <c r="Q25" s="17">
        <f>O25-P25</f>
        <v/>
      </c>
      <c r="R25" s="31">
        <f>IF(O25=0,0,Q25/O25)</f>
        <v/>
      </c>
      <c r="S25">
        <f>XLOOKUP(F25,Lookups!$B$7:$B$11,Lookups!$C$7:$C$11,"Unknown")</f>
        <v/>
      </c>
      <c r="T25" s="31">
        <f>XLOOKUP(G25,Lookups!$E$7:$E$11,Lookups!$F$7:$F$11,0)</f>
        <v/>
      </c>
      <c r="U25" s="32">
        <f>R25-T25</f>
        <v/>
      </c>
      <c r="V25">
        <f>XLOOKUP(I25,Lookups!$H$7:$H$10,Lookups!$I$7:$I$10,"")</f>
        <v/>
      </c>
      <c r="W25">
        <f>IF(O25&gt;=50000,"HIGH VALUE","")</f>
        <v/>
      </c>
      <c r="X25">
        <f>IF(Q25&lt;0,"LOSS","")</f>
        <v/>
      </c>
      <c r="Y25">
        <f>IFS(M25&gt;=0.15,"Deep Discount",M25&gt;=0.1,"Moderate",TRUE,"Standard")</f>
        <v/>
      </c>
    </row>
    <row r="26">
      <c r="A26">
        <f>Raw_Data!A26</f>
        <v/>
      </c>
      <c r="B26" s="29">
        <f>Raw_Data!B26</f>
        <v/>
      </c>
      <c r="C26">
        <f>YEAR(B26)</f>
        <v/>
      </c>
      <c r="D26">
        <f>MONTH(B26)</f>
        <v/>
      </c>
      <c r="E26">
        <f>TEXT(B26,"MMM-YYYY")</f>
        <v/>
      </c>
      <c r="F26">
        <f>Raw_Data!C26</f>
        <v/>
      </c>
      <c r="G26">
        <f>Raw_Data!D26</f>
        <v/>
      </c>
      <c r="H26">
        <f>Raw_Data!E26</f>
        <v/>
      </c>
      <c r="I26">
        <f>Raw_Data!F26</f>
        <v/>
      </c>
      <c r="J26">
        <f>Raw_Data!G26</f>
        <v/>
      </c>
      <c r="K26">
        <f>Raw_Data!H26</f>
        <v/>
      </c>
      <c r="L26" s="30">
        <f>Raw_Data!I26</f>
        <v/>
      </c>
      <c r="M26" s="31">
        <f>Raw_Data!J26</f>
        <v/>
      </c>
      <c r="N26" s="17">
        <f>K26*L26</f>
        <v/>
      </c>
      <c r="O26" s="17">
        <f>N26*(1-M26)</f>
        <v/>
      </c>
      <c r="P26" s="17">
        <f>Raw_Data!L26</f>
        <v/>
      </c>
      <c r="Q26" s="17">
        <f>O26-P26</f>
        <v/>
      </c>
      <c r="R26" s="31">
        <f>IF(O26=0,0,Q26/O26)</f>
        <v/>
      </c>
      <c r="S26">
        <f>XLOOKUP(F26,Lookups!$B$7:$B$11,Lookups!$C$7:$C$11,"Unknown")</f>
        <v/>
      </c>
      <c r="T26" s="31">
        <f>XLOOKUP(G26,Lookups!$E$7:$E$11,Lookups!$F$7:$F$11,0)</f>
        <v/>
      </c>
      <c r="U26" s="32">
        <f>R26-T26</f>
        <v/>
      </c>
      <c r="V26">
        <f>XLOOKUP(I26,Lookups!$H$7:$H$10,Lookups!$I$7:$I$10,"")</f>
        <v/>
      </c>
      <c r="W26">
        <f>IF(O26&gt;=50000,"HIGH VALUE","")</f>
        <v/>
      </c>
      <c r="X26">
        <f>IF(Q26&lt;0,"LOSS","")</f>
        <v/>
      </c>
      <c r="Y26">
        <f>IFS(M26&gt;=0.15,"Deep Discount",M26&gt;=0.1,"Moderate",TRUE,"Standard")</f>
        <v/>
      </c>
    </row>
    <row r="27">
      <c r="A27">
        <f>Raw_Data!A27</f>
        <v/>
      </c>
      <c r="B27" s="29">
        <f>Raw_Data!B27</f>
        <v/>
      </c>
      <c r="C27">
        <f>YEAR(B27)</f>
        <v/>
      </c>
      <c r="D27">
        <f>MONTH(B27)</f>
        <v/>
      </c>
      <c r="E27">
        <f>TEXT(B27,"MMM-YYYY")</f>
        <v/>
      </c>
      <c r="F27">
        <f>Raw_Data!C27</f>
        <v/>
      </c>
      <c r="G27">
        <f>Raw_Data!D27</f>
        <v/>
      </c>
      <c r="H27">
        <f>Raw_Data!E27</f>
        <v/>
      </c>
      <c r="I27">
        <f>Raw_Data!F27</f>
        <v/>
      </c>
      <c r="J27">
        <f>Raw_Data!G27</f>
        <v/>
      </c>
      <c r="K27">
        <f>Raw_Data!H27</f>
        <v/>
      </c>
      <c r="L27" s="30">
        <f>Raw_Data!I27</f>
        <v/>
      </c>
      <c r="M27" s="31">
        <f>Raw_Data!J27</f>
        <v/>
      </c>
      <c r="N27" s="17">
        <f>K27*L27</f>
        <v/>
      </c>
      <c r="O27" s="17">
        <f>N27*(1-M27)</f>
        <v/>
      </c>
      <c r="P27" s="17">
        <f>Raw_Data!L27</f>
        <v/>
      </c>
      <c r="Q27" s="17">
        <f>O27-P27</f>
        <v/>
      </c>
      <c r="R27" s="31">
        <f>IF(O27=0,0,Q27/O27)</f>
        <v/>
      </c>
      <c r="S27">
        <f>XLOOKUP(F27,Lookups!$B$7:$B$11,Lookups!$C$7:$C$11,"Unknown")</f>
        <v/>
      </c>
      <c r="T27" s="31">
        <f>XLOOKUP(G27,Lookups!$E$7:$E$11,Lookups!$F$7:$F$11,0)</f>
        <v/>
      </c>
      <c r="U27" s="32">
        <f>R27-T27</f>
        <v/>
      </c>
      <c r="V27">
        <f>XLOOKUP(I27,Lookups!$H$7:$H$10,Lookups!$I$7:$I$10,"")</f>
        <v/>
      </c>
      <c r="W27">
        <f>IF(O27&gt;=50000,"HIGH VALUE","")</f>
        <v/>
      </c>
      <c r="X27">
        <f>IF(Q27&lt;0,"LOSS","")</f>
        <v/>
      </c>
      <c r="Y27">
        <f>IFS(M27&gt;=0.15,"Deep Discount",M27&gt;=0.1,"Moderate",TRUE,"Standard")</f>
        <v/>
      </c>
    </row>
    <row r="28">
      <c r="A28">
        <f>Raw_Data!A28</f>
        <v/>
      </c>
      <c r="B28" s="29">
        <f>Raw_Data!B28</f>
        <v/>
      </c>
      <c r="C28">
        <f>YEAR(B28)</f>
        <v/>
      </c>
      <c r="D28">
        <f>MONTH(B28)</f>
        <v/>
      </c>
      <c r="E28">
        <f>TEXT(B28,"MMM-YYYY")</f>
        <v/>
      </c>
      <c r="F28">
        <f>Raw_Data!C28</f>
        <v/>
      </c>
      <c r="G28">
        <f>Raw_Data!D28</f>
        <v/>
      </c>
      <c r="H28">
        <f>Raw_Data!E28</f>
        <v/>
      </c>
      <c r="I28">
        <f>Raw_Data!F28</f>
        <v/>
      </c>
      <c r="J28">
        <f>Raw_Data!G28</f>
        <v/>
      </c>
      <c r="K28">
        <f>Raw_Data!H28</f>
        <v/>
      </c>
      <c r="L28" s="30">
        <f>Raw_Data!I28</f>
        <v/>
      </c>
      <c r="M28" s="31">
        <f>Raw_Data!J28</f>
        <v/>
      </c>
      <c r="N28" s="17">
        <f>K28*L28</f>
        <v/>
      </c>
      <c r="O28" s="17">
        <f>N28*(1-M28)</f>
        <v/>
      </c>
      <c r="P28" s="17">
        <f>Raw_Data!L28</f>
        <v/>
      </c>
      <c r="Q28" s="17">
        <f>O28-P28</f>
        <v/>
      </c>
      <c r="R28" s="31">
        <f>IF(O28=0,0,Q28/O28)</f>
        <v/>
      </c>
      <c r="S28">
        <f>XLOOKUP(F28,Lookups!$B$7:$B$11,Lookups!$C$7:$C$11,"Unknown")</f>
        <v/>
      </c>
      <c r="T28" s="31">
        <f>XLOOKUP(G28,Lookups!$E$7:$E$11,Lookups!$F$7:$F$11,0)</f>
        <v/>
      </c>
      <c r="U28" s="32">
        <f>R28-T28</f>
        <v/>
      </c>
      <c r="V28">
        <f>XLOOKUP(I28,Lookups!$H$7:$H$10,Lookups!$I$7:$I$10,"")</f>
        <v/>
      </c>
      <c r="W28">
        <f>IF(O28&gt;=50000,"HIGH VALUE","")</f>
        <v/>
      </c>
      <c r="X28">
        <f>IF(Q28&lt;0,"LOSS","")</f>
        <v/>
      </c>
      <c r="Y28">
        <f>IFS(M28&gt;=0.15,"Deep Discount",M28&gt;=0.1,"Moderate",TRUE,"Standard")</f>
        <v/>
      </c>
    </row>
    <row r="29">
      <c r="A29">
        <f>Raw_Data!A29</f>
        <v/>
      </c>
      <c r="B29" s="29">
        <f>Raw_Data!B29</f>
        <v/>
      </c>
      <c r="C29">
        <f>YEAR(B29)</f>
        <v/>
      </c>
      <c r="D29">
        <f>MONTH(B29)</f>
        <v/>
      </c>
      <c r="E29">
        <f>TEXT(B29,"MMM-YYYY")</f>
        <v/>
      </c>
      <c r="F29">
        <f>Raw_Data!C29</f>
        <v/>
      </c>
      <c r="G29">
        <f>Raw_Data!D29</f>
        <v/>
      </c>
      <c r="H29">
        <f>Raw_Data!E29</f>
        <v/>
      </c>
      <c r="I29">
        <f>Raw_Data!F29</f>
        <v/>
      </c>
      <c r="J29">
        <f>Raw_Data!G29</f>
        <v/>
      </c>
      <c r="K29">
        <f>Raw_Data!H29</f>
        <v/>
      </c>
      <c r="L29" s="30">
        <f>Raw_Data!I29</f>
        <v/>
      </c>
      <c r="M29" s="31">
        <f>Raw_Data!J29</f>
        <v/>
      </c>
      <c r="N29" s="17">
        <f>K29*L29</f>
        <v/>
      </c>
      <c r="O29" s="17">
        <f>N29*(1-M29)</f>
        <v/>
      </c>
      <c r="P29" s="17">
        <f>Raw_Data!L29</f>
        <v/>
      </c>
      <c r="Q29" s="17">
        <f>O29-P29</f>
        <v/>
      </c>
      <c r="R29" s="31">
        <f>IF(O29=0,0,Q29/O29)</f>
        <v/>
      </c>
      <c r="S29">
        <f>XLOOKUP(F29,Lookups!$B$7:$B$11,Lookups!$C$7:$C$11,"Unknown")</f>
        <v/>
      </c>
      <c r="T29" s="31">
        <f>XLOOKUP(G29,Lookups!$E$7:$E$11,Lookups!$F$7:$F$11,0)</f>
        <v/>
      </c>
      <c r="U29" s="32">
        <f>R29-T29</f>
        <v/>
      </c>
      <c r="V29">
        <f>XLOOKUP(I29,Lookups!$H$7:$H$10,Lookups!$I$7:$I$10,"")</f>
        <v/>
      </c>
      <c r="W29">
        <f>IF(O29&gt;=50000,"HIGH VALUE","")</f>
        <v/>
      </c>
      <c r="X29">
        <f>IF(Q29&lt;0,"LOSS","")</f>
        <v/>
      </c>
      <c r="Y29">
        <f>IFS(M29&gt;=0.15,"Deep Discount",M29&gt;=0.1,"Moderate",TRUE,"Standard")</f>
        <v/>
      </c>
    </row>
    <row r="30">
      <c r="A30">
        <f>Raw_Data!A30</f>
        <v/>
      </c>
      <c r="B30" s="29">
        <f>Raw_Data!B30</f>
        <v/>
      </c>
      <c r="C30">
        <f>YEAR(B30)</f>
        <v/>
      </c>
      <c r="D30">
        <f>MONTH(B30)</f>
        <v/>
      </c>
      <c r="E30">
        <f>TEXT(B30,"MMM-YYYY")</f>
        <v/>
      </c>
      <c r="F30">
        <f>Raw_Data!C30</f>
        <v/>
      </c>
      <c r="G30">
        <f>Raw_Data!D30</f>
        <v/>
      </c>
      <c r="H30">
        <f>Raw_Data!E30</f>
        <v/>
      </c>
      <c r="I30">
        <f>Raw_Data!F30</f>
        <v/>
      </c>
      <c r="J30">
        <f>Raw_Data!G30</f>
        <v/>
      </c>
      <c r="K30">
        <f>Raw_Data!H30</f>
        <v/>
      </c>
      <c r="L30" s="30">
        <f>Raw_Data!I30</f>
        <v/>
      </c>
      <c r="M30" s="31">
        <f>Raw_Data!J30</f>
        <v/>
      </c>
      <c r="N30" s="17">
        <f>K30*L30</f>
        <v/>
      </c>
      <c r="O30" s="17">
        <f>N30*(1-M30)</f>
        <v/>
      </c>
      <c r="P30" s="17">
        <f>Raw_Data!L30</f>
        <v/>
      </c>
      <c r="Q30" s="17">
        <f>O30-P30</f>
        <v/>
      </c>
      <c r="R30" s="31">
        <f>IF(O30=0,0,Q30/O30)</f>
        <v/>
      </c>
      <c r="S30">
        <f>XLOOKUP(F30,Lookups!$B$7:$B$11,Lookups!$C$7:$C$11,"Unknown")</f>
        <v/>
      </c>
      <c r="T30" s="31">
        <f>XLOOKUP(G30,Lookups!$E$7:$E$11,Lookups!$F$7:$F$11,0)</f>
        <v/>
      </c>
      <c r="U30" s="32">
        <f>R30-T30</f>
        <v/>
      </c>
      <c r="V30">
        <f>XLOOKUP(I30,Lookups!$H$7:$H$10,Lookups!$I$7:$I$10,"")</f>
        <v/>
      </c>
      <c r="W30">
        <f>IF(O30&gt;=50000,"HIGH VALUE","")</f>
        <v/>
      </c>
      <c r="X30">
        <f>IF(Q30&lt;0,"LOSS","")</f>
        <v/>
      </c>
      <c r="Y30">
        <f>IFS(M30&gt;=0.15,"Deep Discount",M30&gt;=0.1,"Moderate",TRUE,"Standard")</f>
        <v/>
      </c>
    </row>
    <row r="31">
      <c r="A31">
        <f>Raw_Data!A31</f>
        <v/>
      </c>
      <c r="B31" s="29">
        <f>Raw_Data!B31</f>
        <v/>
      </c>
      <c r="C31">
        <f>YEAR(B31)</f>
        <v/>
      </c>
      <c r="D31">
        <f>MONTH(B31)</f>
        <v/>
      </c>
      <c r="E31">
        <f>TEXT(B31,"MMM-YYYY")</f>
        <v/>
      </c>
      <c r="F31">
        <f>Raw_Data!C31</f>
        <v/>
      </c>
      <c r="G31">
        <f>Raw_Data!D31</f>
        <v/>
      </c>
      <c r="H31">
        <f>Raw_Data!E31</f>
        <v/>
      </c>
      <c r="I31">
        <f>Raw_Data!F31</f>
        <v/>
      </c>
      <c r="J31">
        <f>Raw_Data!G31</f>
        <v/>
      </c>
      <c r="K31">
        <f>Raw_Data!H31</f>
        <v/>
      </c>
      <c r="L31" s="30">
        <f>Raw_Data!I31</f>
        <v/>
      </c>
      <c r="M31" s="31">
        <f>Raw_Data!J31</f>
        <v/>
      </c>
      <c r="N31" s="17">
        <f>K31*L31</f>
        <v/>
      </c>
      <c r="O31" s="17">
        <f>N31*(1-M31)</f>
        <v/>
      </c>
      <c r="P31" s="17">
        <f>Raw_Data!L31</f>
        <v/>
      </c>
      <c r="Q31" s="17">
        <f>O31-P31</f>
        <v/>
      </c>
      <c r="R31" s="31">
        <f>IF(O31=0,0,Q31/O31)</f>
        <v/>
      </c>
      <c r="S31">
        <f>XLOOKUP(F31,Lookups!$B$7:$B$11,Lookups!$C$7:$C$11,"Unknown")</f>
        <v/>
      </c>
      <c r="T31" s="31">
        <f>XLOOKUP(G31,Lookups!$E$7:$E$11,Lookups!$F$7:$F$11,0)</f>
        <v/>
      </c>
      <c r="U31" s="32">
        <f>R31-T31</f>
        <v/>
      </c>
      <c r="V31">
        <f>XLOOKUP(I31,Lookups!$H$7:$H$10,Lookups!$I$7:$I$10,"")</f>
        <v/>
      </c>
      <c r="W31">
        <f>IF(O31&gt;=50000,"HIGH VALUE","")</f>
        <v/>
      </c>
      <c r="X31">
        <f>IF(Q31&lt;0,"LOSS","")</f>
        <v/>
      </c>
      <c r="Y31">
        <f>IFS(M31&gt;=0.15,"Deep Discount",M31&gt;=0.1,"Moderate",TRUE,"Standard")</f>
        <v/>
      </c>
    </row>
    <row r="32">
      <c r="A32">
        <f>Raw_Data!A32</f>
        <v/>
      </c>
      <c r="B32" s="29">
        <f>Raw_Data!B32</f>
        <v/>
      </c>
      <c r="C32">
        <f>YEAR(B32)</f>
        <v/>
      </c>
      <c r="D32">
        <f>MONTH(B32)</f>
        <v/>
      </c>
      <c r="E32">
        <f>TEXT(B32,"MMM-YYYY")</f>
        <v/>
      </c>
      <c r="F32">
        <f>Raw_Data!C32</f>
        <v/>
      </c>
      <c r="G32">
        <f>Raw_Data!D32</f>
        <v/>
      </c>
      <c r="H32">
        <f>Raw_Data!E32</f>
        <v/>
      </c>
      <c r="I32">
        <f>Raw_Data!F32</f>
        <v/>
      </c>
      <c r="J32">
        <f>Raw_Data!G32</f>
        <v/>
      </c>
      <c r="K32">
        <f>Raw_Data!H32</f>
        <v/>
      </c>
      <c r="L32" s="30">
        <f>Raw_Data!I32</f>
        <v/>
      </c>
      <c r="M32" s="31">
        <f>Raw_Data!J32</f>
        <v/>
      </c>
      <c r="N32" s="17">
        <f>K32*L32</f>
        <v/>
      </c>
      <c r="O32" s="17">
        <f>N32*(1-M32)</f>
        <v/>
      </c>
      <c r="P32" s="17">
        <f>Raw_Data!L32</f>
        <v/>
      </c>
      <c r="Q32" s="17">
        <f>O32-P32</f>
        <v/>
      </c>
      <c r="R32" s="31">
        <f>IF(O32=0,0,Q32/O32)</f>
        <v/>
      </c>
      <c r="S32">
        <f>XLOOKUP(F32,Lookups!$B$7:$B$11,Lookups!$C$7:$C$11,"Unknown")</f>
        <v/>
      </c>
      <c r="T32" s="31">
        <f>XLOOKUP(G32,Lookups!$E$7:$E$11,Lookups!$F$7:$F$11,0)</f>
        <v/>
      </c>
      <c r="U32" s="32">
        <f>R32-T32</f>
        <v/>
      </c>
      <c r="V32">
        <f>XLOOKUP(I32,Lookups!$H$7:$H$10,Lookups!$I$7:$I$10,"")</f>
        <v/>
      </c>
      <c r="W32">
        <f>IF(O32&gt;=50000,"HIGH VALUE","")</f>
        <v/>
      </c>
      <c r="X32">
        <f>IF(Q32&lt;0,"LOSS","")</f>
        <v/>
      </c>
      <c r="Y32">
        <f>IFS(M32&gt;=0.15,"Deep Discount",M32&gt;=0.1,"Moderate",TRUE,"Standard")</f>
        <v/>
      </c>
    </row>
    <row r="33">
      <c r="A33">
        <f>Raw_Data!A33</f>
        <v/>
      </c>
      <c r="B33" s="29">
        <f>Raw_Data!B33</f>
        <v/>
      </c>
      <c r="C33">
        <f>YEAR(B33)</f>
        <v/>
      </c>
      <c r="D33">
        <f>MONTH(B33)</f>
        <v/>
      </c>
      <c r="E33">
        <f>TEXT(B33,"MMM-YYYY")</f>
        <v/>
      </c>
      <c r="F33">
        <f>Raw_Data!C33</f>
        <v/>
      </c>
      <c r="G33">
        <f>Raw_Data!D33</f>
        <v/>
      </c>
      <c r="H33">
        <f>Raw_Data!E33</f>
        <v/>
      </c>
      <c r="I33">
        <f>Raw_Data!F33</f>
        <v/>
      </c>
      <c r="J33">
        <f>Raw_Data!G33</f>
        <v/>
      </c>
      <c r="K33">
        <f>Raw_Data!H33</f>
        <v/>
      </c>
      <c r="L33" s="30">
        <f>Raw_Data!I33</f>
        <v/>
      </c>
      <c r="M33" s="31">
        <f>Raw_Data!J33</f>
        <v/>
      </c>
      <c r="N33" s="17">
        <f>K33*L33</f>
        <v/>
      </c>
      <c r="O33" s="17">
        <f>N33*(1-M33)</f>
        <v/>
      </c>
      <c r="P33" s="17">
        <f>Raw_Data!L33</f>
        <v/>
      </c>
      <c r="Q33" s="17">
        <f>O33-P33</f>
        <v/>
      </c>
      <c r="R33" s="31">
        <f>IF(O33=0,0,Q33/O33)</f>
        <v/>
      </c>
      <c r="S33">
        <f>XLOOKUP(F33,Lookups!$B$7:$B$11,Lookups!$C$7:$C$11,"Unknown")</f>
        <v/>
      </c>
      <c r="T33" s="31">
        <f>XLOOKUP(G33,Lookups!$E$7:$E$11,Lookups!$F$7:$F$11,0)</f>
        <v/>
      </c>
      <c r="U33" s="32">
        <f>R33-T33</f>
        <v/>
      </c>
      <c r="V33">
        <f>XLOOKUP(I33,Lookups!$H$7:$H$10,Lookups!$I$7:$I$10,"")</f>
        <v/>
      </c>
      <c r="W33">
        <f>IF(O33&gt;=50000,"HIGH VALUE","")</f>
        <v/>
      </c>
      <c r="X33">
        <f>IF(Q33&lt;0,"LOSS","")</f>
        <v/>
      </c>
      <c r="Y33">
        <f>IFS(M33&gt;=0.15,"Deep Discount",M33&gt;=0.1,"Moderate",TRUE,"Standard")</f>
        <v/>
      </c>
    </row>
    <row r="34">
      <c r="A34">
        <f>Raw_Data!A34</f>
        <v/>
      </c>
      <c r="B34" s="29">
        <f>Raw_Data!B34</f>
        <v/>
      </c>
      <c r="C34">
        <f>YEAR(B34)</f>
        <v/>
      </c>
      <c r="D34">
        <f>MONTH(B34)</f>
        <v/>
      </c>
      <c r="E34">
        <f>TEXT(B34,"MMM-YYYY")</f>
        <v/>
      </c>
      <c r="F34">
        <f>Raw_Data!C34</f>
        <v/>
      </c>
      <c r="G34">
        <f>Raw_Data!D34</f>
        <v/>
      </c>
      <c r="H34">
        <f>Raw_Data!E34</f>
        <v/>
      </c>
      <c r="I34">
        <f>Raw_Data!F34</f>
        <v/>
      </c>
      <c r="J34">
        <f>Raw_Data!G34</f>
        <v/>
      </c>
      <c r="K34">
        <f>Raw_Data!H34</f>
        <v/>
      </c>
      <c r="L34" s="30">
        <f>Raw_Data!I34</f>
        <v/>
      </c>
      <c r="M34" s="31">
        <f>Raw_Data!J34</f>
        <v/>
      </c>
      <c r="N34" s="17">
        <f>K34*L34</f>
        <v/>
      </c>
      <c r="O34" s="17">
        <f>N34*(1-M34)</f>
        <v/>
      </c>
      <c r="P34" s="17">
        <f>Raw_Data!L34</f>
        <v/>
      </c>
      <c r="Q34" s="17">
        <f>O34-P34</f>
        <v/>
      </c>
      <c r="R34" s="31">
        <f>IF(O34=0,0,Q34/O34)</f>
        <v/>
      </c>
      <c r="S34">
        <f>XLOOKUP(F34,Lookups!$B$7:$B$11,Lookups!$C$7:$C$11,"Unknown")</f>
        <v/>
      </c>
      <c r="T34" s="31">
        <f>XLOOKUP(G34,Lookups!$E$7:$E$11,Lookups!$F$7:$F$11,0)</f>
        <v/>
      </c>
      <c r="U34" s="32">
        <f>R34-T34</f>
        <v/>
      </c>
      <c r="V34">
        <f>XLOOKUP(I34,Lookups!$H$7:$H$10,Lookups!$I$7:$I$10,"")</f>
        <v/>
      </c>
      <c r="W34">
        <f>IF(O34&gt;=50000,"HIGH VALUE","")</f>
        <v/>
      </c>
      <c r="X34">
        <f>IF(Q34&lt;0,"LOSS","")</f>
        <v/>
      </c>
      <c r="Y34">
        <f>IFS(M34&gt;=0.15,"Deep Discount",M34&gt;=0.1,"Moderate",TRUE,"Standard")</f>
        <v/>
      </c>
    </row>
    <row r="35">
      <c r="A35">
        <f>Raw_Data!A35</f>
        <v/>
      </c>
      <c r="B35" s="29">
        <f>Raw_Data!B35</f>
        <v/>
      </c>
      <c r="C35">
        <f>YEAR(B35)</f>
        <v/>
      </c>
      <c r="D35">
        <f>MONTH(B35)</f>
        <v/>
      </c>
      <c r="E35">
        <f>TEXT(B35,"MMM-YYYY")</f>
        <v/>
      </c>
      <c r="F35">
        <f>Raw_Data!C35</f>
        <v/>
      </c>
      <c r="G35">
        <f>Raw_Data!D35</f>
        <v/>
      </c>
      <c r="H35">
        <f>Raw_Data!E35</f>
        <v/>
      </c>
      <c r="I35">
        <f>Raw_Data!F35</f>
        <v/>
      </c>
      <c r="J35">
        <f>Raw_Data!G35</f>
        <v/>
      </c>
      <c r="K35">
        <f>Raw_Data!H35</f>
        <v/>
      </c>
      <c r="L35" s="30">
        <f>Raw_Data!I35</f>
        <v/>
      </c>
      <c r="M35" s="31">
        <f>Raw_Data!J35</f>
        <v/>
      </c>
      <c r="N35" s="17">
        <f>K35*L35</f>
        <v/>
      </c>
      <c r="O35" s="17">
        <f>N35*(1-M35)</f>
        <v/>
      </c>
      <c r="P35" s="17">
        <f>Raw_Data!L35</f>
        <v/>
      </c>
      <c r="Q35" s="17">
        <f>O35-P35</f>
        <v/>
      </c>
      <c r="R35" s="31">
        <f>IF(O35=0,0,Q35/O35)</f>
        <v/>
      </c>
      <c r="S35">
        <f>XLOOKUP(F35,Lookups!$B$7:$B$11,Lookups!$C$7:$C$11,"Unknown")</f>
        <v/>
      </c>
      <c r="T35" s="31">
        <f>XLOOKUP(G35,Lookups!$E$7:$E$11,Lookups!$F$7:$F$11,0)</f>
        <v/>
      </c>
      <c r="U35" s="32">
        <f>R35-T35</f>
        <v/>
      </c>
      <c r="V35">
        <f>XLOOKUP(I35,Lookups!$H$7:$H$10,Lookups!$I$7:$I$10,"")</f>
        <v/>
      </c>
      <c r="W35">
        <f>IF(O35&gt;=50000,"HIGH VALUE","")</f>
        <v/>
      </c>
      <c r="X35">
        <f>IF(Q35&lt;0,"LOSS","")</f>
        <v/>
      </c>
      <c r="Y35">
        <f>IFS(M35&gt;=0.15,"Deep Discount",M35&gt;=0.1,"Moderate",TRUE,"Standard")</f>
        <v/>
      </c>
    </row>
    <row r="36">
      <c r="A36">
        <f>Raw_Data!A36</f>
        <v/>
      </c>
      <c r="B36" s="29">
        <f>Raw_Data!B36</f>
        <v/>
      </c>
      <c r="C36">
        <f>YEAR(B36)</f>
        <v/>
      </c>
      <c r="D36">
        <f>MONTH(B36)</f>
        <v/>
      </c>
      <c r="E36">
        <f>TEXT(B36,"MMM-YYYY")</f>
        <v/>
      </c>
      <c r="F36">
        <f>Raw_Data!C36</f>
        <v/>
      </c>
      <c r="G36">
        <f>Raw_Data!D36</f>
        <v/>
      </c>
      <c r="H36">
        <f>Raw_Data!E36</f>
        <v/>
      </c>
      <c r="I36">
        <f>Raw_Data!F36</f>
        <v/>
      </c>
      <c r="J36">
        <f>Raw_Data!G36</f>
        <v/>
      </c>
      <c r="K36">
        <f>Raw_Data!H36</f>
        <v/>
      </c>
      <c r="L36" s="30">
        <f>Raw_Data!I36</f>
        <v/>
      </c>
      <c r="M36" s="31">
        <f>Raw_Data!J36</f>
        <v/>
      </c>
      <c r="N36" s="17">
        <f>K36*L36</f>
        <v/>
      </c>
      <c r="O36" s="17">
        <f>N36*(1-M36)</f>
        <v/>
      </c>
      <c r="P36" s="17">
        <f>Raw_Data!L36</f>
        <v/>
      </c>
      <c r="Q36" s="17">
        <f>O36-P36</f>
        <v/>
      </c>
      <c r="R36" s="31">
        <f>IF(O36=0,0,Q36/O36)</f>
        <v/>
      </c>
      <c r="S36">
        <f>XLOOKUP(F36,Lookups!$B$7:$B$11,Lookups!$C$7:$C$11,"Unknown")</f>
        <v/>
      </c>
      <c r="T36" s="31">
        <f>XLOOKUP(G36,Lookups!$E$7:$E$11,Lookups!$F$7:$F$11,0)</f>
        <v/>
      </c>
      <c r="U36" s="32">
        <f>R36-T36</f>
        <v/>
      </c>
      <c r="V36">
        <f>XLOOKUP(I36,Lookups!$H$7:$H$10,Lookups!$I$7:$I$10,"")</f>
        <v/>
      </c>
      <c r="W36">
        <f>IF(O36&gt;=50000,"HIGH VALUE","")</f>
        <v/>
      </c>
      <c r="X36">
        <f>IF(Q36&lt;0,"LOSS","")</f>
        <v/>
      </c>
      <c r="Y36">
        <f>IFS(M36&gt;=0.15,"Deep Discount",M36&gt;=0.1,"Moderate",TRUE,"Standard")</f>
        <v/>
      </c>
    </row>
    <row r="37">
      <c r="A37">
        <f>Raw_Data!A37</f>
        <v/>
      </c>
      <c r="B37" s="29">
        <f>Raw_Data!B37</f>
        <v/>
      </c>
      <c r="C37">
        <f>YEAR(B37)</f>
        <v/>
      </c>
      <c r="D37">
        <f>MONTH(B37)</f>
        <v/>
      </c>
      <c r="E37">
        <f>TEXT(B37,"MMM-YYYY")</f>
        <v/>
      </c>
      <c r="F37">
        <f>Raw_Data!C37</f>
        <v/>
      </c>
      <c r="G37">
        <f>Raw_Data!D37</f>
        <v/>
      </c>
      <c r="H37">
        <f>Raw_Data!E37</f>
        <v/>
      </c>
      <c r="I37">
        <f>Raw_Data!F37</f>
        <v/>
      </c>
      <c r="J37">
        <f>Raw_Data!G37</f>
        <v/>
      </c>
      <c r="K37">
        <f>Raw_Data!H37</f>
        <v/>
      </c>
      <c r="L37" s="30">
        <f>Raw_Data!I37</f>
        <v/>
      </c>
      <c r="M37" s="31">
        <f>Raw_Data!J37</f>
        <v/>
      </c>
      <c r="N37" s="17">
        <f>K37*L37</f>
        <v/>
      </c>
      <c r="O37" s="17">
        <f>N37*(1-M37)</f>
        <v/>
      </c>
      <c r="P37" s="17">
        <f>Raw_Data!L37</f>
        <v/>
      </c>
      <c r="Q37" s="17">
        <f>O37-P37</f>
        <v/>
      </c>
      <c r="R37" s="31">
        <f>IF(O37=0,0,Q37/O37)</f>
        <v/>
      </c>
      <c r="S37">
        <f>XLOOKUP(F37,Lookups!$B$7:$B$11,Lookups!$C$7:$C$11,"Unknown")</f>
        <v/>
      </c>
      <c r="T37" s="31">
        <f>XLOOKUP(G37,Lookups!$E$7:$E$11,Lookups!$F$7:$F$11,0)</f>
        <v/>
      </c>
      <c r="U37" s="32">
        <f>R37-T37</f>
        <v/>
      </c>
      <c r="V37">
        <f>XLOOKUP(I37,Lookups!$H$7:$H$10,Lookups!$I$7:$I$10,"")</f>
        <v/>
      </c>
      <c r="W37">
        <f>IF(O37&gt;=50000,"HIGH VALUE","")</f>
        <v/>
      </c>
      <c r="X37">
        <f>IF(Q37&lt;0,"LOSS","")</f>
        <v/>
      </c>
      <c r="Y37">
        <f>IFS(M37&gt;=0.15,"Deep Discount",M37&gt;=0.1,"Moderate",TRUE,"Standard")</f>
        <v/>
      </c>
    </row>
    <row r="38">
      <c r="A38">
        <f>Raw_Data!A38</f>
        <v/>
      </c>
      <c r="B38" s="29">
        <f>Raw_Data!B38</f>
        <v/>
      </c>
      <c r="C38">
        <f>YEAR(B38)</f>
        <v/>
      </c>
      <c r="D38">
        <f>MONTH(B38)</f>
        <v/>
      </c>
      <c r="E38">
        <f>TEXT(B38,"MMM-YYYY")</f>
        <v/>
      </c>
      <c r="F38">
        <f>Raw_Data!C38</f>
        <v/>
      </c>
      <c r="G38">
        <f>Raw_Data!D38</f>
        <v/>
      </c>
      <c r="H38">
        <f>Raw_Data!E38</f>
        <v/>
      </c>
      <c r="I38">
        <f>Raw_Data!F38</f>
        <v/>
      </c>
      <c r="J38">
        <f>Raw_Data!G38</f>
        <v/>
      </c>
      <c r="K38">
        <f>Raw_Data!H38</f>
        <v/>
      </c>
      <c r="L38" s="30">
        <f>Raw_Data!I38</f>
        <v/>
      </c>
      <c r="M38" s="31">
        <f>Raw_Data!J38</f>
        <v/>
      </c>
      <c r="N38" s="17">
        <f>K38*L38</f>
        <v/>
      </c>
      <c r="O38" s="17">
        <f>N38*(1-M38)</f>
        <v/>
      </c>
      <c r="P38" s="17">
        <f>Raw_Data!L38</f>
        <v/>
      </c>
      <c r="Q38" s="17">
        <f>O38-P38</f>
        <v/>
      </c>
      <c r="R38" s="31">
        <f>IF(O38=0,0,Q38/O38)</f>
        <v/>
      </c>
      <c r="S38">
        <f>XLOOKUP(F38,Lookups!$B$7:$B$11,Lookups!$C$7:$C$11,"Unknown")</f>
        <v/>
      </c>
      <c r="T38" s="31">
        <f>XLOOKUP(G38,Lookups!$E$7:$E$11,Lookups!$F$7:$F$11,0)</f>
        <v/>
      </c>
      <c r="U38" s="32">
        <f>R38-T38</f>
        <v/>
      </c>
      <c r="V38">
        <f>XLOOKUP(I38,Lookups!$H$7:$H$10,Lookups!$I$7:$I$10,"")</f>
        <v/>
      </c>
      <c r="W38">
        <f>IF(O38&gt;=50000,"HIGH VALUE","")</f>
        <v/>
      </c>
      <c r="X38">
        <f>IF(Q38&lt;0,"LOSS","")</f>
        <v/>
      </c>
      <c r="Y38">
        <f>IFS(M38&gt;=0.15,"Deep Discount",M38&gt;=0.1,"Moderate",TRUE,"Standard")</f>
        <v/>
      </c>
    </row>
    <row r="39">
      <c r="A39">
        <f>Raw_Data!A39</f>
        <v/>
      </c>
      <c r="B39" s="29">
        <f>Raw_Data!B39</f>
        <v/>
      </c>
      <c r="C39">
        <f>YEAR(B39)</f>
        <v/>
      </c>
      <c r="D39">
        <f>MONTH(B39)</f>
        <v/>
      </c>
      <c r="E39">
        <f>TEXT(B39,"MMM-YYYY")</f>
        <v/>
      </c>
      <c r="F39">
        <f>Raw_Data!C39</f>
        <v/>
      </c>
      <c r="G39">
        <f>Raw_Data!D39</f>
        <v/>
      </c>
      <c r="H39">
        <f>Raw_Data!E39</f>
        <v/>
      </c>
      <c r="I39">
        <f>Raw_Data!F39</f>
        <v/>
      </c>
      <c r="J39">
        <f>Raw_Data!G39</f>
        <v/>
      </c>
      <c r="K39">
        <f>Raw_Data!H39</f>
        <v/>
      </c>
      <c r="L39" s="30">
        <f>Raw_Data!I39</f>
        <v/>
      </c>
      <c r="M39" s="31">
        <f>Raw_Data!J39</f>
        <v/>
      </c>
      <c r="N39" s="17">
        <f>K39*L39</f>
        <v/>
      </c>
      <c r="O39" s="17">
        <f>N39*(1-M39)</f>
        <v/>
      </c>
      <c r="P39" s="17">
        <f>Raw_Data!L39</f>
        <v/>
      </c>
      <c r="Q39" s="17">
        <f>O39-P39</f>
        <v/>
      </c>
      <c r="R39" s="31">
        <f>IF(O39=0,0,Q39/O39)</f>
        <v/>
      </c>
      <c r="S39">
        <f>XLOOKUP(F39,Lookups!$B$7:$B$11,Lookups!$C$7:$C$11,"Unknown")</f>
        <v/>
      </c>
      <c r="T39" s="31">
        <f>XLOOKUP(G39,Lookups!$E$7:$E$11,Lookups!$F$7:$F$11,0)</f>
        <v/>
      </c>
      <c r="U39" s="32">
        <f>R39-T39</f>
        <v/>
      </c>
      <c r="V39">
        <f>XLOOKUP(I39,Lookups!$H$7:$H$10,Lookups!$I$7:$I$10,"")</f>
        <v/>
      </c>
      <c r="W39">
        <f>IF(O39&gt;=50000,"HIGH VALUE","")</f>
        <v/>
      </c>
      <c r="X39">
        <f>IF(Q39&lt;0,"LOSS","")</f>
        <v/>
      </c>
      <c r="Y39">
        <f>IFS(M39&gt;=0.15,"Deep Discount",M39&gt;=0.1,"Moderate",TRUE,"Standard")</f>
        <v/>
      </c>
    </row>
    <row r="40">
      <c r="A40">
        <f>Raw_Data!A40</f>
        <v/>
      </c>
      <c r="B40" s="29">
        <f>Raw_Data!B40</f>
        <v/>
      </c>
      <c r="C40">
        <f>YEAR(B40)</f>
        <v/>
      </c>
      <c r="D40">
        <f>MONTH(B40)</f>
        <v/>
      </c>
      <c r="E40">
        <f>TEXT(B40,"MMM-YYYY")</f>
        <v/>
      </c>
      <c r="F40">
        <f>Raw_Data!C40</f>
        <v/>
      </c>
      <c r="G40">
        <f>Raw_Data!D40</f>
        <v/>
      </c>
      <c r="H40">
        <f>Raw_Data!E40</f>
        <v/>
      </c>
      <c r="I40">
        <f>Raw_Data!F40</f>
        <v/>
      </c>
      <c r="J40">
        <f>Raw_Data!G40</f>
        <v/>
      </c>
      <c r="K40">
        <f>Raw_Data!H40</f>
        <v/>
      </c>
      <c r="L40" s="30">
        <f>Raw_Data!I40</f>
        <v/>
      </c>
      <c r="M40" s="31">
        <f>Raw_Data!J40</f>
        <v/>
      </c>
      <c r="N40" s="17">
        <f>K40*L40</f>
        <v/>
      </c>
      <c r="O40" s="17">
        <f>N40*(1-M40)</f>
        <v/>
      </c>
      <c r="P40" s="17">
        <f>Raw_Data!L40</f>
        <v/>
      </c>
      <c r="Q40" s="17">
        <f>O40-P40</f>
        <v/>
      </c>
      <c r="R40" s="31">
        <f>IF(O40=0,0,Q40/O40)</f>
        <v/>
      </c>
      <c r="S40">
        <f>XLOOKUP(F40,Lookups!$B$7:$B$11,Lookups!$C$7:$C$11,"Unknown")</f>
        <v/>
      </c>
      <c r="T40" s="31">
        <f>XLOOKUP(G40,Lookups!$E$7:$E$11,Lookups!$F$7:$F$11,0)</f>
        <v/>
      </c>
      <c r="U40" s="32">
        <f>R40-T40</f>
        <v/>
      </c>
      <c r="V40">
        <f>XLOOKUP(I40,Lookups!$H$7:$H$10,Lookups!$I$7:$I$10,"")</f>
        <v/>
      </c>
      <c r="W40">
        <f>IF(O40&gt;=50000,"HIGH VALUE","")</f>
        <v/>
      </c>
      <c r="X40">
        <f>IF(Q40&lt;0,"LOSS","")</f>
        <v/>
      </c>
      <c r="Y40">
        <f>IFS(M40&gt;=0.15,"Deep Discount",M40&gt;=0.1,"Moderate",TRUE,"Standard")</f>
        <v/>
      </c>
    </row>
    <row r="41">
      <c r="A41">
        <f>Raw_Data!A41</f>
        <v/>
      </c>
      <c r="B41" s="29">
        <f>Raw_Data!B41</f>
        <v/>
      </c>
      <c r="C41">
        <f>YEAR(B41)</f>
        <v/>
      </c>
      <c r="D41">
        <f>MONTH(B41)</f>
        <v/>
      </c>
      <c r="E41">
        <f>TEXT(B41,"MMM-YYYY")</f>
        <v/>
      </c>
      <c r="F41">
        <f>Raw_Data!C41</f>
        <v/>
      </c>
      <c r="G41">
        <f>Raw_Data!D41</f>
        <v/>
      </c>
      <c r="H41">
        <f>Raw_Data!E41</f>
        <v/>
      </c>
      <c r="I41">
        <f>Raw_Data!F41</f>
        <v/>
      </c>
      <c r="J41">
        <f>Raw_Data!G41</f>
        <v/>
      </c>
      <c r="K41">
        <f>Raw_Data!H41</f>
        <v/>
      </c>
      <c r="L41" s="30">
        <f>Raw_Data!I41</f>
        <v/>
      </c>
      <c r="M41" s="31">
        <f>Raw_Data!J41</f>
        <v/>
      </c>
      <c r="N41" s="17">
        <f>K41*L41</f>
        <v/>
      </c>
      <c r="O41" s="17">
        <f>N41*(1-M41)</f>
        <v/>
      </c>
      <c r="P41" s="17">
        <f>Raw_Data!L41</f>
        <v/>
      </c>
      <c r="Q41" s="17">
        <f>O41-P41</f>
        <v/>
      </c>
      <c r="R41" s="31">
        <f>IF(O41=0,0,Q41/O41)</f>
        <v/>
      </c>
      <c r="S41">
        <f>XLOOKUP(F41,Lookups!$B$7:$B$11,Lookups!$C$7:$C$11,"Unknown")</f>
        <v/>
      </c>
      <c r="T41" s="31">
        <f>XLOOKUP(G41,Lookups!$E$7:$E$11,Lookups!$F$7:$F$11,0)</f>
        <v/>
      </c>
      <c r="U41" s="32">
        <f>R41-T41</f>
        <v/>
      </c>
      <c r="V41">
        <f>XLOOKUP(I41,Lookups!$H$7:$H$10,Lookups!$I$7:$I$10,"")</f>
        <v/>
      </c>
      <c r="W41">
        <f>IF(O41&gt;=50000,"HIGH VALUE","")</f>
        <v/>
      </c>
      <c r="X41">
        <f>IF(Q41&lt;0,"LOSS","")</f>
        <v/>
      </c>
      <c r="Y41">
        <f>IFS(M41&gt;=0.15,"Deep Discount",M41&gt;=0.1,"Moderate",TRUE,"Standard")</f>
        <v/>
      </c>
    </row>
    <row r="42">
      <c r="A42">
        <f>Raw_Data!A42</f>
        <v/>
      </c>
      <c r="B42" s="29">
        <f>Raw_Data!B42</f>
        <v/>
      </c>
      <c r="C42">
        <f>YEAR(B42)</f>
        <v/>
      </c>
      <c r="D42">
        <f>MONTH(B42)</f>
        <v/>
      </c>
      <c r="E42">
        <f>TEXT(B42,"MMM-YYYY")</f>
        <v/>
      </c>
      <c r="F42">
        <f>Raw_Data!C42</f>
        <v/>
      </c>
      <c r="G42">
        <f>Raw_Data!D42</f>
        <v/>
      </c>
      <c r="H42">
        <f>Raw_Data!E42</f>
        <v/>
      </c>
      <c r="I42">
        <f>Raw_Data!F42</f>
        <v/>
      </c>
      <c r="J42">
        <f>Raw_Data!G42</f>
        <v/>
      </c>
      <c r="K42">
        <f>Raw_Data!H42</f>
        <v/>
      </c>
      <c r="L42" s="30">
        <f>Raw_Data!I42</f>
        <v/>
      </c>
      <c r="M42" s="31">
        <f>Raw_Data!J42</f>
        <v/>
      </c>
      <c r="N42" s="17">
        <f>K42*L42</f>
        <v/>
      </c>
      <c r="O42" s="17">
        <f>N42*(1-M42)</f>
        <v/>
      </c>
      <c r="P42" s="17">
        <f>Raw_Data!L42</f>
        <v/>
      </c>
      <c r="Q42" s="17">
        <f>O42-P42</f>
        <v/>
      </c>
      <c r="R42" s="31">
        <f>IF(O42=0,0,Q42/O42)</f>
        <v/>
      </c>
      <c r="S42">
        <f>XLOOKUP(F42,Lookups!$B$7:$B$11,Lookups!$C$7:$C$11,"Unknown")</f>
        <v/>
      </c>
      <c r="T42" s="31">
        <f>XLOOKUP(G42,Lookups!$E$7:$E$11,Lookups!$F$7:$F$11,0)</f>
        <v/>
      </c>
      <c r="U42" s="32">
        <f>R42-T42</f>
        <v/>
      </c>
      <c r="V42">
        <f>XLOOKUP(I42,Lookups!$H$7:$H$10,Lookups!$I$7:$I$10,"")</f>
        <v/>
      </c>
      <c r="W42">
        <f>IF(O42&gt;=50000,"HIGH VALUE","")</f>
        <v/>
      </c>
      <c r="X42">
        <f>IF(Q42&lt;0,"LOSS","")</f>
        <v/>
      </c>
      <c r="Y42">
        <f>IFS(M42&gt;=0.15,"Deep Discount",M42&gt;=0.1,"Moderate",TRUE,"Standard")</f>
        <v/>
      </c>
    </row>
    <row r="43">
      <c r="A43">
        <f>Raw_Data!A43</f>
        <v/>
      </c>
      <c r="B43" s="29">
        <f>Raw_Data!B43</f>
        <v/>
      </c>
      <c r="C43">
        <f>YEAR(B43)</f>
        <v/>
      </c>
      <c r="D43">
        <f>MONTH(B43)</f>
        <v/>
      </c>
      <c r="E43">
        <f>TEXT(B43,"MMM-YYYY")</f>
        <v/>
      </c>
      <c r="F43">
        <f>Raw_Data!C43</f>
        <v/>
      </c>
      <c r="G43">
        <f>Raw_Data!D43</f>
        <v/>
      </c>
      <c r="H43">
        <f>Raw_Data!E43</f>
        <v/>
      </c>
      <c r="I43">
        <f>Raw_Data!F43</f>
        <v/>
      </c>
      <c r="J43">
        <f>Raw_Data!G43</f>
        <v/>
      </c>
      <c r="K43">
        <f>Raw_Data!H43</f>
        <v/>
      </c>
      <c r="L43" s="30">
        <f>Raw_Data!I43</f>
        <v/>
      </c>
      <c r="M43" s="31">
        <f>Raw_Data!J43</f>
        <v/>
      </c>
      <c r="N43" s="17">
        <f>K43*L43</f>
        <v/>
      </c>
      <c r="O43" s="17">
        <f>N43*(1-M43)</f>
        <v/>
      </c>
      <c r="P43" s="17">
        <f>Raw_Data!L43</f>
        <v/>
      </c>
      <c r="Q43" s="17">
        <f>O43-P43</f>
        <v/>
      </c>
      <c r="R43" s="31">
        <f>IF(O43=0,0,Q43/O43)</f>
        <v/>
      </c>
      <c r="S43">
        <f>XLOOKUP(F43,Lookups!$B$7:$B$11,Lookups!$C$7:$C$11,"Unknown")</f>
        <v/>
      </c>
      <c r="T43" s="31">
        <f>XLOOKUP(G43,Lookups!$E$7:$E$11,Lookups!$F$7:$F$11,0)</f>
        <v/>
      </c>
      <c r="U43" s="32">
        <f>R43-T43</f>
        <v/>
      </c>
      <c r="V43">
        <f>XLOOKUP(I43,Lookups!$H$7:$H$10,Lookups!$I$7:$I$10,"")</f>
        <v/>
      </c>
      <c r="W43">
        <f>IF(O43&gt;=50000,"HIGH VALUE","")</f>
        <v/>
      </c>
      <c r="X43">
        <f>IF(Q43&lt;0,"LOSS","")</f>
        <v/>
      </c>
      <c r="Y43">
        <f>IFS(M43&gt;=0.15,"Deep Discount",M43&gt;=0.1,"Moderate",TRUE,"Standard")</f>
        <v/>
      </c>
    </row>
    <row r="44">
      <c r="A44">
        <f>Raw_Data!A44</f>
        <v/>
      </c>
      <c r="B44" s="29">
        <f>Raw_Data!B44</f>
        <v/>
      </c>
      <c r="C44">
        <f>YEAR(B44)</f>
        <v/>
      </c>
      <c r="D44">
        <f>MONTH(B44)</f>
        <v/>
      </c>
      <c r="E44">
        <f>TEXT(B44,"MMM-YYYY")</f>
        <v/>
      </c>
      <c r="F44">
        <f>Raw_Data!C44</f>
        <v/>
      </c>
      <c r="G44">
        <f>Raw_Data!D44</f>
        <v/>
      </c>
      <c r="H44">
        <f>Raw_Data!E44</f>
        <v/>
      </c>
      <c r="I44">
        <f>Raw_Data!F44</f>
        <v/>
      </c>
      <c r="J44">
        <f>Raw_Data!G44</f>
        <v/>
      </c>
      <c r="K44">
        <f>Raw_Data!H44</f>
        <v/>
      </c>
      <c r="L44" s="30">
        <f>Raw_Data!I44</f>
        <v/>
      </c>
      <c r="M44" s="31">
        <f>Raw_Data!J44</f>
        <v/>
      </c>
      <c r="N44" s="17">
        <f>K44*L44</f>
        <v/>
      </c>
      <c r="O44" s="17">
        <f>N44*(1-M44)</f>
        <v/>
      </c>
      <c r="P44" s="17">
        <f>Raw_Data!L44</f>
        <v/>
      </c>
      <c r="Q44" s="17">
        <f>O44-P44</f>
        <v/>
      </c>
      <c r="R44" s="31">
        <f>IF(O44=0,0,Q44/O44)</f>
        <v/>
      </c>
      <c r="S44">
        <f>XLOOKUP(F44,Lookups!$B$7:$B$11,Lookups!$C$7:$C$11,"Unknown")</f>
        <v/>
      </c>
      <c r="T44" s="31">
        <f>XLOOKUP(G44,Lookups!$E$7:$E$11,Lookups!$F$7:$F$11,0)</f>
        <v/>
      </c>
      <c r="U44" s="32">
        <f>R44-T44</f>
        <v/>
      </c>
      <c r="V44">
        <f>XLOOKUP(I44,Lookups!$H$7:$H$10,Lookups!$I$7:$I$10,"")</f>
        <v/>
      </c>
      <c r="W44">
        <f>IF(O44&gt;=50000,"HIGH VALUE","")</f>
        <v/>
      </c>
      <c r="X44">
        <f>IF(Q44&lt;0,"LOSS","")</f>
        <v/>
      </c>
      <c r="Y44">
        <f>IFS(M44&gt;=0.15,"Deep Discount",M44&gt;=0.1,"Moderate",TRUE,"Standard")</f>
        <v/>
      </c>
    </row>
    <row r="45">
      <c r="A45">
        <f>Raw_Data!A45</f>
        <v/>
      </c>
      <c r="B45" s="29">
        <f>Raw_Data!B45</f>
        <v/>
      </c>
      <c r="C45">
        <f>YEAR(B45)</f>
        <v/>
      </c>
      <c r="D45">
        <f>MONTH(B45)</f>
        <v/>
      </c>
      <c r="E45">
        <f>TEXT(B45,"MMM-YYYY")</f>
        <v/>
      </c>
      <c r="F45">
        <f>Raw_Data!C45</f>
        <v/>
      </c>
      <c r="G45">
        <f>Raw_Data!D45</f>
        <v/>
      </c>
      <c r="H45">
        <f>Raw_Data!E45</f>
        <v/>
      </c>
      <c r="I45">
        <f>Raw_Data!F45</f>
        <v/>
      </c>
      <c r="J45">
        <f>Raw_Data!G45</f>
        <v/>
      </c>
      <c r="K45">
        <f>Raw_Data!H45</f>
        <v/>
      </c>
      <c r="L45" s="30">
        <f>Raw_Data!I45</f>
        <v/>
      </c>
      <c r="M45" s="31">
        <f>Raw_Data!J45</f>
        <v/>
      </c>
      <c r="N45" s="17">
        <f>K45*L45</f>
        <v/>
      </c>
      <c r="O45" s="17">
        <f>N45*(1-M45)</f>
        <v/>
      </c>
      <c r="P45" s="17">
        <f>Raw_Data!L45</f>
        <v/>
      </c>
      <c r="Q45" s="17">
        <f>O45-P45</f>
        <v/>
      </c>
      <c r="R45" s="31">
        <f>IF(O45=0,0,Q45/O45)</f>
        <v/>
      </c>
      <c r="S45">
        <f>XLOOKUP(F45,Lookups!$B$7:$B$11,Lookups!$C$7:$C$11,"Unknown")</f>
        <v/>
      </c>
      <c r="T45" s="31">
        <f>XLOOKUP(G45,Lookups!$E$7:$E$11,Lookups!$F$7:$F$11,0)</f>
        <v/>
      </c>
      <c r="U45" s="32">
        <f>R45-T45</f>
        <v/>
      </c>
      <c r="V45">
        <f>XLOOKUP(I45,Lookups!$H$7:$H$10,Lookups!$I$7:$I$10,"")</f>
        <v/>
      </c>
      <c r="W45">
        <f>IF(O45&gt;=50000,"HIGH VALUE","")</f>
        <v/>
      </c>
      <c r="X45">
        <f>IF(Q45&lt;0,"LOSS","")</f>
        <v/>
      </c>
      <c r="Y45">
        <f>IFS(M45&gt;=0.15,"Deep Discount",M45&gt;=0.1,"Moderate",TRUE,"Standard")</f>
        <v/>
      </c>
    </row>
    <row r="46">
      <c r="A46">
        <f>Raw_Data!A46</f>
        <v/>
      </c>
      <c r="B46" s="29">
        <f>Raw_Data!B46</f>
        <v/>
      </c>
      <c r="C46">
        <f>YEAR(B46)</f>
        <v/>
      </c>
      <c r="D46">
        <f>MONTH(B46)</f>
        <v/>
      </c>
      <c r="E46">
        <f>TEXT(B46,"MMM-YYYY")</f>
        <v/>
      </c>
      <c r="F46">
        <f>Raw_Data!C46</f>
        <v/>
      </c>
      <c r="G46">
        <f>Raw_Data!D46</f>
        <v/>
      </c>
      <c r="H46">
        <f>Raw_Data!E46</f>
        <v/>
      </c>
      <c r="I46">
        <f>Raw_Data!F46</f>
        <v/>
      </c>
      <c r="J46">
        <f>Raw_Data!G46</f>
        <v/>
      </c>
      <c r="K46">
        <f>Raw_Data!H46</f>
        <v/>
      </c>
      <c r="L46" s="30">
        <f>Raw_Data!I46</f>
        <v/>
      </c>
      <c r="M46" s="31">
        <f>Raw_Data!J46</f>
        <v/>
      </c>
      <c r="N46" s="17">
        <f>K46*L46</f>
        <v/>
      </c>
      <c r="O46" s="17">
        <f>N46*(1-M46)</f>
        <v/>
      </c>
      <c r="P46" s="17">
        <f>Raw_Data!L46</f>
        <v/>
      </c>
      <c r="Q46" s="17">
        <f>O46-P46</f>
        <v/>
      </c>
      <c r="R46" s="31">
        <f>IF(O46=0,0,Q46/O46)</f>
        <v/>
      </c>
      <c r="S46">
        <f>XLOOKUP(F46,Lookups!$B$7:$B$11,Lookups!$C$7:$C$11,"Unknown")</f>
        <v/>
      </c>
      <c r="T46" s="31">
        <f>XLOOKUP(G46,Lookups!$E$7:$E$11,Lookups!$F$7:$F$11,0)</f>
        <v/>
      </c>
      <c r="U46" s="32">
        <f>R46-T46</f>
        <v/>
      </c>
      <c r="V46">
        <f>XLOOKUP(I46,Lookups!$H$7:$H$10,Lookups!$I$7:$I$10,"")</f>
        <v/>
      </c>
      <c r="W46">
        <f>IF(O46&gt;=50000,"HIGH VALUE","")</f>
        <v/>
      </c>
      <c r="X46">
        <f>IF(Q46&lt;0,"LOSS","")</f>
        <v/>
      </c>
      <c r="Y46">
        <f>IFS(M46&gt;=0.15,"Deep Discount",M46&gt;=0.1,"Moderate",TRUE,"Standard")</f>
        <v/>
      </c>
    </row>
    <row r="47">
      <c r="A47">
        <f>Raw_Data!A47</f>
        <v/>
      </c>
      <c r="B47" s="29">
        <f>Raw_Data!B47</f>
        <v/>
      </c>
      <c r="C47">
        <f>YEAR(B47)</f>
        <v/>
      </c>
      <c r="D47">
        <f>MONTH(B47)</f>
        <v/>
      </c>
      <c r="E47">
        <f>TEXT(B47,"MMM-YYYY")</f>
        <v/>
      </c>
      <c r="F47">
        <f>Raw_Data!C47</f>
        <v/>
      </c>
      <c r="G47">
        <f>Raw_Data!D47</f>
        <v/>
      </c>
      <c r="H47">
        <f>Raw_Data!E47</f>
        <v/>
      </c>
      <c r="I47">
        <f>Raw_Data!F47</f>
        <v/>
      </c>
      <c r="J47">
        <f>Raw_Data!G47</f>
        <v/>
      </c>
      <c r="K47">
        <f>Raw_Data!H47</f>
        <v/>
      </c>
      <c r="L47" s="30">
        <f>Raw_Data!I47</f>
        <v/>
      </c>
      <c r="M47" s="31">
        <f>Raw_Data!J47</f>
        <v/>
      </c>
      <c r="N47" s="17">
        <f>K47*L47</f>
        <v/>
      </c>
      <c r="O47" s="17">
        <f>N47*(1-M47)</f>
        <v/>
      </c>
      <c r="P47" s="17">
        <f>Raw_Data!L47</f>
        <v/>
      </c>
      <c r="Q47" s="17">
        <f>O47-P47</f>
        <v/>
      </c>
      <c r="R47" s="31">
        <f>IF(O47=0,0,Q47/O47)</f>
        <v/>
      </c>
      <c r="S47">
        <f>XLOOKUP(F47,Lookups!$B$7:$B$11,Lookups!$C$7:$C$11,"Unknown")</f>
        <v/>
      </c>
      <c r="T47" s="31">
        <f>XLOOKUP(G47,Lookups!$E$7:$E$11,Lookups!$F$7:$F$11,0)</f>
        <v/>
      </c>
      <c r="U47" s="32">
        <f>R47-T47</f>
        <v/>
      </c>
      <c r="V47">
        <f>XLOOKUP(I47,Lookups!$H$7:$H$10,Lookups!$I$7:$I$10,"")</f>
        <v/>
      </c>
      <c r="W47">
        <f>IF(O47&gt;=50000,"HIGH VALUE","")</f>
        <v/>
      </c>
      <c r="X47">
        <f>IF(Q47&lt;0,"LOSS","")</f>
        <v/>
      </c>
      <c r="Y47">
        <f>IFS(M47&gt;=0.15,"Deep Discount",M47&gt;=0.1,"Moderate",TRUE,"Standard")</f>
        <v/>
      </c>
    </row>
    <row r="48">
      <c r="A48">
        <f>Raw_Data!A48</f>
        <v/>
      </c>
      <c r="B48" s="29">
        <f>Raw_Data!B48</f>
        <v/>
      </c>
      <c r="C48">
        <f>YEAR(B48)</f>
        <v/>
      </c>
      <c r="D48">
        <f>MONTH(B48)</f>
        <v/>
      </c>
      <c r="E48">
        <f>TEXT(B48,"MMM-YYYY")</f>
        <v/>
      </c>
      <c r="F48">
        <f>Raw_Data!C48</f>
        <v/>
      </c>
      <c r="G48">
        <f>Raw_Data!D48</f>
        <v/>
      </c>
      <c r="H48">
        <f>Raw_Data!E48</f>
        <v/>
      </c>
      <c r="I48">
        <f>Raw_Data!F48</f>
        <v/>
      </c>
      <c r="J48">
        <f>Raw_Data!G48</f>
        <v/>
      </c>
      <c r="K48">
        <f>Raw_Data!H48</f>
        <v/>
      </c>
      <c r="L48" s="30">
        <f>Raw_Data!I48</f>
        <v/>
      </c>
      <c r="M48" s="31">
        <f>Raw_Data!J48</f>
        <v/>
      </c>
      <c r="N48" s="17">
        <f>K48*L48</f>
        <v/>
      </c>
      <c r="O48" s="17">
        <f>N48*(1-M48)</f>
        <v/>
      </c>
      <c r="P48" s="17">
        <f>Raw_Data!L48</f>
        <v/>
      </c>
      <c r="Q48" s="17">
        <f>O48-P48</f>
        <v/>
      </c>
      <c r="R48" s="31">
        <f>IF(O48=0,0,Q48/O48)</f>
        <v/>
      </c>
      <c r="S48">
        <f>XLOOKUP(F48,Lookups!$B$7:$B$11,Lookups!$C$7:$C$11,"Unknown")</f>
        <v/>
      </c>
      <c r="T48" s="31">
        <f>XLOOKUP(G48,Lookups!$E$7:$E$11,Lookups!$F$7:$F$11,0)</f>
        <v/>
      </c>
      <c r="U48" s="32">
        <f>R48-T48</f>
        <v/>
      </c>
      <c r="V48">
        <f>XLOOKUP(I48,Lookups!$H$7:$H$10,Lookups!$I$7:$I$10,"")</f>
        <v/>
      </c>
      <c r="W48">
        <f>IF(O48&gt;=50000,"HIGH VALUE","")</f>
        <v/>
      </c>
      <c r="X48">
        <f>IF(Q48&lt;0,"LOSS","")</f>
        <v/>
      </c>
      <c r="Y48">
        <f>IFS(M48&gt;=0.15,"Deep Discount",M48&gt;=0.1,"Moderate",TRUE,"Standard")</f>
        <v/>
      </c>
    </row>
    <row r="49">
      <c r="A49">
        <f>Raw_Data!A49</f>
        <v/>
      </c>
      <c r="B49" s="29">
        <f>Raw_Data!B49</f>
        <v/>
      </c>
      <c r="C49">
        <f>YEAR(B49)</f>
        <v/>
      </c>
      <c r="D49">
        <f>MONTH(B49)</f>
        <v/>
      </c>
      <c r="E49">
        <f>TEXT(B49,"MMM-YYYY")</f>
        <v/>
      </c>
      <c r="F49">
        <f>Raw_Data!C49</f>
        <v/>
      </c>
      <c r="G49">
        <f>Raw_Data!D49</f>
        <v/>
      </c>
      <c r="H49">
        <f>Raw_Data!E49</f>
        <v/>
      </c>
      <c r="I49">
        <f>Raw_Data!F49</f>
        <v/>
      </c>
      <c r="J49">
        <f>Raw_Data!G49</f>
        <v/>
      </c>
      <c r="K49">
        <f>Raw_Data!H49</f>
        <v/>
      </c>
      <c r="L49" s="30">
        <f>Raw_Data!I49</f>
        <v/>
      </c>
      <c r="M49" s="31">
        <f>Raw_Data!J49</f>
        <v/>
      </c>
      <c r="N49" s="17">
        <f>K49*L49</f>
        <v/>
      </c>
      <c r="O49" s="17">
        <f>N49*(1-M49)</f>
        <v/>
      </c>
      <c r="P49" s="17">
        <f>Raw_Data!L49</f>
        <v/>
      </c>
      <c r="Q49" s="17">
        <f>O49-P49</f>
        <v/>
      </c>
      <c r="R49" s="31">
        <f>IF(O49=0,0,Q49/O49)</f>
        <v/>
      </c>
      <c r="S49">
        <f>XLOOKUP(F49,Lookups!$B$7:$B$11,Lookups!$C$7:$C$11,"Unknown")</f>
        <v/>
      </c>
      <c r="T49" s="31">
        <f>XLOOKUP(G49,Lookups!$E$7:$E$11,Lookups!$F$7:$F$11,0)</f>
        <v/>
      </c>
      <c r="U49" s="32">
        <f>R49-T49</f>
        <v/>
      </c>
      <c r="V49">
        <f>XLOOKUP(I49,Lookups!$H$7:$H$10,Lookups!$I$7:$I$10,"")</f>
        <v/>
      </c>
      <c r="W49">
        <f>IF(O49&gt;=50000,"HIGH VALUE","")</f>
        <v/>
      </c>
      <c r="X49">
        <f>IF(Q49&lt;0,"LOSS","")</f>
        <v/>
      </c>
      <c r="Y49">
        <f>IFS(M49&gt;=0.15,"Deep Discount",M49&gt;=0.1,"Moderate",TRUE,"Standard")</f>
        <v/>
      </c>
    </row>
    <row r="50">
      <c r="A50">
        <f>Raw_Data!A50</f>
        <v/>
      </c>
      <c r="B50" s="29">
        <f>Raw_Data!B50</f>
        <v/>
      </c>
      <c r="C50">
        <f>YEAR(B50)</f>
        <v/>
      </c>
      <c r="D50">
        <f>MONTH(B50)</f>
        <v/>
      </c>
      <c r="E50">
        <f>TEXT(B50,"MMM-YYYY")</f>
        <v/>
      </c>
      <c r="F50">
        <f>Raw_Data!C50</f>
        <v/>
      </c>
      <c r="G50">
        <f>Raw_Data!D50</f>
        <v/>
      </c>
      <c r="H50">
        <f>Raw_Data!E50</f>
        <v/>
      </c>
      <c r="I50">
        <f>Raw_Data!F50</f>
        <v/>
      </c>
      <c r="J50">
        <f>Raw_Data!G50</f>
        <v/>
      </c>
      <c r="K50">
        <f>Raw_Data!H50</f>
        <v/>
      </c>
      <c r="L50" s="30">
        <f>Raw_Data!I50</f>
        <v/>
      </c>
      <c r="M50" s="31">
        <f>Raw_Data!J50</f>
        <v/>
      </c>
      <c r="N50" s="17">
        <f>K50*L50</f>
        <v/>
      </c>
      <c r="O50" s="17">
        <f>N50*(1-M50)</f>
        <v/>
      </c>
      <c r="P50" s="17">
        <f>Raw_Data!L50</f>
        <v/>
      </c>
      <c r="Q50" s="17">
        <f>O50-P50</f>
        <v/>
      </c>
      <c r="R50" s="31">
        <f>IF(O50=0,0,Q50/O50)</f>
        <v/>
      </c>
      <c r="S50">
        <f>XLOOKUP(F50,Lookups!$B$7:$B$11,Lookups!$C$7:$C$11,"Unknown")</f>
        <v/>
      </c>
      <c r="T50" s="31">
        <f>XLOOKUP(G50,Lookups!$E$7:$E$11,Lookups!$F$7:$F$11,0)</f>
        <v/>
      </c>
      <c r="U50" s="32">
        <f>R50-T50</f>
        <v/>
      </c>
      <c r="V50">
        <f>XLOOKUP(I50,Lookups!$H$7:$H$10,Lookups!$I$7:$I$10,"")</f>
        <v/>
      </c>
      <c r="W50">
        <f>IF(O50&gt;=50000,"HIGH VALUE","")</f>
        <v/>
      </c>
      <c r="X50">
        <f>IF(Q50&lt;0,"LOSS","")</f>
        <v/>
      </c>
      <c r="Y50">
        <f>IFS(M50&gt;=0.15,"Deep Discount",M50&gt;=0.1,"Moderate",TRUE,"Standard")</f>
        <v/>
      </c>
    </row>
    <row r="51">
      <c r="A51">
        <f>Raw_Data!A51</f>
        <v/>
      </c>
      <c r="B51" s="29">
        <f>Raw_Data!B51</f>
        <v/>
      </c>
      <c r="C51">
        <f>YEAR(B51)</f>
        <v/>
      </c>
      <c r="D51">
        <f>MONTH(B51)</f>
        <v/>
      </c>
      <c r="E51">
        <f>TEXT(B51,"MMM-YYYY")</f>
        <v/>
      </c>
      <c r="F51">
        <f>Raw_Data!C51</f>
        <v/>
      </c>
      <c r="G51">
        <f>Raw_Data!D51</f>
        <v/>
      </c>
      <c r="H51">
        <f>Raw_Data!E51</f>
        <v/>
      </c>
      <c r="I51">
        <f>Raw_Data!F51</f>
        <v/>
      </c>
      <c r="J51">
        <f>Raw_Data!G51</f>
        <v/>
      </c>
      <c r="K51">
        <f>Raw_Data!H51</f>
        <v/>
      </c>
      <c r="L51" s="30">
        <f>Raw_Data!I51</f>
        <v/>
      </c>
      <c r="M51" s="31">
        <f>Raw_Data!J51</f>
        <v/>
      </c>
      <c r="N51" s="17">
        <f>K51*L51</f>
        <v/>
      </c>
      <c r="O51" s="17">
        <f>N51*(1-M51)</f>
        <v/>
      </c>
      <c r="P51" s="17">
        <f>Raw_Data!L51</f>
        <v/>
      </c>
      <c r="Q51" s="17">
        <f>O51-P51</f>
        <v/>
      </c>
      <c r="R51" s="31">
        <f>IF(O51=0,0,Q51/O51)</f>
        <v/>
      </c>
      <c r="S51">
        <f>XLOOKUP(F51,Lookups!$B$7:$B$11,Lookups!$C$7:$C$11,"Unknown")</f>
        <v/>
      </c>
      <c r="T51" s="31">
        <f>XLOOKUP(G51,Lookups!$E$7:$E$11,Lookups!$F$7:$F$11,0)</f>
        <v/>
      </c>
      <c r="U51" s="32">
        <f>R51-T51</f>
        <v/>
      </c>
      <c r="V51">
        <f>XLOOKUP(I51,Lookups!$H$7:$H$10,Lookups!$I$7:$I$10,"")</f>
        <v/>
      </c>
      <c r="W51">
        <f>IF(O51&gt;=50000,"HIGH VALUE","")</f>
        <v/>
      </c>
      <c r="X51">
        <f>IF(Q51&lt;0,"LOSS","")</f>
        <v/>
      </c>
      <c r="Y51">
        <f>IFS(M51&gt;=0.15,"Deep Discount",M51&gt;=0.1,"Moderate",TRUE,"Standard")</f>
        <v/>
      </c>
    </row>
    <row r="52">
      <c r="A52">
        <f>Raw_Data!A52</f>
        <v/>
      </c>
      <c r="B52" s="29">
        <f>Raw_Data!B52</f>
        <v/>
      </c>
      <c r="C52">
        <f>YEAR(B52)</f>
        <v/>
      </c>
      <c r="D52">
        <f>MONTH(B52)</f>
        <v/>
      </c>
      <c r="E52">
        <f>TEXT(B52,"MMM-YYYY")</f>
        <v/>
      </c>
      <c r="F52">
        <f>Raw_Data!C52</f>
        <v/>
      </c>
      <c r="G52">
        <f>Raw_Data!D52</f>
        <v/>
      </c>
      <c r="H52">
        <f>Raw_Data!E52</f>
        <v/>
      </c>
      <c r="I52">
        <f>Raw_Data!F52</f>
        <v/>
      </c>
      <c r="J52">
        <f>Raw_Data!G52</f>
        <v/>
      </c>
      <c r="K52">
        <f>Raw_Data!H52</f>
        <v/>
      </c>
      <c r="L52" s="30">
        <f>Raw_Data!I52</f>
        <v/>
      </c>
      <c r="M52" s="31">
        <f>Raw_Data!J52</f>
        <v/>
      </c>
      <c r="N52" s="17">
        <f>K52*L52</f>
        <v/>
      </c>
      <c r="O52" s="17">
        <f>N52*(1-M52)</f>
        <v/>
      </c>
      <c r="P52" s="17">
        <f>Raw_Data!L52</f>
        <v/>
      </c>
      <c r="Q52" s="17">
        <f>O52-P52</f>
        <v/>
      </c>
      <c r="R52" s="31">
        <f>IF(O52=0,0,Q52/O52)</f>
        <v/>
      </c>
      <c r="S52">
        <f>XLOOKUP(F52,Lookups!$B$7:$B$11,Lookups!$C$7:$C$11,"Unknown")</f>
        <v/>
      </c>
      <c r="T52" s="31">
        <f>XLOOKUP(G52,Lookups!$E$7:$E$11,Lookups!$F$7:$F$11,0)</f>
        <v/>
      </c>
      <c r="U52" s="32">
        <f>R52-T52</f>
        <v/>
      </c>
      <c r="V52">
        <f>XLOOKUP(I52,Lookups!$H$7:$H$10,Lookups!$I$7:$I$10,"")</f>
        <v/>
      </c>
      <c r="W52">
        <f>IF(O52&gt;=50000,"HIGH VALUE","")</f>
        <v/>
      </c>
      <c r="X52">
        <f>IF(Q52&lt;0,"LOSS","")</f>
        <v/>
      </c>
      <c r="Y52">
        <f>IFS(M52&gt;=0.15,"Deep Discount",M52&gt;=0.1,"Moderate",TRUE,"Standard")</f>
        <v/>
      </c>
    </row>
    <row r="53">
      <c r="A53">
        <f>Raw_Data!A53</f>
        <v/>
      </c>
      <c r="B53" s="29">
        <f>Raw_Data!B53</f>
        <v/>
      </c>
      <c r="C53">
        <f>YEAR(B53)</f>
        <v/>
      </c>
      <c r="D53">
        <f>MONTH(B53)</f>
        <v/>
      </c>
      <c r="E53">
        <f>TEXT(B53,"MMM-YYYY")</f>
        <v/>
      </c>
      <c r="F53">
        <f>Raw_Data!C53</f>
        <v/>
      </c>
      <c r="G53">
        <f>Raw_Data!D53</f>
        <v/>
      </c>
      <c r="H53">
        <f>Raw_Data!E53</f>
        <v/>
      </c>
      <c r="I53">
        <f>Raw_Data!F53</f>
        <v/>
      </c>
      <c r="J53">
        <f>Raw_Data!G53</f>
        <v/>
      </c>
      <c r="K53">
        <f>Raw_Data!H53</f>
        <v/>
      </c>
      <c r="L53" s="30">
        <f>Raw_Data!I53</f>
        <v/>
      </c>
      <c r="M53" s="31">
        <f>Raw_Data!J53</f>
        <v/>
      </c>
      <c r="N53" s="17">
        <f>K53*L53</f>
        <v/>
      </c>
      <c r="O53" s="17">
        <f>N53*(1-M53)</f>
        <v/>
      </c>
      <c r="P53" s="17">
        <f>Raw_Data!L53</f>
        <v/>
      </c>
      <c r="Q53" s="17">
        <f>O53-P53</f>
        <v/>
      </c>
      <c r="R53" s="31">
        <f>IF(O53=0,0,Q53/O53)</f>
        <v/>
      </c>
      <c r="S53">
        <f>XLOOKUP(F53,Lookups!$B$7:$B$11,Lookups!$C$7:$C$11,"Unknown")</f>
        <v/>
      </c>
      <c r="T53" s="31">
        <f>XLOOKUP(G53,Lookups!$E$7:$E$11,Lookups!$F$7:$F$11,0)</f>
        <v/>
      </c>
      <c r="U53" s="32">
        <f>R53-T53</f>
        <v/>
      </c>
      <c r="V53">
        <f>XLOOKUP(I53,Lookups!$H$7:$H$10,Lookups!$I$7:$I$10,"")</f>
        <v/>
      </c>
      <c r="W53">
        <f>IF(O53&gt;=50000,"HIGH VALUE","")</f>
        <v/>
      </c>
      <c r="X53">
        <f>IF(Q53&lt;0,"LOSS","")</f>
        <v/>
      </c>
      <c r="Y53">
        <f>IFS(M53&gt;=0.15,"Deep Discount",M53&gt;=0.1,"Moderate",TRUE,"Standard")</f>
        <v/>
      </c>
    </row>
    <row r="54">
      <c r="A54">
        <f>Raw_Data!A54</f>
        <v/>
      </c>
      <c r="B54" s="29">
        <f>Raw_Data!B54</f>
        <v/>
      </c>
      <c r="C54">
        <f>YEAR(B54)</f>
        <v/>
      </c>
      <c r="D54">
        <f>MONTH(B54)</f>
        <v/>
      </c>
      <c r="E54">
        <f>TEXT(B54,"MMM-YYYY")</f>
        <v/>
      </c>
      <c r="F54">
        <f>Raw_Data!C54</f>
        <v/>
      </c>
      <c r="G54">
        <f>Raw_Data!D54</f>
        <v/>
      </c>
      <c r="H54">
        <f>Raw_Data!E54</f>
        <v/>
      </c>
      <c r="I54">
        <f>Raw_Data!F54</f>
        <v/>
      </c>
      <c r="J54">
        <f>Raw_Data!G54</f>
        <v/>
      </c>
      <c r="K54">
        <f>Raw_Data!H54</f>
        <v/>
      </c>
      <c r="L54" s="30">
        <f>Raw_Data!I54</f>
        <v/>
      </c>
      <c r="M54" s="31">
        <f>Raw_Data!J54</f>
        <v/>
      </c>
      <c r="N54" s="17">
        <f>K54*L54</f>
        <v/>
      </c>
      <c r="O54" s="17">
        <f>N54*(1-M54)</f>
        <v/>
      </c>
      <c r="P54" s="17">
        <f>Raw_Data!L54</f>
        <v/>
      </c>
      <c r="Q54" s="17">
        <f>O54-P54</f>
        <v/>
      </c>
      <c r="R54" s="31">
        <f>IF(O54=0,0,Q54/O54)</f>
        <v/>
      </c>
      <c r="S54">
        <f>XLOOKUP(F54,Lookups!$B$7:$B$11,Lookups!$C$7:$C$11,"Unknown")</f>
        <v/>
      </c>
      <c r="T54" s="31">
        <f>XLOOKUP(G54,Lookups!$E$7:$E$11,Lookups!$F$7:$F$11,0)</f>
        <v/>
      </c>
      <c r="U54" s="32">
        <f>R54-T54</f>
        <v/>
      </c>
      <c r="V54">
        <f>XLOOKUP(I54,Lookups!$H$7:$H$10,Lookups!$I$7:$I$10,"")</f>
        <v/>
      </c>
      <c r="W54">
        <f>IF(O54&gt;=50000,"HIGH VALUE","")</f>
        <v/>
      </c>
      <c r="X54">
        <f>IF(Q54&lt;0,"LOSS","")</f>
        <v/>
      </c>
      <c r="Y54">
        <f>IFS(M54&gt;=0.15,"Deep Discount",M54&gt;=0.1,"Moderate",TRUE,"Standard")</f>
        <v/>
      </c>
    </row>
    <row r="55">
      <c r="A55">
        <f>Raw_Data!A55</f>
        <v/>
      </c>
      <c r="B55" s="29">
        <f>Raw_Data!B55</f>
        <v/>
      </c>
      <c r="C55">
        <f>YEAR(B55)</f>
        <v/>
      </c>
      <c r="D55">
        <f>MONTH(B55)</f>
        <v/>
      </c>
      <c r="E55">
        <f>TEXT(B55,"MMM-YYYY")</f>
        <v/>
      </c>
      <c r="F55">
        <f>Raw_Data!C55</f>
        <v/>
      </c>
      <c r="G55">
        <f>Raw_Data!D55</f>
        <v/>
      </c>
      <c r="H55">
        <f>Raw_Data!E55</f>
        <v/>
      </c>
      <c r="I55">
        <f>Raw_Data!F55</f>
        <v/>
      </c>
      <c r="J55">
        <f>Raw_Data!G55</f>
        <v/>
      </c>
      <c r="K55">
        <f>Raw_Data!H55</f>
        <v/>
      </c>
      <c r="L55" s="30">
        <f>Raw_Data!I55</f>
        <v/>
      </c>
      <c r="M55" s="31">
        <f>Raw_Data!J55</f>
        <v/>
      </c>
      <c r="N55" s="17">
        <f>K55*L55</f>
        <v/>
      </c>
      <c r="O55" s="17">
        <f>N55*(1-M55)</f>
        <v/>
      </c>
      <c r="P55" s="17">
        <f>Raw_Data!L55</f>
        <v/>
      </c>
      <c r="Q55" s="17">
        <f>O55-P55</f>
        <v/>
      </c>
      <c r="R55" s="31">
        <f>IF(O55=0,0,Q55/O55)</f>
        <v/>
      </c>
      <c r="S55">
        <f>XLOOKUP(F55,Lookups!$B$7:$B$11,Lookups!$C$7:$C$11,"Unknown")</f>
        <v/>
      </c>
      <c r="T55" s="31">
        <f>XLOOKUP(G55,Lookups!$E$7:$E$11,Lookups!$F$7:$F$11,0)</f>
        <v/>
      </c>
      <c r="U55" s="32">
        <f>R55-T55</f>
        <v/>
      </c>
      <c r="V55">
        <f>XLOOKUP(I55,Lookups!$H$7:$H$10,Lookups!$I$7:$I$10,"")</f>
        <v/>
      </c>
      <c r="W55">
        <f>IF(O55&gt;=50000,"HIGH VALUE","")</f>
        <v/>
      </c>
      <c r="X55">
        <f>IF(Q55&lt;0,"LOSS","")</f>
        <v/>
      </c>
      <c r="Y55">
        <f>IFS(M55&gt;=0.15,"Deep Discount",M55&gt;=0.1,"Moderate",TRUE,"Standard")</f>
        <v/>
      </c>
    </row>
    <row r="56">
      <c r="A56">
        <f>Raw_Data!A56</f>
        <v/>
      </c>
      <c r="B56" s="29">
        <f>Raw_Data!B56</f>
        <v/>
      </c>
      <c r="C56">
        <f>YEAR(B56)</f>
        <v/>
      </c>
      <c r="D56">
        <f>MONTH(B56)</f>
        <v/>
      </c>
      <c r="E56">
        <f>TEXT(B56,"MMM-YYYY")</f>
        <v/>
      </c>
      <c r="F56">
        <f>Raw_Data!C56</f>
        <v/>
      </c>
      <c r="G56">
        <f>Raw_Data!D56</f>
        <v/>
      </c>
      <c r="H56">
        <f>Raw_Data!E56</f>
        <v/>
      </c>
      <c r="I56">
        <f>Raw_Data!F56</f>
        <v/>
      </c>
      <c r="J56">
        <f>Raw_Data!G56</f>
        <v/>
      </c>
      <c r="K56">
        <f>Raw_Data!H56</f>
        <v/>
      </c>
      <c r="L56" s="30">
        <f>Raw_Data!I56</f>
        <v/>
      </c>
      <c r="M56" s="31">
        <f>Raw_Data!J56</f>
        <v/>
      </c>
      <c r="N56" s="17">
        <f>K56*L56</f>
        <v/>
      </c>
      <c r="O56" s="17">
        <f>N56*(1-M56)</f>
        <v/>
      </c>
      <c r="P56" s="17">
        <f>Raw_Data!L56</f>
        <v/>
      </c>
      <c r="Q56" s="17">
        <f>O56-P56</f>
        <v/>
      </c>
      <c r="R56" s="31">
        <f>IF(O56=0,0,Q56/O56)</f>
        <v/>
      </c>
      <c r="S56">
        <f>XLOOKUP(F56,Lookups!$B$7:$B$11,Lookups!$C$7:$C$11,"Unknown")</f>
        <v/>
      </c>
      <c r="T56" s="31">
        <f>XLOOKUP(G56,Lookups!$E$7:$E$11,Lookups!$F$7:$F$11,0)</f>
        <v/>
      </c>
      <c r="U56" s="32">
        <f>R56-T56</f>
        <v/>
      </c>
      <c r="V56">
        <f>XLOOKUP(I56,Lookups!$H$7:$H$10,Lookups!$I$7:$I$10,"")</f>
        <v/>
      </c>
      <c r="W56">
        <f>IF(O56&gt;=50000,"HIGH VALUE","")</f>
        <v/>
      </c>
      <c r="X56">
        <f>IF(Q56&lt;0,"LOSS","")</f>
        <v/>
      </c>
      <c r="Y56">
        <f>IFS(M56&gt;=0.15,"Deep Discount",M56&gt;=0.1,"Moderate",TRUE,"Standard")</f>
        <v/>
      </c>
    </row>
    <row r="57">
      <c r="A57">
        <f>Raw_Data!A57</f>
        <v/>
      </c>
      <c r="B57" s="29">
        <f>Raw_Data!B57</f>
        <v/>
      </c>
      <c r="C57">
        <f>YEAR(B57)</f>
        <v/>
      </c>
      <c r="D57">
        <f>MONTH(B57)</f>
        <v/>
      </c>
      <c r="E57">
        <f>TEXT(B57,"MMM-YYYY")</f>
        <v/>
      </c>
      <c r="F57">
        <f>Raw_Data!C57</f>
        <v/>
      </c>
      <c r="G57">
        <f>Raw_Data!D57</f>
        <v/>
      </c>
      <c r="H57">
        <f>Raw_Data!E57</f>
        <v/>
      </c>
      <c r="I57">
        <f>Raw_Data!F57</f>
        <v/>
      </c>
      <c r="J57">
        <f>Raw_Data!G57</f>
        <v/>
      </c>
      <c r="K57">
        <f>Raw_Data!H57</f>
        <v/>
      </c>
      <c r="L57" s="30">
        <f>Raw_Data!I57</f>
        <v/>
      </c>
      <c r="M57" s="31">
        <f>Raw_Data!J57</f>
        <v/>
      </c>
      <c r="N57" s="17">
        <f>K57*L57</f>
        <v/>
      </c>
      <c r="O57" s="17">
        <f>N57*(1-M57)</f>
        <v/>
      </c>
      <c r="P57" s="17">
        <f>Raw_Data!L57</f>
        <v/>
      </c>
      <c r="Q57" s="17">
        <f>O57-P57</f>
        <v/>
      </c>
      <c r="R57" s="31">
        <f>IF(O57=0,0,Q57/O57)</f>
        <v/>
      </c>
      <c r="S57">
        <f>XLOOKUP(F57,Lookups!$B$7:$B$11,Lookups!$C$7:$C$11,"Unknown")</f>
        <v/>
      </c>
      <c r="T57" s="31">
        <f>XLOOKUP(G57,Lookups!$E$7:$E$11,Lookups!$F$7:$F$11,0)</f>
        <v/>
      </c>
      <c r="U57" s="32">
        <f>R57-T57</f>
        <v/>
      </c>
      <c r="V57">
        <f>XLOOKUP(I57,Lookups!$H$7:$H$10,Lookups!$I$7:$I$10,"")</f>
        <v/>
      </c>
      <c r="W57">
        <f>IF(O57&gt;=50000,"HIGH VALUE","")</f>
        <v/>
      </c>
      <c r="X57">
        <f>IF(Q57&lt;0,"LOSS","")</f>
        <v/>
      </c>
      <c r="Y57">
        <f>IFS(M57&gt;=0.15,"Deep Discount",M57&gt;=0.1,"Moderate",TRUE,"Standard")</f>
        <v/>
      </c>
    </row>
    <row r="58">
      <c r="A58">
        <f>Raw_Data!A58</f>
        <v/>
      </c>
      <c r="B58" s="29">
        <f>Raw_Data!B58</f>
        <v/>
      </c>
      <c r="C58">
        <f>YEAR(B58)</f>
        <v/>
      </c>
      <c r="D58">
        <f>MONTH(B58)</f>
        <v/>
      </c>
      <c r="E58">
        <f>TEXT(B58,"MMM-YYYY")</f>
        <v/>
      </c>
      <c r="F58">
        <f>Raw_Data!C58</f>
        <v/>
      </c>
      <c r="G58">
        <f>Raw_Data!D58</f>
        <v/>
      </c>
      <c r="H58">
        <f>Raw_Data!E58</f>
        <v/>
      </c>
      <c r="I58">
        <f>Raw_Data!F58</f>
        <v/>
      </c>
      <c r="J58">
        <f>Raw_Data!G58</f>
        <v/>
      </c>
      <c r="K58">
        <f>Raw_Data!H58</f>
        <v/>
      </c>
      <c r="L58" s="30">
        <f>Raw_Data!I58</f>
        <v/>
      </c>
      <c r="M58" s="31">
        <f>Raw_Data!J58</f>
        <v/>
      </c>
      <c r="N58" s="17">
        <f>K58*L58</f>
        <v/>
      </c>
      <c r="O58" s="17">
        <f>N58*(1-M58)</f>
        <v/>
      </c>
      <c r="P58" s="17">
        <f>Raw_Data!L58</f>
        <v/>
      </c>
      <c r="Q58" s="17">
        <f>O58-P58</f>
        <v/>
      </c>
      <c r="R58" s="31">
        <f>IF(O58=0,0,Q58/O58)</f>
        <v/>
      </c>
      <c r="S58">
        <f>XLOOKUP(F58,Lookups!$B$7:$B$11,Lookups!$C$7:$C$11,"Unknown")</f>
        <v/>
      </c>
      <c r="T58" s="31">
        <f>XLOOKUP(G58,Lookups!$E$7:$E$11,Lookups!$F$7:$F$11,0)</f>
        <v/>
      </c>
      <c r="U58" s="32">
        <f>R58-T58</f>
        <v/>
      </c>
      <c r="V58">
        <f>XLOOKUP(I58,Lookups!$H$7:$H$10,Lookups!$I$7:$I$10,"")</f>
        <v/>
      </c>
      <c r="W58">
        <f>IF(O58&gt;=50000,"HIGH VALUE","")</f>
        <v/>
      </c>
      <c r="X58">
        <f>IF(Q58&lt;0,"LOSS","")</f>
        <v/>
      </c>
      <c r="Y58">
        <f>IFS(M58&gt;=0.15,"Deep Discount",M58&gt;=0.1,"Moderate",TRUE,"Standard")</f>
        <v/>
      </c>
    </row>
    <row r="59">
      <c r="A59">
        <f>Raw_Data!A59</f>
        <v/>
      </c>
      <c r="B59" s="29">
        <f>Raw_Data!B59</f>
        <v/>
      </c>
      <c r="C59">
        <f>YEAR(B59)</f>
        <v/>
      </c>
      <c r="D59">
        <f>MONTH(B59)</f>
        <v/>
      </c>
      <c r="E59">
        <f>TEXT(B59,"MMM-YYYY")</f>
        <v/>
      </c>
      <c r="F59">
        <f>Raw_Data!C59</f>
        <v/>
      </c>
      <c r="G59">
        <f>Raw_Data!D59</f>
        <v/>
      </c>
      <c r="H59">
        <f>Raw_Data!E59</f>
        <v/>
      </c>
      <c r="I59">
        <f>Raw_Data!F59</f>
        <v/>
      </c>
      <c r="J59">
        <f>Raw_Data!G59</f>
        <v/>
      </c>
      <c r="K59">
        <f>Raw_Data!H59</f>
        <v/>
      </c>
      <c r="L59" s="30">
        <f>Raw_Data!I59</f>
        <v/>
      </c>
      <c r="M59" s="31">
        <f>Raw_Data!J59</f>
        <v/>
      </c>
      <c r="N59" s="17">
        <f>K59*L59</f>
        <v/>
      </c>
      <c r="O59" s="17">
        <f>N59*(1-M59)</f>
        <v/>
      </c>
      <c r="P59" s="17">
        <f>Raw_Data!L59</f>
        <v/>
      </c>
      <c r="Q59" s="17">
        <f>O59-P59</f>
        <v/>
      </c>
      <c r="R59" s="31">
        <f>IF(O59=0,0,Q59/O59)</f>
        <v/>
      </c>
      <c r="S59">
        <f>XLOOKUP(F59,Lookups!$B$7:$B$11,Lookups!$C$7:$C$11,"Unknown")</f>
        <v/>
      </c>
      <c r="T59" s="31">
        <f>XLOOKUP(G59,Lookups!$E$7:$E$11,Lookups!$F$7:$F$11,0)</f>
        <v/>
      </c>
      <c r="U59" s="32">
        <f>R59-T59</f>
        <v/>
      </c>
      <c r="V59">
        <f>XLOOKUP(I59,Lookups!$H$7:$H$10,Lookups!$I$7:$I$10,"")</f>
        <v/>
      </c>
      <c r="W59">
        <f>IF(O59&gt;=50000,"HIGH VALUE","")</f>
        <v/>
      </c>
      <c r="X59">
        <f>IF(Q59&lt;0,"LOSS","")</f>
        <v/>
      </c>
      <c r="Y59">
        <f>IFS(M59&gt;=0.15,"Deep Discount",M59&gt;=0.1,"Moderate",TRUE,"Standard")</f>
        <v/>
      </c>
    </row>
    <row r="60">
      <c r="A60">
        <f>Raw_Data!A60</f>
        <v/>
      </c>
      <c r="B60" s="29">
        <f>Raw_Data!B60</f>
        <v/>
      </c>
      <c r="C60">
        <f>YEAR(B60)</f>
        <v/>
      </c>
      <c r="D60">
        <f>MONTH(B60)</f>
        <v/>
      </c>
      <c r="E60">
        <f>TEXT(B60,"MMM-YYYY")</f>
        <v/>
      </c>
      <c r="F60">
        <f>Raw_Data!C60</f>
        <v/>
      </c>
      <c r="G60">
        <f>Raw_Data!D60</f>
        <v/>
      </c>
      <c r="H60">
        <f>Raw_Data!E60</f>
        <v/>
      </c>
      <c r="I60">
        <f>Raw_Data!F60</f>
        <v/>
      </c>
      <c r="J60">
        <f>Raw_Data!G60</f>
        <v/>
      </c>
      <c r="K60">
        <f>Raw_Data!H60</f>
        <v/>
      </c>
      <c r="L60" s="30">
        <f>Raw_Data!I60</f>
        <v/>
      </c>
      <c r="M60" s="31">
        <f>Raw_Data!J60</f>
        <v/>
      </c>
      <c r="N60" s="17">
        <f>K60*L60</f>
        <v/>
      </c>
      <c r="O60" s="17">
        <f>N60*(1-M60)</f>
        <v/>
      </c>
      <c r="P60" s="17">
        <f>Raw_Data!L60</f>
        <v/>
      </c>
      <c r="Q60" s="17">
        <f>O60-P60</f>
        <v/>
      </c>
      <c r="R60" s="31">
        <f>IF(O60=0,0,Q60/O60)</f>
        <v/>
      </c>
      <c r="S60">
        <f>XLOOKUP(F60,Lookups!$B$7:$B$11,Lookups!$C$7:$C$11,"Unknown")</f>
        <v/>
      </c>
      <c r="T60" s="31">
        <f>XLOOKUP(G60,Lookups!$E$7:$E$11,Lookups!$F$7:$F$11,0)</f>
        <v/>
      </c>
      <c r="U60" s="32">
        <f>R60-T60</f>
        <v/>
      </c>
      <c r="V60">
        <f>XLOOKUP(I60,Lookups!$H$7:$H$10,Lookups!$I$7:$I$10,"")</f>
        <v/>
      </c>
      <c r="W60">
        <f>IF(O60&gt;=50000,"HIGH VALUE","")</f>
        <v/>
      </c>
      <c r="X60">
        <f>IF(Q60&lt;0,"LOSS","")</f>
        <v/>
      </c>
      <c r="Y60">
        <f>IFS(M60&gt;=0.15,"Deep Discount",M60&gt;=0.1,"Moderate",TRUE,"Standard")</f>
        <v/>
      </c>
    </row>
    <row r="61">
      <c r="A61">
        <f>Raw_Data!A61</f>
        <v/>
      </c>
      <c r="B61" s="29">
        <f>Raw_Data!B61</f>
        <v/>
      </c>
      <c r="C61">
        <f>YEAR(B61)</f>
        <v/>
      </c>
      <c r="D61">
        <f>MONTH(B61)</f>
        <v/>
      </c>
      <c r="E61">
        <f>TEXT(B61,"MMM-YYYY")</f>
        <v/>
      </c>
      <c r="F61">
        <f>Raw_Data!C61</f>
        <v/>
      </c>
      <c r="G61">
        <f>Raw_Data!D61</f>
        <v/>
      </c>
      <c r="H61">
        <f>Raw_Data!E61</f>
        <v/>
      </c>
      <c r="I61">
        <f>Raw_Data!F61</f>
        <v/>
      </c>
      <c r="J61">
        <f>Raw_Data!G61</f>
        <v/>
      </c>
      <c r="K61">
        <f>Raw_Data!H61</f>
        <v/>
      </c>
      <c r="L61" s="30">
        <f>Raw_Data!I61</f>
        <v/>
      </c>
      <c r="M61" s="31">
        <f>Raw_Data!J61</f>
        <v/>
      </c>
      <c r="N61" s="17">
        <f>K61*L61</f>
        <v/>
      </c>
      <c r="O61" s="17">
        <f>N61*(1-M61)</f>
        <v/>
      </c>
      <c r="P61" s="17">
        <f>Raw_Data!L61</f>
        <v/>
      </c>
      <c r="Q61" s="17">
        <f>O61-P61</f>
        <v/>
      </c>
      <c r="R61" s="31">
        <f>IF(O61=0,0,Q61/O61)</f>
        <v/>
      </c>
      <c r="S61">
        <f>XLOOKUP(F61,Lookups!$B$7:$B$11,Lookups!$C$7:$C$11,"Unknown")</f>
        <v/>
      </c>
      <c r="T61" s="31">
        <f>XLOOKUP(G61,Lookups!$E$7:$E$11,Lookups!$F$7:$F$11,0)</f>
        <v/>
      </c>
      <c r="U61" s="32">
        <f>R61-T61</f>
        <v/>
      </c>
      <c r="V61">
        <f>XLOOKUP(I61,Lookups!$H$7:$H$10,Lookups!$I$7:$I$10,"")</f>
        <v/>
      </c>
      <c r="W61">
        <f>IF(O61&gt;=50000,"HIGH VALUE","")</f>
        <v/>
      </c>
      <c r="X61">
        <f>IF(Q61&lt;0,"LOSS","")</f>
        <v/>
      </c>
      <c r="Y61">
        <f>IFS(M61&gt;=0.15,"Deep Discount",M61&gt;=0.1,"Moderate",TRUE,"Standard")</f>
        <v/>
      </c>
    </row>
    <row r="62">
      <c r="A62">
        <f>Raw_Data!A62</f>
        <v/>
      </c>
      <c r="B62" s="29">
        <f>Raw_Data!B62</f>
        <v/>
      </c>
      <c r="C62">
        <f>YEAR(B62)</f>
        <v/>
      </c>
      <c r="D62">
        <f>MONTH(B62)</f>
        <v/>
      </c>
      <c r="E62">
        <f>TEXT(B62,"MMM-YYYY")</f>
        <v/>
      </c>
      <c r="F62">
        <f>Raw_Data!C62</f>
        <v/>
      </c>
      <c r="G62">
        <f>Raw_Data!D62</f>
        <v/>
      </c>
      <c r="H62">
        <f>Raw_Data!E62</f>
        <v/>
      </c>
      <c r="I62">
        <f>Raw_Data!F62</f>
        <v/>
      </c>
      <c r="J62">
        <f>Raw_Data!G62</f>
        <v/>
      </c>
      <c r="K62">
        <f>Raw_Data!H62</f>
        <v/>
      </c>
      <c r="L62" s="30">
        <f>Raw_Data!I62</f>
        <v/>
      </c>
      <c r="M62" s="31">
        <f>Raw_Data!J62</f>
        <v/>
      </c>
      <c r="N62" s="17">
        <f>K62*L62</f>
        <v/>
      </c>
      <c r="O62" s="17">
        <f>N62*(1-M62)</f>
        <v/>
      </c>
      <c r="P62" s="17">
        <f>Raw_Data!L62</f>
        <v/>
      </c>
      <c r="Q62" s="17">
        <f>O62-P62</f>
        <v/>
      </c>
      <c r="R62" s="31">
        <f>IF(O62=0,0,Q62/O62)</f>
        <v/>
      </c>
      <c r="S62">
        <f>XLOOKUP(F62,Lookups!$B$7:$B$11,Lookups!$C$7:$C$11,"Unknown")</f>
        <v/>
      </c>
      <c r="T62" s="31">
        <f>XLOOKUP(G62,Lookups!$E$7:$E$11,Lookups!$F$7:$F$11,0)</f>
        <v/>
      </c>
      <c r="U62" s="32">
        <f>R62-T62</f>
        <v/>
      </c>
      <c r="V62">
        <f>XLOOKUP(I62,Lookups!$H$7:$H$10,Lookups!$I$7:$I$10,"")</f>
        <v/>
      </c>
      <c r="W62">
        <f>IF(O62&gt;=50000,"HIGH VALUE","")</f>
        <v/>
      </c>
      <c r="X62">
        <f>IF(Q62&lt;0,"LOSS","")</f>
        <v/>
      </c>
      <c r="Y62">
        <f>IFS(M62&gt;=0.15,"Deep Discount",M62&gt;=0.1,"Moderate",TRUE,"Standard")</f>
        <v/>
      </c>
    </row>
    <row r="63">
      <c r="A63">
        <f>Raw_Data!A63</f>
        <v/>
      </c>
      <c r="B63" s="29">
        <f>Raw_Data!B63</f>
        <v/>
      </c>
      <c r="C63">
        <f>YEAR(B63)</f>
        <v/>
      </c>
      <c r="D63">
        <f>MONTH(B63)</f>
        <v/>
      </c>
      <c r="E63">
        <f>TEXT(B63,"MMM-YYYY")</f>
        <v/>
      </c>
      <c r="F63">
        <f>Raw_Data!C63</f>
        <v/>
      </c>
      <c r="G63">
        <f>Raw_Data!D63</f>
        <v/>
      </c>
      <c r="H63">
        <f>Raw_Data!E63</f>
        <v/>
      </c>
      <c r="I63">
        <f>Raw_Data!F63</f>
        <v/>
      </c>
      <c r="J63">
        <f>Raw_Data!G63</f>
        <v/>
      </c>
      <c r="K63">
        <f>Raw_Data!H63</f>
        <v/>
      </c>
      <c r="L63" s="30">
        <f>Raw_Data!I63</f>
        <v/>
      </c>
      <c r="M63" s="31">
        <f>Raw_Data!J63</f>
        <v/>
      </c>
      <c r="N63" s="17">
        <f>K63*L63</f>
        <v/>
      </c>
      <c r="O63" s="17">
        <f>N63*(1-M63)</f>
        <v/>
      </c>
      <c r="P63" s="17">
        <f>Raw_Data!L63</f>
        <v/>
      </c>
      <c r="Q63" s="17">
        <f>O63-P63</f>
        <v/>
      </c>
      <c r="R63" s="31">
        <f>IF(O63=0,0,Q63/O63)</f>
        <v/>
      </c>
      <c r="S63">
        <f>XLOOKUP(F63,Lookups!$B$7:$B$11,Lookups!$C$7:$C$11,"Unknown")</f>
        <v/>
      </c>
      <c r="T63" s="31">
        <f>XLOOKUP(G63,Lookups!$E$7:$E$11,Lookups!$F$7:$F$11,0)</f>
        <v/>
      </c>
      <c r="U63" s="32">
        <f>R63-T63</f>
        <v/>
      </c>
      <c r="V63">
        <f>XLOOKUP(I63,Lookups!$H$7:$H$10,Lookups!$I$7:$I$10,"")</f>
        <v/>
      </c>
      <c r="W63">
        <f>IF(O63&gt;=50000,"HIGH VALUE","")</f>
        <v/>
      </c>
      <c r="X63">
        <f>IF(Q63&lt;0,"LOSS","")</f>
        <v/>
      </c>
      <c r="Y63">
        <f>IFS(M63&gt;=0.15,"Deep Discount",M63&gt;=0.1,"Moderate",TRUE,"Standard")</f>
        <v/>
      </c>
    </row>
    <row r="64">
      <c r="A64">
        <f>Raw_Data!A64</f>
        <v/>
      </c>
      <c r="B64" s="29">
        <f>Raw_Data!B64</f>
        <v/>
      </c>
      <c r="C64">
        <f>YEAR(B64)</f>
        <v/>
      </c>
      <c r="D64">
        <f>MONTH(B64)</f>
        <v/>
      </c>
      <c r="E64">
        <f>TEXT(B64,"MMM-YYYY")</f>
        <v/>
      </c>
      <c r="F64">
        <f>Raw_Data!C64</f>
        <v/>
      </c>
      <c r="G64">
        <f>Raw_Data!D64</f>
        <v/>
      </c>
      <c r="H64">
        <f>Raw_Data!E64</f>
        <v/>
      </c>
      <c r="I64">
        <f>Raw_Data!F64</f>
        <v/>
      </c>
      <c r="J64">
        <f>Raw_Data!G64</f>
        <v/>
      </c>
      <c r="K64">
        <f>Raw_Data!H64</f>
        <v/>
      </c>
      <c r="L64" s="30">
        <f>Raw_Data!I64</f>
        <v/>
      </c>
      <c r="M64" s="31">
        <f>Raw_Data!J64</f>
        <v/>
      </c>
      <c r="N64" s="17">
        <f>K64*L64</f>
        <v/>
      </c>
      <c r="O64" s="17">
        <f>N64*(1-M64)</f>
        <v/>
      </c>
      <c r="P64" s="17">
        <f>Raw_Data!L64</f>
        <v/>
      </c>
      <c r="Q64" s="17">
        <f>O64-P64</f>
        <v/>
      </c>
      <c r="R64" s="31">
        <f>IF(O64=0,0,Q64/O64)</f>
        <v/>
      </c>
      <c r="S64">
        <f>XLOOKUP(F64,Lookups!$B$7:$B$11,Lookups!$C$7:$C$11,"Unknown")</f>
        <v/>
      </c>
      <c r="T64" s="31">
        <f>XLOOKUP(G64,Lookups!$E$7:$E$11,Lookups!$F$7:$F$11,0)</f>
        <v/>
      </c>
      <c r="U64" s="32">
        <f>R64-T64</f>
        <v/>
      </c>
      <c r="V64">
        <f>XLOOKUP(I64,Lookups!$H$7:$H$10,Lookups!$I$7:$I$10,"")</f>
        <v/>
      </c>
      <c r="W64">
        <f>IF(O64&gt;=50000,"HIGH VALUE","")</f>
        <v/>
      </c>
      <c r="X64">
        <f>IF(Q64&lt;0,"LOSS","")</f>
        <v/>
      </c>
      <c r="Y64">
        <f>IFS(M64&gt;=0.15,"Deep Discount",M64&gt;=0.1,"Moderate",TRUE,"Standard")</f>
        <v/>
      </c>
    </row>
    <row r="65">
      <c r="A65">
        <f>Raw_Data!A65</f>
        <v/>
      </c>
      <c r="B65" s="29">
        <f>Raw_Data!B65</f>
        <v/>
      </c>
      <c r="C65">
        <f>YEAR(B65)</f>
        <v/>
      </c>
      <c r="D65">
        <f>MONTH(B65)</f>
        <v/>
      </c>
      <c r="E65">
        <f>TEXT(B65,"MMM-YYYY")</f>
        <v/>
      </c>
      <c r="F65">
        <f>Raw_Data!C65</f>
        <v/>
      </c>
      <c r="G65">
        <f>Raw_Data!D65</f>
        <v/>
      </c>
      <c r="H65">
        <f>Raw_Data!E65</f>
        <v/>
      </c>
      <c r="I65">
        <f>Raw_Data!F65</f>
        <v/>
      </c>
      <c r="J65">
        <f>Raw_Data!G65</f>
        <v/>
      </c>
      <c r="K65">
        <f>Raw_Data!H65</f>
        <v/>
      </c>
      <c r="L65" s="30">
        <f>Raw_Data!I65</f>
        <v/>
      </c>
      <c r="M65" s="31">
        <f>Raw_Data!J65</f>
        <v/>
      </c>
      <c r="N65" s="17">
        <f>K65*L65</f>
        <v/>
      </c>
      <c r="O65" s="17">
        <f>N65*(1-M65)</f>
        <v/>
      </c>
      <c r="P65" s="17">
        <f>Raw_Data!L65</f>
        <v/>
      </c>
      <c r="Q65" s="17">
        <f>O65-P65</f>
        <v/>
      </c>
      <c r="R65" s="31">
        <f>IF(O65=0,0,Q65/O65)</f>
        <v/>
      </c>
      <c r="S65">
        <f>XLOOKUP(F65,Lookups!$B$7:$B$11,Lookups!$C$7:$C$11,"Unknown")</f>
        <v/>
      </c>
      <c r="T65" s="31">
        <f>XLOOKUP(G65,Lookups!$E$7:$E$11,Lookups!$F$7:$F$11,0)</f>
        <v/>
      </c>
      <c r="U65" s="32">
        <f>R65-T65</f>
        <v/>
      </c>
      <c r="V65">
        <f>XLOOKUP(I65,Lookups!$H$7:$H$10,Lookups!$I$7:$I$10,"")</f>
        <v/>
      </c>
      <c r="W65">
        <f>IF(O65&gt;=50000,"HIGH VALUE","")</f>
        <v/>
      </c>
      <c r="X65">
        <f>IF(Q65&lt;0,"LOSS","")</f>
        <v/>
      </c>
      <c r="Y65">
        <f>IFS(M65&gt;=0.15,"Deep Discount",M65&gt;=0.1,"Moderate",TRUE,"Standard")</f>
        <v/>
      </c>
    </row>
    <row r="66">
      <c r="A66">
        <f>Raw_Data!A66</f>
        <v/>
      </c>
      <c r="B66" s="29">
        <f>Raw_Data!B66</f>
        <v/>
      </c>
      <c r="C66">
        <f>YEAR(B66)</f>
        <v/>
      </c>
      <c r="D66">
        <f>MONTH(B66)</f>
        <v/>
      </c>
      <c r="E66">
        <f>TEXT(B66,"MMM-YYYY")</f>
        <v/>
      </c>
      <c r="F66">
        <f>Raw_Data!C66</f>
        <v/>
      </c>
      <c r="G66">
        <f>Raw_Data!D66</f>
        <v/>
      </c>
      <c r="H66">
        <f>Raw_Data!E66</f>
        <v/>
      </c>
      <c r="I66">
        <f>Raw_Data!F66</f>
        <v/>
      </c>
      <c r="J66">
        <f>Raw_Data!G66</f>
        <v/>
      </c>
      <c r="K66">
        <f>Raw_Data!H66</f>
        <v/>
      </c>
      <c r="L66" s="30">
        <f>Raw_Data!I66</f>
        <v/>
      </c>
      <c r="M66" s="31">
        <f>Raw_Data!J66</f>
        <v/>
      </c>
      <c r="N66" s="17">
        <f>K66*L66</f>
        <v/>
      </c>
      <c r="O66" s="17">
        <f>N66*(1-M66)</f>
        <v/>
      </c>
      <c r="P66" s="17">
        <f>Raw_Data!L66</f>
        <v/>
      </c>
      <c r="Q66" s="17">
        <f>O66-P66</f>
        <v/>
      </c>
      <c r="R66" s="31">
        <f>IF(O66=0,0,Q66/O66)</f>
        <v/>
      </c>
      <c r="S66">
        <f>XLOOKUP(F66,Lookups!$B$7:$B$11,Lookups!$C$7:$C$11,"Unknown")</f>
        <v/>
      </c>
      <c r="T66" s="31">
        <f>XLOOKUP(G66,Lookups!$E$7:$E$11,Lookups!$F$7:$F$11,0)</f>
        <v/>
      </c>
      <c r="U66" s="32">
        <f>R66-T66</f>
        <v/>
      </c>
      <c r="V66">
        <f>XLOOKUP(I66,Lookups!$H$7:$H$10,Lookups!$I$7:$I$10,"")</f>
        <v/>
      </c>
      <c r="W66">
        <f>IF(O66&gt;=50000,"HIGH VALUE","")</f>
        <v/>
      </c>
      <c r="X66">
        <f>IF(Q66&lt;0,"LOSS","")</f>
        <v/>
      </c>
      <c r="Y66">
        <f>IFS(M66&gt;=0.15,"Deep Discount",M66&gt;=0.1,"Moderate",TRUE,"Standard")</f>
        <v/>
      </c>
    </row>
    <row r="67">
      <c r="A67">
        <f>Raw_Data!A67</f>
        <v/>
      </c>
      <c r="B67" s="29">
        <f>Raw_Data!B67</f>
        <v/>
      </c>
      <c r="C67">
        <f>YEAR(B67)</f>
        <v/>
      </c>
      <c r="D67">
        <f>MONTH(B67)</f>
        <v/>
      </c>
      <c r="E67">
        <f>TEXT(B67,"MMM-YYYY")</f>
        <v/>
      </c>
      <c r="F67">
        <f>Raw_Data!C67</f>
        <v/>
      </c>
      <c r="G67">
        <f>Raw_Data!D67</f>
        <v/>
      </c>
      <c r="H67">
        <f>Raw_Data!E67</f>
        <v/>
      </c>
      <c r="I67">
        <f>Raw_Data!F67</f>
        <v/>
      </c>
      <c r="J67">
        <f>Raw_Data!G67</f>
        <v/>
      </c>
      <c r="K67">
        <f>Raw_Data!H67</f>
        <v/>
      </c>
      <c r="L67" s="30">
        <f>Raw_Data!I67</f>
        <v/>
      </c>
      <c r="M67" s="31">
        <f>Raw_Data!J67</f>
        <v/>
      </c>
      <c r="N67" s="17">
        <f>K67*L67</f>
        <v/>
      </c>
      <c r="O67" s="17">
        <f>N67*(1-M67)</f>
        <v/>
      </c>
      <c r="P67" s="17">
        <f>Raw_Data!L67</f>
        <v/>
      </c>
      <c r="Q67" s="17">
        <f>O67-P67</f>
        <v/>
      </c>
      <c r="R67" s="31">
        <f>IF(O67=0,0,Q67/O67)</f>
        <v/>
      </c>
      <c r="S67">
        <f>XLOOKUP(F67,Lookups!$B$7:$B$11,Lookups!$C$7:$C$11,"Unknown")</f>
        <v/>
      </c>
      <c r="T67" s="31">
        <f>XLOOKUP(G67,Lookups!$E$7:$E$11,Lookups!$F$7:$F$11,0)</f>
        <v/>
      </c>
      <c r="U67" s="32">
        <f>R67-T67</f>
        <v/>
      </c>
      <c r="V67">
        <f>XLOOKUP(I67,Lookups!$H$7:$H$10,Lookups!$I$7:$I$10,"")</f>
        <v/>
      </c>
      <c r="W67">
        <f>IF(O67&gt;=50000,"HIGH VALUE","")</f>
        <v/>
      </c>
      <c r="X67">
        <f>IF(Q67&lt;0,"LOSS","")</f>
        <v/>
      </c>
      <c r="Y67">
        <f>IFS(M67&gt;=0.15,"Deep Discount",M67&gt;=0.1,"Moderate",TRUE,"Standard")</f>
        <v/>
      </c>
    </row>
    <row r="68">
      <c r="A68">
        <f>Raw_Data!A68</f>
        <v/>
      </c>
      <c r="B68" s="29">
        <f>Raw_Data!B68</f>
        <v/>
      </c>
      <c r="C68">
        <f>YEAR(B68)</f>
        <v/>
      </c>
      <c r="D68">
        <f>MONTH(B68)</f>
        <v/>
      </c>
      <c r="E68">
        <f>TEXT(B68,"MMM-YYYY")</f>
        <v/>
      </c>
      <c r="F68">
        <f>Raw_Data!C68</f>
        <v/>
      </c>
      <c r="G68">
        <f>Raw_Data!D68</f>
        <v/>
      </c>
      <c r="H68">
        <f>Raw_Data!E68</f>
        <v/>
      </c>
      <c r="I68">
        <f>Raw_Data!F68</f>
        <v/>
      </c>
      <c r="J68">
        <f>Raw_Data!G68</f>
        <v/>
      </c>
      <c r="K68">
        <f>Raw_Data!H68</f>
        <v/>
      </c>
      <c r="L68" s="30">
        <f>Raw_Data!I68</f>
        <v/>
      </c>
      <c r="M68" s="31">
        <f>Raw_Data!J68</f>
        <v/>
      </c>
      <c r="N68" s="17">
        <f>K68*L68</f>
        <v/>
      </c>
      <c r="O68" s="17">
        <f>N68*(1-M68)</f>
        <v/>
      </c>
      <c r="P68" s="17">
        <f>Raw_Data!L68</f>
        <v/>
      </c>
      <c r="Q68" s="17">
        <f>O68-P68</f>
        <v/>
      </c>
      <c r="R68" s="31">
        <f>IF(O68=0,0,Q68/O68)</f>
        <v/>
      </c>
      <c r="S68">
        <f>XLOOKUP(F68,Lookups!$B$7:$B$11,Lookups!$C$7:$C$11,"Unknown")</f>
        <v/>
      </c>
      <c r="T68" s="31">
        <f>XLOOKUP(G68,Lookups!$E$7:$E$11,Lookups!$F$7:$F$11,0)</f>
        <v/>
      </c>
      <c r="U68" s="32">
        <f>R68-T68</f>
        <v/>
      </c>
      <c r="V68">
        <f>XLOOKUP(I68,Lookups!$H$7:$H$10,Lookups!$I$7:$I$10,"")</f>
        <v/>
      </c>
      <c r="W68">
        <f>IF(O68&gt;=50000,"HIGH VALUE","")</f>
        <v/>
      </c>
      <c r="X68">
        <f>IF(Q68&lt;0,"LOSS","")</f>
        <v/>
      </c>
      <c r="Y68">
        <f>IFS(M68&gt;=0.15,"Deep Discount",M68&gt;=0.1,"Moderate",TRUE,"Standard")</f>
        <v/>
      </c>
    </row>
    <row r="69">
      <c r="A69">
        <f>Raw_Data!A69</f>
        <v/>
      </c>
      <c r="B69" s="29">
        <f>Raw_Data!B69</f>
        <v/>
      </c>
      <c r="C69">
        <f>YEAR(B69)</f>
        <v/>
      </c>
      <c r="D69">
        <f>MONTH(B69)</f>
        <v/>
      </c>
      <c r="E69">
        <f>TEXT(B69,"MMM-YYYY")</f>
        <v/>
      </c>
      <c r="F69">
        <f>Raw_Data!C69</f>
        <v/>
      </c>
      <c r="G69">
        <f>Raw_Data!D69</f>
        <v/>
      </c>
      <c r="H69">
        <f>Raw_Data!E69</f>
        <v/>
      </c>
      <c r="I69">
        <f>Raw_Data!F69</f>
        <v/>
      </c>
      <c r="J69">
        <f>Raw_Data!G69</f>
        <v/>
      </c>
      <c r="K69">
        <f>Raw_Data!H69</f>
        <v/>
      </c>
      <c r="L69" s="30">
        <f>Raw_Data!I69</f>
        <v/>
      </c>
      <c r="M69" s="31">
        <f>Raw_Data!J69</f>
        <v/>
      </c>
      <c r="N69" s="17">
        <f>K69*L69</f>
        <v/>
      </c>
      <c r="O69" s="17">
        <f>N69*(1-M69)</f>
        <v/>
      </c>
      <c r="P69" s="17">
        <f>Raw_Data!L69</f>
        <v/>
      </c>
      <c r="Q69" s="17">
        <f>O69-P69</f>
        <v/>
      </c>
      <c r="R69" s="31">
        <f>IF(O69=0,0,Q69/O69)</f>
        <v/>
      </c>
      <c r="S69">
        <f>XLOOKUP(F69,Lookups!$B$7:$B$11,Lookups!$C$7:$C$11,"Unknown")</f>
        <v/>
      </c>
      <c r="T69" s="31">
        <f>XLOOKUP(G69,Lookups!$E$7:$E$11,Lookups!$F$7:$F$11,0)</f>
        <v/>
      </c>
      <c r="U69" s="32">
        <f>R69-T69</f>
        <v/>
      </c>
      <c r="V69">
        <f>XLOOKUP(I69,Lookups!$H$7:$H$10,Lookups!$I$7:$I$10,"")</f>
        <v/>
      </c>
      <c r="W69">
        <f>IF(O69&gt;=50000,"HIGH VALUE","")</f>
        <v/>
      </c>
      <c r="X69">
        <f>IF(Q69&lt;0,"LOSS","")</f>
        <v/>
      </c>
      <c r="Y69">
        <f>IFS(M69&gt;=0.15,"Deep Discount",M69&gt;=0.1,"Moderate",TRUE,"Standard")</f>
        <v/>
      </c>
    </row>
    <row r="70">
      <c r="A70">
        <f>Raw_Data!A70</f>
        <v/>
      </c>
      <c r="B70" s="29">
        <f>Raw_Data!B70</f>
        <v/>
      </c>
      <c r="C70">
        <f>YEAR(B70)</f>
        <v/>
      </c>
      <c r="D70">
        <f>MONTH(B70)</f>
        <v/>
      </c>
      <c r="E70">
        <f>TEXT(B70,"MMM-YYYY")</f>
        <v/>
      </c>
      <c r="F70">
        <f>Raw_Data!C70</f>
        <v/>
      </c>
      <c r="G70">
        <f>Raw_Data!D70</f>
        <v/>
      </c>
      <c r="H70">
        <f>Raw_Data!E70</f>
        <v/>
      </c>
      <c r="I70">
        <f>Raw_Data!F70</f>
        <v/>
      </c>
      <c r="J70">
        <f>Raw_Data!G70</f>
        <v/>
      </c>
      <c r="K70">
        <f>Raw_Data!H70</f>
        <v/>
      </c>
      <c r="L70" s="30">
        <f>Raw_Data!I70</f>
        <v/>
      </c>
      <c r="M70" s="31">
        <f>Raw_Data!J70</f>
        <v/>
      </c>
      <c r="N70" s="17">
        <f>K70*L70</f>
        <v/>
      </c>
      <c r="O70" s="17">
        <f>N70*(1-M70)</f>
        <v/>
      </c>
      <c r="P70" s="17">
        <f>Raw_Data!L70</f>
        <v/>
      </c>
      <c r="Q70" s="17">
        <f>O70-P70</f>
        <v/>
      </c>
      <c r="R70" s="31">
        <f>IF(O70=0,0,Q70/O70)</f>
        <v/>
      </c>
      <c r="S70">
        <f>XLOOKUP(F70,Lookups!$B$7:$B$11,Lookups!$C$7:$C$11,"Unknown")</f>
        <v/>
      </c>
      <c r="T70" s="31">
        <f>XLOOKUP(G70,Lookups!$E$7:$E$11,Lookups!$F$7:$F$11,0)</f>
        <v/>
      </c>
      <c r="U70" s="32">
        <f>R70-T70</f>
        <v/>
      </c>
      <c r="V70">
        <f>XLOOKUP(I70,Lookups!$H$7:$H$10,Lookups!$I$7:$I$10,"")</f>
        <v/>
      </c>
      <c r="W70">
        <f>IF(O70&gt;=50000,"HIGH VALUE","")</f>
        <v/>
      </c>
      <c r="X70">
        <f>IF(Q70&lt;0,"LOSS","")</f>
        <v/>
      </c>
      <c r="Y70">
        <f>IFS(M70&gt;=0.15,"Deep Discount",M70&gt;=0.1,"Moderate",TRUE,"Standard")</f>
        <v/>
      </c>
    </row>
    <row r="71">
      <c r="A71">
        <f>Raw_Data!A71</f>
        <v/>
      </c>
      <c r="B71" s="29">
        <f>Raw_Data!B71</f>
        <v/>
      </c>
      <c r="C71">
        <f>YEAR(B71)</f>
        <v/>
      </c>
      <c r="D71">
        <f>MONTH(B71)</f>
        <v/>
      </c>
      <c r="E71">
        <f>TEXT(B71,"MMM-YYYY")</f>
        <v/>
      </c>
      <c r="F71">
        <f>Raw_Data!C71</f>
        <v/>
      </c>
      <c r="G71">
        <f>Raw_Data!D71</f>
        <v/>
      </c>
      <c r="H71">
        <f>Raw_Data!E71</f>
        <v/>
      </c>
      <c r="I71">
        <f>Raw_Data!F71</f>
        <v/>
      </c>
      <c r="J71">
        <f>Raw_Data!G71</f>
        <v/>
      </c>
      <c r="K71">
        <f>Raw_Data!H71</f>
        <v/>
      </c>
      <c r="L71" s="30">
        <f>Raw_Data!I71</f>
        <v/>
      </c>
      <c r="M71" s="31">
        <f>Raw_Data!J71</f>
        <v/>
      </c>
      <c r="N71" s="17">
        <f>K71*L71</f>
        <v/>
      </c>
      <c r="O71" s="17">
        <f>N71*(1-M71)</f>
        <v/>
      </c>
      <c r="P71" s="17">
        <f>Raw_Data!L71</f>
        <v/>
      </c>
      <c r="Q71" s="17">
        <f>O71-P71</f>
        <v/>
      </c>
      <c r="R71" s="31">
        <f>IF(O71=0,0,Q71/O71)</f>
        <v/>
      </c>
      <c r="S71">
        <f>XLOOKUP(F71,Lookups!$B$7:$B$11,Lookups!$C$7:$C$11,"Unknown")</f>
        <v/>
      </c>
      <c r="T71" s="31">
        <f>XLOOKUP(G71,Lookups!$E$7:$E$11,Lookups!$F$7:$F$11,0)</f>
        <v/>
      </c>
      <c r="U71" s="32">
        <f>R71-T71</f>
        <v/>
      </c>
      <c r="V71">
        <f>XLOOKUP(I71,Lookups!$H$7:$H$10,Lookups!$I$7:$I$10,"")</f>
        <v/>
      </c>
      <c r="W71">
        <f>IF(O71&gt;=50000,"HIGH VALUE","")</f>
        <v/>
      </c>
      <c r="X71">
        <f>IF(Q71&lt;0,"LOSS","")</f>
        <v/>
      </c>
      <c r="Y71">
        <f>IFS(M71&gt;=0.15,"Deep Discount",M71&gt;=0.1,"Moderate",TRUE,"Standard")</f>
        <v/>
      </c>
    </row>
    <row r="72">
      <c r="A72">
        <f>Raw_Data!A72</f>
        <v/>
      </c>
      <c r="B72" s="29">
        <f>Raw_Data!B72</f>
        <v/>
      </c>
      <c r="C72">
        <f>YEAR(B72)</f>
        <v/>
      </c>
      <c r="D72">
        <f>MONTH(B72)</f>
        <v/>
      </c>
      <c r="E72">
        <f>TEXT(B72,"MMM-YYYY")</f>
        <v/>
      </c>
      <c r="F72">
        <f>Raw_Data!C72</f>
        <v/>
      </c>
      <c r="G72">
        <f>Raw_Data!D72</f>
        <v/>
      </c>
      <c r="H72">
        <f>Raw_Data!E72</f>
        <v/>
      </c>
      <c r="I72">
        <f>Raw_Data!F72</f>
        <v/>
      </c>
      <c r="J72">
        <f>Raw_Data!G72</f>
        <v/>
      </c>
      <c r="K72">
        <f>Raw_Data!H72</f>
        <v/>
      </c>
      <c r="L72" s="30">
        <f>Raw_Data!I72</f>
        <v/>
      </c>
      <c r="M72" s="31">
        <f>Raw_Data!J72</f>
        <v/>
      </c>
      <c r="N72" s="17">
        <f>K72*L72</f>
        <v/>
      </c>
      <c r="O72" s="17">
        <f>N72*(1-M72)</f>
        <v/>
      </c>
      <c r="P72" s="17">
        <f>Raw_Data!L72</f>
        <v/>
      </c>
      <c r="Q72" s="17">
        <f>O72-P72</f>
        <v/>
      </c>
      <c r="R72" s="31">
        <f>IF(O72=0,0,Q72/O72)</f>
        <v/>
      </c>
      <c r="S72">
        <f>XLOOKUP(F72,Lookups!$B$7:$B$11,Lookups!$C$7:$C$11,"Unknown")</f>
        <v/>
      </c>
      <c r="T72" s="31">
        <f>XLOOKUP(G72,Lookups!$E$7:$E$11,Lookups!$F$7:$F$11,0)</f>
        <v/>
      </c>
      <c r="U72" s="32">
        <f>R72-T72</f>
        <v/>
      </c>
      <c r="V72">
        <f>XLOOKUP(I72,Lookups!$H$7:$H$10,Lookups!$I$7:$I$10,"")</f>
        <v/>
      </c>
      <c r="W72">
        <f>IF(O72&gt;=50000,"HIGH VALUE","")</f>
        <v/>
      </c>
      <c r="X72">
        <f>IF(Q72&lt;0,"LOSS","")</f>
        <v/>
      </c>
      <c r="Y72">
        <f>IFS(M72&gt;=0.15,"Deep Discount",M72&gt;=0.1,"Moderate",TRUE,"Standard")</f>
        <v/>
      </c>
    </row>
    <row r="73">
      <c r="A73">
        <f>Raw_Data!A73</f>
        <v/>
      </c>
      <c r="B73" s="29">
        <f>Raw_Data!B73</f>
        <v/>
      </c>
      <c r="C73">
        <f>YEAR(B73)</f>
        <v/>
      </c>
      <c r="D73">
        <f>MONTH(B73)</f>
        <v/>
      </c>
      <c r="E73">
        <f>TEXT(B73,"MMM-YYYY")</f>
        <v/>
      </c>
      <c r="F73">
        <f>Raw_Data!C73</f>
        <v/>
      </c>
      <c r="G73">
        <f>Raw_Data!D73</f>
        <v/>
      </c>
      <c r="H73">
        <f>Raw_Data!E73</f>
        <v/>
      </c>
      <c r="I73">
        <f>Raw_Data!F73</f>
        <v/>
      </c>
      <c r="J73">
        <f>Raw_Data!G73</f>
        <v/>
      </c>
      <c r="K73">
        <f>Raw_Data!H73</f>
        <v/>
      </c>
      <c r="L73" s="30">
        <f>Raw_Data!I73</f>
        <v/>
      </c>
      <c r="M73" s="31">
        <f>Raw_Data!J73</f>
        <v/>
      </c>
      <c r="N73" s="17">
        <f>K73*L73</f>
        <v/>
      </c>
      <c r="O73" s="17">
        <f>N73*(1-M73)</f>
        <v/>
      </c>
      <c r="P73" s="17">
        <f>Raw_Data!L73</f>
        <v/>
      </c>
      <c r="Q73" s="17">
        <f>O73-P73</f>
        <v/>
      </c>
      <c r="R73" s="31">
        <f>IF(O73=0,0,Q73/O73)</f>
        <v/>
      </c>
      <c r="S73">
        <f>XLOOKUP(F73,Lookups!$B$7:$B$11,Lookups!$C$7:$C$11,"Unknown")</f>
        <v/>
      </c>
      <c r="T73" s="31">
        <f>XLOOKUP(G73,Lookups!$E$7:$E$11,Lookups!$F$7:$F$11,0)</f>
        <v/>
      </c>
      <c r="U73" s="32">
        <f>R73-T73</f>
        <v/>
      </c>
      <c r="V73">
        <f>XLOOKUP(I73,Lookups!$H$7:$H$10,Lookups!$I$7:$I$10,"")</f>
        <v/>
      </c>
      <c r="W73">
        <f>IF(O73&gt;=50000,"HIGH VALUE","")</f>
        <v/>
      </c>
      <c r="X73">
        <f>IF(Q73&lt;0,"LOSS","")</f>
        <v/>
      </c>
      <c r="Y73">
        <f>IFS(M73&gt;=0.15,"Deep Discount",M73&gt;=0.1,"Moderate",TRUE,"Standard")</f>
        <v/>
      </c>
    </row>
    <row r="74">
      <c r="A74">
        <f>Raw_Data!A74</f>
        <v/>
      </c>
      <c r="B74" s="29">
        <f>Raw_Data!B74</f>
        <v/>
      </c>
      <c r="C74">
        <f>YEAR(B74)</f>
        <v/>
      </c>
      <c r="D74">
        <f>MONTH(B74)</f>
        <v/>
      </c>
      <c r="E74">
        <f>TEXT(B74,"MMM-YYYY")</f>
        <v/>
      </c>
      <c r="F74">
        <f>Raw_Data!C74</f>
        <v/>
      </c>
      <c r="G74">
        <f>Raw_Data!D74</f>
        <v/>
      </c>
      <c r="H74">
        <f>Raw_Data!E74</f>
        <v/>
      </c>
      <c r="I74">
        <f>Raw_Data!F74</f>
        <v/>
      </c>
      <c r="J74">
        <f>Raw_Data!G74</f>
        <v/>
      </c>
      <c r="K74">
        <f>Raw_Data!H74</f>
        <v/>
      </c>
      <c r="L74" s="30">
        <f>Raw_Data!I74</f>
        <v/>
      </c>
      <c r="M74" s="31">
        <f>Raw_Data!J74</f>
        <v/>
      </c>
      <c r="N74" s="17">
        <f>K74*L74</f>
        <v/>
      </c>
      <c r="O74" s="17">
        <f>N74*(1-M74)</f>
        <v/>
      </c>
      <c r="P74" s="17">
        <f>Raw_Data!L74</f>
        <v/>
      </c>
      <c r="Q74" s="17">
        <f>O74-P74</f>
        <v/>
      </c>
      <c r="R74" s="31">
        <f>IF(O74=0,0,Q74/O74)</f>
        <v/>
      </c>
      <c r="S74">
        <f>XLOOKUP(F74,Lookups!$B$7:$B$11,Lookups!$C$7:$C$11,"Unknown")</f>
        <v/>
      </c>
      <c r="T74" s="31">
        <f>XLOOKUP(G74,Lookups!$E$7:$E$11,Lookups!$F$7:$F$11,0)</f>
        <v/>
      </c>
      <c r="U74" s="32">
        <f>R74-T74</f>
        <v/>
      </c>
      <c r="V74">
        <f>XLOOKUP(I74,Lookups!$H$7:$H$10,Lookups!$I$7:$I$10,"")</f>
        <v/>
      </c>
      <c r="W74">
        <f>IF(O74&gt;=50000,"HIGH VALUE","")</f>
        <v/>
      </c>
      <c r="X74">
        <f>IF(Q74&lt;0,"LOSS","")</f>
        <v/>
      </c>
      <c r="Y74">
        <f>IFS(M74&gt;=0.15,"Deep Discount",M74&gt;=0.1,"Moderate",TRUE,"Standard")</f>
        <v/>
      </c>
    </row>
    <row r="75">
      <c r="A75">
        <f>Raw_Data!A75</f>
        <v/>
      </c>
      <c r="B75" s="29">
        <f>Raw_Data!B75</f>
        <v/>
      </c>
      <c r="C75">
        <f>YEAR(B75)</f>
        <v/>
      </c>
      <c r="D75">
        <f>MONTH(B75)</f>
        <v/>
      </c>
      <c r="E75">
        <f>TEXT(B75,"MMM-YYYY")</f>
        <v/>
      </c>
      <c r="F75">
        <f>Raw_Data!C75</f>
        <v/>
      </c>
      <c r="G75">
        <f>Raw_Data!D75</f>
        <v/>
      </c>
      <c r="H75">
        <f>Raw_Data!E75</f>
        <v/>
      </c>
      <c r="I75">
        <f>Raw_Data!F75</f>
        <v/>
      </c>
      <c r="J75">
        <f>Raw_Data!G75</f>
        <v/>
      </c>
      <c r="K75">
        <f>Raw_Data!H75</f>
        <v/>
      </c>
      <c r="L75" s="30">
        <f>Raw_Data!I75</f>
        <v/>
      </c>
      <c r="M75" s="31">
        <f>Raw_Data!J75</f>
        <v/>
      </c>
      <c r="N75" s="17">
        <f>K75*L75</f>
        <v/>
      </c>
      <c r="O75" s="17">
        <f>N75*(1-M75)</f>
        <v/>
      </c>
      <c r="P75" s="17">
        <f>Raw_Data!L75</f>
        <v/>
      </c>
      <c r="Q75" s="17">
        <f>O75-P75</f>
        <v/>
      </c>
      <c r="R75" s="31">
        <f>IF(O75=0,0,Q75/O75)</f>
        <v/>
      </c>
      <c r="S75">
        <f>XLOOKUP(F75,Lookups!$B$7:$B$11,Lookups!$C$7:$C$11,"Unknown")</f>
        <v/>
      </c>
      <c r="T75" s="31">
        <f>XLOOKUP(G75,Lookups!$E$7:$E$11,Lookups!$F$7:$F$11,0)</f>
        <v/>
      </c>
      <c r="U75" s="32">
        <f>R75-T75</f>
        <v/>
      </c>
      <c r="V75">
        <f>XLOOKUP(I75,Lookups!$H$7:$H$10,Lookups!$I$7:$I$10,"")</f>
        <v/>
      </c>
      <c r="W75">
        <f>IF(O75&gt;=50000,"HIGH VALUE","")</f>
        <v/>
      </c>
      <c r="X75">
        <f>IF(Q75&lt;0,"LOSS","")</f>
        <v/>
      </c>
      <c r="Y75">
        <f>IFS(M75&gt;=0.15,"Deep Discount",M75&gt;=0.1,"Moderate",TRUE,"Standard")</f>
        <v/>
      </c>
    </row>
    <row r="76">
      <c r="A76">
        <f>Raw_Data!A76</f>
        <v/>
      </c>
      <c r="B76" s="29">
        <f>Raw_Data!B76</f>
        <v/>
      </c>
      <c r="C76">
        <f>YEAR(B76)</f>
        <v/>
      </c>
      <c r="D76">
        <f>MONTH(B76)</f>
        <v/>
      </c>
      <c r="E76">
        <f>TEXT(B76,"MMM-YYYY")</f>
        <v/>
      </c>
      <c r="F76">
        <f>Raw_Data!C76</f>
        <v/>
      </c>
      <c r="G76">
        <f>Raw_Data!D76</f>
        <v/>
      </c>
      <c r="H76">
        <f>Raw_Data!E76</f>
        <v/>
      </c>
      <c r="I76">
        <f>Raw_Data!F76</f>
        <v/>
      </c>
      <c r="J76">
        <f>Raw_Data!G76</f>
        <v/>
      </c>
      <c r="K76">
        <f>Raw_Data!H76</f>
        <v/>
      </c>
      <c r="L76" s="30">
        <f>Raw_Data!I76</f>
        <v/>
      </c>
      <c r="M76" s="31">
        <f>Raw_Data!J76</f>
        <v/>
      </c>
      <c r="N76" s="17">
        <f>K76*L76</f>
        <v/>
      </c>
      <c r="O76" s="17">
        <f>N76*(1-M76)</f>
        <v/>
      </c>
      <c r="P76" s="17">
        <f>Raw_Data!L76</f>
        <v/>
      </c>
      <c r="Q76" s="17">
        <f>O76-P76</f>
        <v/>
      </c>
      <c r="R76" s="31">
        <f>IF(O76=0,0,Q76/O76)</f>
        <v/>
      </c>
      <c r="S76">
        <f>XLOOKUP(F76,Lookups!$B$7:$B$11,Lookups!$C$7:$C$11,"Unknown")</f>
        <v/>
      </c>
      <c r="T76" s="31">
        <f>XLOOKUP(G76,Lookups!$E$7:$E$11,Lookups!$F$7:$F$11,0)</f>
        <v/>
      </c>
      <c r="U76" s="32">
        <f>R76-T76</f>
        <v/>
      </c>
      <c r="V76">
        <f>XLOOKUP(I76,Lookups!$H$7:$H$10,Lookups!$I$7:$I$10,"")</f>
        <v/>
      </c>
      <c r="W76">
        <f>IF(O76&gt;=50000,"HIGH VALUE","")</f>
        <v/>
      </c>
      <c r="X76">
        <f>IF(Q76&lt;0,"LOSS","")</f>
        <v/>
      </c>
      <c r="Y76">
        <f>IFS(M76&gt;=0.15,"Deep Discount",M76&gt;=0.1,"Moderate",TRUE,"Standard")</f>
        <v/>
      </c>
    </row>
    <row r="77">
      <c r="A77">
        <f>Raw_Data!A77</f>
        <v/>
      </c>
      <c r="B77" s="29">
        <f>Raw_Data!B77</f>
        <v/>
      </c>
      <c r="C77">
        <f>YEAR(B77)</f>
        <v/>
      </c>
      <c r="D77">
        <f>MONTH(B77)</f>
        <v/>
      </c>
      <c r="E77">
        <f>TEXT(B77,"MMM-YYYY")</f>
        <v/>
      </c>
      <c r="F77">
        <f>Raw_Data!C77</f>
        <v/>
      </c>
      <c r="G77">
        <f>Raw_Data!D77</f>
        <v/>
      </c>
      <c r="H77">
        <f>Raw_Data!E77</f>
        <v/>
      </c>
      <c r="I77">
        <f>Raw_Data!F77</f>
        <v/>
      </c>
      <c r="J77">
        <f>Raw_Data!G77</f>
        <v/>
      </c>
      <c r="K77">
        <f>Raw_Data!H77</f>
        <v/>
      </c>
      <c r="L77" s="30">
        <f>Raw_Data!I77</f>
        <v/>
      </c>
      <c r="M77" s="31">
        <f>Raw_Data!J77</f>
        <v/>
      </c>
      <c r="N77" s="17">
        <f>K77*L77</f>
        <v/>
      </c>
      <c r="O77" s="17">
        <f>N77*(1-M77)</f>
        <v/>
      </c>
      <c r="P77" s="17">
        <f>Raw_Data!L77</f>
        <v/>
      </c>
      <c r="Q77" s="17">
        <f>O77-P77</f>
        <v/>
      </c>
      <c r="R77" s="31">
        <f>IF(O77=0,0,Q77/O77)</f>
        <v/>
      </c>
      <c r="S77">
        <f>XLOOKUP(F77,Lookups!$B$7:$B$11,Lookups!$C$7:$C$11,"Unknown")</f>
        <v/>
      </c>
      <c r="T77" s="31">
        <f>XLOOKUP(G77,Lookups!$E$7:$E$11,Lookups!$F$7:$F$11,0)</f>
        <v/>
      </c>
      <c r="U77" s="32">
        <f>R77-T77</f>
        <v/>
      </c>
      <c r="V77">
        <f>XLOOKUP(I77,Lookups!$H$7:$H$10,Lookups!$I$7:$I$10,"")</f>
        <v/>
      </c>
      <c r="W77">
        <f>IF(O77&gt;=50000,"HIGH VALUE","")</f>
        <v/>
      </c>
      <c r="X77">
        <f>IF(Q77&lt;0,"LOSS","")</f>
        <v/>
      </c>
      <c r="Y77">
        <f>IFS(M77&gt;=0.15,"Deep Discount",M77&gt;=0.1,"Moderate",TRUE,"Standard")</f>
        <v/>
      </c>
    </row>
    <row r="78">
      <c r="A78">
        <f>Raw_Data!A78</f>
        <v/>
      </c>
      <c r="B78" s="29">
        <f>Raw_Data!B78</f>
        <v/>
      </c>
      <c r="C78">
        <f>YEAR(B78)</f>
        <v/>
      </c>
      <c r="D78">
        <f>MONTH(B78)</f>
        <v/>
      </c>
      <c r="E78">
        <f>TEXT(B78,"MMM-YYYY")</f>
        <v/>
      </c>
      <c r="F78">
        <f>Raw_Data!C78</f>
        <v/>
      </c>
      <c r="G78">
        <f>Raw_Data!D78</f>
        <v/>
      </c>
      <c r="H78">
        <f>Raw_Data!E78</f>
        <v/>
      </c>
      <c r="I78">
        <f>Raw_Data!F78</f>
        <v/>
      </c>
      <c r="J78">
        <f>Raw_Data!G78</f>
        <v/>
      </c>
      <c r="K78">
        <f>Raw_Data!H78</f>
        <v/>
      </c>
      <c r="L78" s="30">
        <f>Raw_Data!I78</f>
        <v/>
      </c>
      <c r="M78" s="31">
        <f>Raw_Data!J78</f>
        <v/>
      </c>
      <c r="N78" s="17">
        <f>K78*L78</f>
        <v/>
      </c>
      <c r="O78" s="17">
        <f>N78*(1-M78)</f>
        <v/>
      </c>
      <c r="P78" s="17">
        <f>Raw_Data!L78</f>
        <v/>
      </c>
      <c r="Q78" s="17">
        <f>O78-P78</f>
        <v/>
      </c>
      <c r="R78" s="31">
        <f>IF(O78=0,0,Q78/O78)</f>
        <v/>
      </c>
      <c r="S78">
        <f>XLOOKUP(F78,Lookups!$B$7:$B$11,Lookups!$C$7:$C$11,"Unknown")</f>
        <v/>
      </c>
      <c r="T78" s="31">
        <f>XLOOKUP(G78,Lookups!$E$7:$E$11,Lookups!$F$7:$F$11,0)</f>
        <v/>
      </c>
      <c r="U78" s="32">
        <f>R78-T78</f>
        <v/>
      </c>
      <c r="V78">
        <f>XLOOKUP(I78,Lookups!$H$7:$H$10,Lookups!$I$7:$I$10,"")</f>
        <v/>
      </c>
      <c r="W78">
        <f>IF(O78&gt;=50000,"HIGH VALUE","")</f>
        <v/>
      </c>
      <c r="X78">
        <f>IF(Q78&lt;0,"LOSS","")</f>
        <v/>
      </c>
      <c r="Y78">
        <f>IFS(M78&gt;=0.15,"Deep Discount",M78&gt;=0.1,"Moderate",TRUE,"Standard")</f>
        <v/>
      </c>
    </row>
    <row r="79">
      <c r="A79">
        <f>Raw_Data!A79</f>
        <v/>
      </c>
      <c r="B79" s="29">
        <f>Raw_Data!B79</f>
        <v/>
      </c>
      <c r="C79">
        <f>YEAR(B79)</f>
        <v/>
      </c>
      <c r="D79">
        <f>MONTH(B79)</f>
        <v/>
      </c>
      <c r="E79">
        <f>TEXT(B79,"MMM-YYYY")</f>
        <v/>
      </c>
      <c r="F79">
        <f>Raw_Data!C79</f>
        <v/>
      </c>
      <c r="G79">
        <f>Raw_Data!D79</f>
        <v/>
      </c>
      <c r="H79">
        <f>Raw_Data!E79</f>
        <v/>
      </c>
      <c r="I79">
        <f>Raw_Data!F79</f>
        <v/>
      </c>
      <c r="J79">
        <f>Raw_Data!G79</f>
        <v/>
      </c>
      <c r="K79">
        <f>Raw_Data!H79</f>
        <v/>
      </c>
      <c r="L79" s="30">
        <f>Raw_Data!I79</f>
        <v/>
      </c>
      <c r="M79" s="31">
        <f>Raw_Data!J79</f>
        <v/>
      </c>
      <c r="N79" s="17">
        <f>K79*L79</f>
        <v/>
      </c>
      <c r="O79" s="17">
        <f>N79*(1-M79)</f>
        <v/>
      </c>
      <c r="P79" s="17">
        <f>Raw_Data!L79</f>
        <v/>
      </c>
      <c r="Q79" s="17">
        <f>O79-P79</f>
        <v/>
      </c>
      <c r="R79" s="31">
        <f>IF(O79=0,0,Q79/O79)</f>
        <v/>
      </c>
      <c r="S79">
        <f>XLOOKUP(F79,Lookups!$B$7:$B$11,Lookups!$C$7:$C$11,"Unknown")</f>
        <v/>
      </c>
      <c r="T79" s="31">
        <f>XLOOKUP(G79,Lookups!$E$7:$E$11,Lookups!$F$7:$F$11,0)</f>
        <v/>
      </c>
      <c r="U79" s="32">
        <f>R79-T79</f>
        <v/>
      </c>
      <c r="V79">
        <f>XLOOKUP(I79,Lookups!$H$7:$H$10,Lookups!$I$7:$I$10,"")</f>
        <v/>
      </c>
      <c r="W79">
        <f>IF(O79&gt;=50000,"HIGH VALUE","")</f>
        <v/>
      </c>
      <c r="X79">
        <f>IF(Q79&lt;0,"LOSS","")</f>
        <v/>
      </c>
      <c r="Y79">
        <f>IFS(M79&gt;=0.15,"Deep Discount",M79&gt;=0.1,"Moderate",TRUE,"Standard")</f>
        <v/>
      </c>
    </row>
    <row r="80">
      <c r="A80">
        <f>Raw_Data!A80</f>
        <v/>
      </c>
      <c r="B80" s="29">
        <f>Raw_Data!B80</f>
        <v/>
      </c>
      <c r="C80">
        <f>YEAR(B80)</f>
        <v/>
      </c>
      <c r="D80">
        <f>MONTH(B80)</f>
        <v/>
      </c>
      <c r="E80">
        <f>TEXT(B80,"MMM-YYYY")</f>
        <v/>
      </c>
      <c r="F80">
        <f>Raw_Data!C80</f>
        <v/>
      </c>
      <c r="G80">
        <f>Raw_Data!D80</f>
        <v/>
      </c>
      <c r="H80">
        <f>Raw_Data!E80</f>
        <v/>
      </c>
      <c r="I80">
        <f>Raw_Data!F80</f>
        <v/>
      </c>
      <c r="J80">
        <f>Raw_Data!G80</f>
        <v/>
      </c>
      <c r="K80">
        <f>Raw_Data!H80</f>
        <v/>
      </c>
      <c r="L80" s="30">
        <f>Raw_Data!I80</f>
        <v/>
      </c>
      <c r="M80" s="31">
        <f>Raw_Data!J80</f>
        <v/>
      </c>
      <c r="N80" s="17">
        <f>K80*L80</f>
        <v/>
      </c>
      <c r="O80" s="17">
        <f>N80*(1-M80)</f>
        <v/>
      </c>
      <c r="P80" s="17">
        <f>Raw_Data!L80</f>
        <v/>
      </c>
      <c r="Q80" s="17">
        <f>O80-P80</f>
        <v/>
      </c>
      <c r="R80" s="31">
        <f>IF(O80=0,0,Q80/O80)</f>
        <v/>
      </c>
      <c r="S80">
        <f>XLOOKUP(F80,Lookups!$B$7:$B$11,Lookups!$C$7:$C$11,"Unknown")</f>
        <v/>
      </c>
      <c r="T80" s="31">
        <f>XLOOKUP(G80,Lookups!$E$7:$E$11,Lookups!$F$7:$F$11,0)</f>
        <v/>
      </c>
      <c r="U80" s="32">
        <f>R80-T80</f>
        <v/>
      </c>
      <c r="V80">
        <f>XLOOKUP(I80,Lookups!$H$7:$H$10,Lookups!$I$7:$I$10,"")</f>
        <v/>
      </c>
      <c r="W80">
        <f>IF(O80&gt;=50000,"HIGH VALUE","")</f>
        <v/>
      </c>
      <c r="X80">
        <f>IF(Q80&lt;0,"LOSS","")</f>
        <v/>
      </c>
      <c r="Y80">
        <f>IFS(M80&gt;=0.15,"Deep Discount",M80&gt;=0.1,"Moderate",TRUE,"Standard")</f>
        <v/>
      </c>
    </row>
    <row r="81">
      <c r="A81">
        <f>Raw_Data!A81</f>
        <v/>
      </c>
      <c r="B81" s="29">
        <f>Raw_Data!B81</f>
        <v/>
      </c>
      <c r="C81">
        <f>YEAR(B81)</f>
        <v/>
      </c>
      <c r="D81">
        <f>MONTH(B81)</f>
        <v/>
      </c>
      <c r="E81">
        <f>TEXT(B81,"MMM-YYYY")</f>
        <v/>
      </c>
      <c r="F81">
        <f>Raw_Data!C81</f>
        <v/>
      </c>
      <c r="G81">
        <f>Raw_Data!D81</f>
        <v/>
      </c>
      <c r="H81">
        <f>Raw_Data!E81</f>
        <v/>
      </c>
      <c r="I81">
        <f>Raw_Data!F81</f>
        <v/>
      </c>
      <c r="J81">
        <f>Raw_Data!G81</f>
        <v/>
      </c>
      <c r="K81">
        <f>Raw_Data!H81</f>
        <v/>
      </c>
      <c r="L81" s="30">
        <f>Raw_Data!I81</f>
        <v/>
      </c>
      <c r="M81" s="31">
        <f>Raw_Data!J81</f>
        <v/>
      </c>
      <c r="N81" s="17">
        <f>K81*L81</f>
        <v/>
      </c>
      <c r="O81" s="17">
        <f>N81*(1-M81)</f>
        <v/>
      </c>
      <c r="P81" s="17">
        <f>Raw_Data!L81</f>
        <v/>
      </c>
      <c r="Q81" s="17">
        <f>O81-P81</f>
        <v/>
      </c>
      <c r="R81" s="31">
        <f>IF(O81=0,0,Q81/O81)</f>
        <v/>
      </c>
      <c r="S81">
        <f>XLOOKUP(F81,Lookups!$B$7:$B$11,Lookups!$C$7:$C$11,"Unknown")</f>
        <v/>
      </c>
      <c r="T81" s="31">
        <f>XLOOKUP(G81,Lookups!$E$7:$E$11,Lookups!$F$7:$F$11,0)</f>
        <v/>
      </c>
      <c r="U81" s="32">
        <f>R81-T81</f>
        <v/>
      </c>
      <c r="V81">
        <f>XLOOKUP(I81,Lookups!$H$7:$H$10,Lookups!$I$7:$I$10,"")</f>
        <v/>
      </c>
      <c r="W81">
        <f>IF(O81&gt;=50000,"HIGH VALUE","")</f>
        <v/>
      </c>
      <c r="X81">
        <f>IF(Q81&lt;0,"LOSS","")</f>
        <v/>
      </c>
      <c r="Y81">
        <f>IFS(M81&gt;=0.15,"Deep Discount",M81&gt;=0.1,"Moderate",TRUE,"Standard")</f>
        <v/>
      </c>
    </row>
    <row r="82">
      <c r="A82">
        <f>Raw_Data!A82</f>
        <v/>
      </c>
      <c r="B82" s="29">
        <f>Raw_Data!B82</f>
        <v/>
      </c>
      <c r="C82">
        <f>YEAR(B82)</f>
        <v/>
      </c>
      <c r="D82">
        <f>MONTH(B82)</f>
        <v/>
      </c>
      <c r="E82">
        <f>TEXT(B82,"MMM-YYYY")</f>
        <v/>
      </c>
      <c r="F82">
        <f>Raw_Data!C82</f>
        <v/>
      </c>
      <c r="G82">
        <f>Raw_Data!D82</f>
        <v/>
      </c>
      <c r="H82">
        <f>Raw_Data!E82</f>
        <v/>
      </c>
      <c r="I82">
        <f>Raw_Data!F82</f>
        <v/>
      </c>
      <c r="J82">
        <f>Raw_Data!G82</f>
        <v/>
      </c>
      <c r="K82">
        <f>Raw_Data!H82</f>
        <v/>
      </c>
      <c r="L82" s="30">
        <f>Raw_Data!I82</f>
        <v/>
      </c>
      <c r="M82" s="31">
        <f>Raw_Data!J82</f>
        <v/>
      </c>
      <c r="N82" s="17">
        <f>K82*L82</f>
        <v/>
      </c>
      <c r="O82" s="17">
        <f>N82*(1-M82)</f>
        <v/>
      </c>
      <c r="P82" s="17">
        <f>Raw_Data!L82</f>
        <v/>
      </c>
      <c r="Q82" s="17">
        <f>O82-P82</f>
        <v/>
      </c>
      <c r="R82" s="31">
        <f>IF(O82=0,0,Q82/O82)</f>
        <v/>
      </c>
      <c r="S82">
        <f>XLOOKUP(F82,Lookups!$B$7:$B$11,Lookups!$C$7:$C$11,"Unknown")</f>
        <v/>
      </c>
      <c r="T82" s="31">
        <f>XLOOKUP(G82,Lookups!$E$7:$E$11,Lookups!$F$7:$F$11,0)</f>
        <v/>
      </c>
      <c r="U82" s="32">
        <f>R82-T82</f>
        <v/>
      </c>
      <c r="V82">
        <f>XLOOKUP(I82,Lookups!$H$7:$H$10,Lookups!$I$7:$I$10,"")</f>
        <v/>
      </c>
      <c r="W82">
        <f>IF(O82&gt;=50000,"HIGH VALUE","")</f>
        <v/>
      </c>
      <c r="X82">
        <f>IF(Q82&lt;0,"LOSS","")</f>
        <v/>
      </c>
      <c r="Y82">
        <f>IFS(M82&gt;=0.15,"Deep Discount",M82&gt;=0.1,"Moderate",TRUE,"Standard")</f>
        <v/>
      </c>
    </row>
    <row r="83">
      <c r="A83">
        <f>Raw_Data!A83</f>
        <v/>
      </c>
      <c r="B83" s="29">
        <f>Raw_Data!B83</f>
        <v/>
      </c>
      <c r="C83">
        <f>YEAR(B83)</f>
        <v/>
      </c>
      <c r="D83">
        <f>MONTH(B83)</f>
        <v/>
      </c>
      <c r="E83">
        <f>TEXT(B83,"MMM-YYYY")</f>
        <v/>
      </c>
      <c r="F83">
        <f>Raw_Data!C83</f>
        <v/>
      </c>
      <c r="G83">
        <f>Raw_Data!D83</f>
        <v/>
      </c>
      <c r="H83">
        <f>Raw_Data!E83</f>
        <v/>
      </c>
      <c r="I83">
        <f>Raw_Data!F83</f>
        <v/>
      </c>
      <c r="J83">
        <f>Raw_Data!G83</f>
        <v/>
      </c>
      <c r="K83">
        <f>Raw_Data!H83</f>
        <v/>
      </c>
      <c r="L83" s="30">
        <f>Raw_Data!I83</f>
        <v/>
      </c>
      <c r="M83" s="31">
        <f>Raw_Data!J83</f>
        <v/>
      </c>
      <c r="N83" s="17">
        <f>K83*L83</f>
        <v/>
      </c>
      <c r="O83" s="17">
        <f>N83*(1-M83)</f>
        <v/>
      </c>
      <c r="P83" s="17">
        <f>Raw_Data!L83</f>
        <v/>
      </c>
      <c r="Q83" s="17">
        <f>O83-P83</f>
        <v/>
      </c>
      <c r="R83" s="31">
        <f>IF(O83=0,0,Q83/O83)</f>
        <v/>
      </c>
      <c r="S83">
        <f>XLOOKUP(F83,Lookups!$B$7:$B$11,Lookups!$C$7:$C$11,"Unknown")</f>
        <v/>
      </c>
      <c r="T83" s="31">
        <f>XLOOKUP(G83,Lookups!$E$7:$E$11,Lookups!$F$7:$F$11,0)</f>
        <v/>
      </c>
      <c r="U83" s="32">
        <f>R83-T83</f>
        <v/>
      </c>
      <c r="V83">
        <f>XLOOKUP(I83,Lookups!$H$7:$H$10,Lookups!$I$7:$I$10,"")</f>
        <v/>
      </c>
      <c r="W83">
        <f>IF(O83&gt;=50000,"HIGH VALUE","")</f>
        <v/>
      </c>
      <c r="X83">
        <f>IF(Q83&lt;0,"LOSS","")</f>
        <v/>
      </c>
      <c r="Y83">
        <f>IFS(M83&gt;=0.15,"Deep Discount",M83&gt;=0.1,"Moderate",TRUE,"Standard")</f>
        <v/>
      </c>
    </row>
    <row r="84">
      <c r="A84">
        <f>Raw_Data!A84</f>
        <v/>
      </c>
      <c r="B84" s="29">
        <f>Raw_Data!B84</f>
        <v/>
      </c>
      <c r="C84">
        <f>YEAR(B84)</f>
        <v/>
      </c>
      <c r="D84">
        <f>MONTH(B84)</f>
        <v/>
      </c>
      <c r="E84">
        <f>TEXT(B84,"MMM-YYYY")</f>
        <v/>
      </c>
      <c r="F84">
        <f>Raw_Data!C84</f>
        <v/>
      </c>
      <c r="G84">
        <f>Raw_Data!D84</f>
        <v/>
      </c>
      <c r="H84">
        <f>Raw_Data!E84</f>
        <v/>
      </c>
      <c r="I84">
        <f>Raw_Data!F84</f>
        <v/>
      </c>
      <c r="J84">
        <f>Raw_Data!G84</f>
        <v/>
      </c>
      <c r="K84">
        <f>Raw_Data!H84</f>
        <v/>
      </c>
      <c r="L84" s="30">
        <f>Raw_Data!I84</f>
        <v/>
      </c>
      <c r="M84" s="31">
        <f>Raw_Data!J84</f>
        <v/>
      </c>
      <c r="N84" s="17">
        <f>K84*L84</f>
        <v/>
      </c>
      <c r="O84" s="17">
        <f>N84*(1-M84)</f>
        <v/>
      </c>
      <c r="P84" s="17">
        <f>Raw_Data!L84</f>
        <v/>
      </c>
      <c r="Q84" s="17">
        <f>O84-P84</f>
        <v/>
      </c>
      <c r="R84" s="31">
        <f>IF(O84=0,0,Q84/O84)</f>
        <v/>
      </c>
      <c r="S84">
        <f>XLOOKUP(F84,Lookups!$B$7:$B$11,Lookups!$C$7:$C$11,"Unknown")</f>
        <v/>
      </c>
      <c r="T84" s="31">
        <f>XLOOKUP(G84,Lookups!$E$7:$E$11,Lookups!$F$7:$F$11,0)</f>
        <v/>
      </c>
      <c r="U84" s="32">
        <f>R84-T84</f>
        <v/>
      </c>
      <c r="V84">
        <f>XLOOKUP(I84,Lookups!$H$7:$H$10,Lookups!$I$7:$I$10,"")</f>
        <v/>
      </c>
      <c r="W84">
        <f>IF(O84&gt;=50000,"HIGH VALUE","")</f>
        <v/>
      </c>
      <c r="X84">
        <f>IF(Q84&lt;0,"LOSS","")</f>
        <v/>
      </c>
      <c r="Y84">
        <f>IFS(M84&gt;=0.15,"Deep Discount",M84&gt;=0.1,"Moderate",TRUE,"Standard")</f>
        <v/>
      </c>
    </row>
    <row r="85">
      <c r="A85">
        <f>Raw_Data!A85</f>
        <v/>
      </c>
      <c r="B85" s="29">
        <f>Raw_Data!B85</f>
        <v/>
      </c>
      <c r="C85">
        <f>YEAR(B85)</f>
        <v/>
      </c>
      <c r="D85">
        <f>MONTH(B85)</f>
        <v/>
      </c>
      <c r="E85">
        <f>TEXT(B85,"MMM-YYYY")</f>
        <v/>
      </c>
      <c r="F85">
        <f>Raw_Data!C85</f>
        <v/>
      </c>
      <c r="G85">
        <f>Raw_Data!D85</f>
        <v/>
      </c>
      <c r="H85">
        <f>Raw_Data!E85</f>
        <v/>
      </c>
      <c r="I85">
        <f>Raw_Data!F85</f>
        <v/>
      </c>
      <c r="J85">
        <f>Raw_Data!G85</f>
        <v/>
      </c>
      <c r="K85">
        <f>Raw_Data!H85</f>
        <v/>
      </c>
      <c r="L85" s="30">
        <f>Raw_Data!I85</f>
        <v/>
      </c>
      <c r="M85" s="31">
        <f>Raw_Data!J85</f>
        <v/>
      </c>
      <c r="N85" s="17">
        <f>K85*L85</f>
        <v/>
      </c>
      <c r="O85" s="17">
        <f>N85*(1-M85)</f>
        <v/>
      </c>
      <c r="P85" s="17">
        <f>Raw_Data!L85</f>
        <v/>
      </c>
      <c r="Q85" s="17">
        <f>O85-P85</f>
        <v/>
      </c>
      <c r="R85" s="31">
        <f>IF(O85=0,0,Q85/O85)</f>
        <v/>
      </c>
      <c r="S85">
        <f>XLOOKUP(F85,Lookups!$B$7:$B$11,Lookups!$C$7:$C$11,"Unknown")</f>
        <v/>
      </c>
      <c r="T85" s="31">
        <f>XLOOKUP(G85,Lookups!$E$7:$E$11,Lookups!$F$7:$F$11,0)</f>
        <v/>
      </c>
      <c r="U85" s="32">
        <f>R85-T85</f>
        <v/>
      </c>
      <c r="V85">
        <f>XLOOKUP(I85,Lookups!$H$7:$H$10,Lookups!$I$7:$I$10,"")</f>
        <v/>
      </c>
      <c r="W85">
        <f>IF(O85&gt;=50000,"HIGH VALUE","")</f>
        <v/>
      </c>
      <c r="X85">
        <f>IF(Q85&lt;0,"LOSS","")</f>
        <v/>
      </c>
      <c r="Y85">
        <f>IFS(M85&gt;=0.15,"Deep Discount",M85&gt;=0.1,"Moderate",TRUE,"Standard")</f>
        <v/>
      </c>
    </row>
    <row r="86">
      <c r="A86">
        <f>Raw_Data!A86</f>
        <v/>
      </c>
      <c r="B86" s="29">
        <f>Raw_Data!B86</f>
        <v/>
      </c>
      <c r="C86">
        <f>YEAR(B86)</f>
        <v/>
      </c>
      <c r="D86">
        <f>MONTH(B86)</f>
        <v/>
      </c>
      <c r="E86">
        <f>TEXT(B86,"MMM-YYYY")</f>
        <v/>
      </c>
      <c r="F86">
        <f>Raw_Data!C86</f>
        <v/>
      </c>
      <c r="G86">
        <f>Raw_Data!D86</f>
        <v/>
      </c>
      <c r="H86">
        <f>Raw_Data!E86</f>
        <v/>
      </c>
      <c r="I86">
        <f>Raw_Data!F86</f>
        <v/>
      </c>
      <c r="J86">
        <f>Raw_Data!G86</f>
        <v/>
      </c>
      <c r="K86">
        <f>Raw_Data!H86</f>
        <v/>
      </c>
      <c r="L86" s="30">
        <f>Raw_Data!I86</f>
        <v/>
      </c>
      <c r="M86" s="31">
        <f>Raw_Data!J86</f>
        <v/>
      </c>
      <c r="N86" s="17">
        <f>K86*L86</f>
        <v/>
      </c>
      <c r="O86" s="17">
        <f>N86*(1-M86)</f>
        <v/>
      </c>
      <c r="P86" s="17">
        <f>Raw_Data!L86</f>
        <v/>
      </c>
      <c r="Q86" s="17">
        <f>O86-P86</f>
        <v/>
      </c>
      <c r="R86" s="31">
        <f>IF(O86=0,0,Q86/O86)</f>
        <v/>
      </c>
      <c r="S86">
        <f>XLOOKUP(F86,Lookups!$B$7:$B$11,Lookups!$C$7:$C$11,"Unknown")</f>
        <v/>
      </c>
      <c r="T86" s="31">
        <f>XLOOKUP(G86,Lookups!$E$7:$E$11,Lookups!$F$7:$F$11,0)</f>
        <v/>
      </c>
      <c r="U86" s="32">
        <f>R86-T86</f>
        <v/>
      </c>
      <c r="V86">
        <f>XLOOKUP(I86,Lookups!$H$7:$H$10,Lookups!$I$7:$I$10,"")</f>
        <v/>
      </c>
      <c r="W86">
        <f>IF(O86&gt;=50000,"HIGH VALUE","")</f>
        <v/>
      </c>
      <c r="X86">
        <f>IF(Q86&lt;0,"LOSS","")</f>
        <v/>
      </c>
      <c r="Y86">
        <f>IFS(M86&gt;=0.15,"Deep Discount",M86&gt;=0.1,"Moderate",TRUE,"Standard")</f>
        <v/>
      </c>
    </row>
    <row r="87">
      <c r="A87">
        <f>Raw_Data!A87</f>
        <v/>
      </c>
      <c r="B87" s="29">
        <f>Raw_Data!B87</f>
        <v/>
      </c>
      <c r="C87">
        <f>YEAR(B87)</f>
        <v/>
      </c>
      <c r="D87">
        <f>MONTH(B87)</f>
        <v/>
      </c>
      <c r="E87">
        <f>TEXT(B87,"MMM-YYYY")</f>
        <v/>
      </c>
      <c r="F87">
        <f>Raw_Data!C87</f>
        <v/>
      </c>
      <c r="G87">
        <f>Raw_Data!D87</f>
        <v/>
      </c>
      <c r="H87">
        <f>Raw_Data!E87</f>
        <v/>
      </c>
      <c r="I87">
        <f>Raw_Data!F87</f>
        <v/>
      </c>
      <c r="J87">
        <f>Raw_Data!G87</f>
        <v/>
      </c>
      <c r="K87">
        <f>Raw_Data!H87</f>
        <v/>
      </c>
      <c r="L87" s="30">
        <f>Raw_Data!I87</f>
        <v/>
      </c>
      <c r="M87" s="31">
        <f>Raw_Data!J87</f>
        <v/>
      </c>
      <c r="N87" s="17">
        <f>K87*L87</f>
        <v/>
      </c>
      <c r="O87" s="17">
        <f>N87*(1-M87)</f>
        <v/>
      </c>
      <c r="P87" s="17">
        <f>Raw_Data!L87</f>
        <v/>
      </c>
      <c r="Q87" s="17">
        <f>O87-P87</f>
        <v/>
      </c>
      <c r="R87" s="31">
        <f>IF(O87=0,0,Q87/O87)</f>
        <v/>
      </c>
      <c r="S87">
        <f>XLOOKUP(F87,Lookups!$B$7:$B$11,Lookups!$C$7:$C$11,"Unknown")</f>
        <v/>
      </c>
      <c r="T87" s="31">
        <f>XLOOKUP(G87,Lookups!$E$7:$E$11,Lookups!$F$7:$F$11,0)</f>
        <v/>
      </c>
      <c r="U87" s="32">
        <f>R87-T87</f>
        <v/>
      </c>
      <c r="V87">
        <f>XLOOKUP(I87,Lookups!$H$7:$H$10,Lookups!$I$7:$I$10,"")</f>
        <v/>
      </c>
      <c r="W87">
        <f>IF(O87&gt;=50000,"HIGH VALUE","")</f>
        <v/>
      </c>
      <c r="X87">
        <f>IF(Q87&lt;0,"LOSS","")</f>
        <v/>
      </c>
      <c r="Y87">
        <f>IFS(M87&gt;=0.15,"Deep Discount",M87&gt;=0.1,"Moderate",TRUE,"Standard")</f>
        <v/>
      </c>
    </row>
    <row r="88">
      <c r="A88">
        <f>Raw_Data!A88</f>
        <v/>
      </c>
      <c r="B88" s="29">
        <f>Raw_Data!B88</f>
        <v/>
      </c>
      <c r="C88">
        <f>YEAR(B88)</f>
        <v/>
      </c>
      <c r="D88">
        <f>MONTH(B88)</f>
        <v/>
      </c>
      <c r="E88">
        <f>TEXT(B88,"MMM-YYYY")</f>
        <v/>
      </c>
      <c r="F88">
        <f>Raw_Data!C88</f>
        <v/>
      </c>
      <c r="G88">
        <f>Raw_Data!D88</f>
        <v/>
      </c>
      <c r="H88">
        <f>Raw_Data!E88</f>
        <v/>
      </c>
      <c r="I88">
        <f>Raw_Data!F88</f>
        <v/>
      </c>
      <c r="J88">
        <f>Raw_Data!G88</f>
        <v/>
      </c>
      <c r="K88">
        <f>Raw_Data!H88</f>
        <v/>
      </c>
      <c r="L88" s="30">
        <f>Raw_Data!I88</f>
        <v/>
      </c>
      <c r="M88" s="31">
        <f>Raw_Data!J88</f>
        <v/>
      </c>
      <c r="N88" s="17">
        <f>K88*L88</f>
        <v/>
      </c>
      <c r="O88" s="17">
        <f>N88*(1-M88)</f>
        <v/>
      </c>
      <c r="P88" s="17">
        <f>Raw_Data!L88</f>
        <v/>
      </c>
      <c r="Q88" s="17">
        <f>O88-P88</f>
        <v/>
      </c>
      <c r="R88" s="31">
        <f>IF(O88=0,0,Q88/O88)</f>
        <v/>
      </c>
      <c r="S88">
        <f>XLOOKUP(F88,Lookups!$B$7:$B$11,Lookups!$C$7:$C$11,"Unknown")</f>
        <v/>
      </c>
      <c r="T88" s="31">
        <f>XLOOKUP(G88,Lookups!$E$7:$E$11,Lookups!$F$7:$F$11,0)</f>
        <v/>
      </c>
      <c r="U88" s="32">
        <f>R88-T88</f>
        <v/>
      </c>
      <c r="V88">
        <f>XLOOKUP(I88,Lookups!$H$7:$H$10,Lookups!$I$7:$I$10,"")</f>
        <v/>
      </c>
      <c r="W88">
        <f>IF(O88&gt;=50000,"HIGH VALUE","")</f>
        <v/>
      </c>
      <c r="X88">
        <f>IF(Q88&lt;0,"LOSS","")</f>
        <v/>
      </c>
      <c r="Y88">
        <f>IFS(M88&gt;=0.15,"Deep Discount",M88&gt;=0.1,"Moderate",TRUE,"Standard")</f>
        <v/>
      </c>
    </row>
    <row r="89">
      <c r="A89">
        <f>Raw_Data!A89</f>
        <v/>
      </c>
      <c r="B89" s="29">
        <f>Raw_Data!B89</f>
        <v/>
      </c>
      <c r="C89">
        <f>YEAR(B89)</f>
        <v/>
      </c>
      <c r="D89">
        <f>MONTH(B89)</f>
        <v/>
      </c>
      <c r="E89">
        <f>TEXT(B89,"MMM-YYYY")</f>
        <v/>
      </c>
      <c r="F89">
        <f>Raw_Data!C89</f>
        <v/>
      </c>
      <c r="G89">
        <f>Raw_Data!D89</f>
        <v/>
      </c>
      <c r="H89">
        <f>Raw_Data!E89</f>
        <v/>
      </c>
      <c r="I89">
        <f>Raw_Data!F89</f>
        <v/>
      </c>
      <c r="J89">
        <f>Raw_Data!G89</f>
        <v/>
      </c>
      <c r="K89">
        <f>Raw_Data!H89</f>
        <v/>
      </c>
      <c r="L89" s="30">
        <f>Raw_Data!I89</f>
        <v/>
      </c>
      <c r="M89" s="31">
        <f>Raw_Data!J89</f>
        <v/>
      </c>
      <c r="N89" s="17">
        <f>K89*L89</f>
        <v/>
      </c>
      <c r="O89" s="17">
        <f>N89*(1-M89)</f>
        <v/>
      </c>
      <c r="P89" s="17">
        <f>Raw_Data!L89</f>
        <v/>
      </c>
      <c r="Q89" s="17">
        <f>O89-P89</f>
        <v/>
      </c>
      <c r="R89" s="31">
        <f>IF(O89=0,0,Q89/O89)</f>
        <v/>
      </c>
      <c r="S89">
        <f>XLOOKUP(F89,Lookups!$B$7:$B$11,Lookups!$C$7:$C$11,"Unknown")</f>
        <v/>
      </c>
      <c r="T89" s="31">
        <f>XLOOKUP(G89,Lookups!$E$7:$E$11,Lookups!$F$7:$F$11,0)</f>
        <v/>
      </c>
      <c r="U89" s="32">
        <f>R89-T89</f>
        <v/>
      </c>
      <c r="V89">
        <f>XLOOKUP(I89,Lookups!$H$7:$H$10,Lookups!$I$7:$I$10,"")</f>
        <v/>
      </c>
      <c r="W89">
        <f>IF(O89&gt;=50000,"HIGH VALUE","")</f>
        <v/>
      </c>
      <c r="X89">
        <f>IF(Q89&lt;0,"LOSS","")</f>
        <v/>
      </c>
      <c r="Y89">
        <f>IFS(M89&gt;=0.15,"Deep Discount",M89&gt;=0.1,"Moderate",TRUE,"Standard")</f>
        <v/>
      </c>
    </row>
    <row r="90">
      <c r="A90">
        <f>Raw_Data!A90</f>
        <v/>
      </c>
      <c r="B90" s="29">
        <f>Raw_Data!B90</f>
        <v/>
      </c>
      <c r="C90">
        <f>YEAR(B90)</f>
        <v/>
      </c>
      <c r="D90">
        <f>MONTH(B90)</f>
        <v/>
      </c>
      <c r="E90">
        <f>TEXT(B90,"MMM-YYYY")</f>
        <v/>
      </c>
      <c r="F90">
        <f>Raw_Data!C90</f>
        <v/>
      </c>
      <c r="G90">
        <f>Raw_Data!D90</f>
        <v/>
      </c>
      <c r="H90">
        <f>Raw_Data!E90</f>
        <v/>
      </c>
      <c r="I90">
        <f>Raw_Data!F90</f>
        <v/>
      </c>
      <c r="J90">
        <f>Raw_Data!G90</f>
        <v/>
      </c>
      <c r="K90">
        <f>Raw_Data!H90</f>
        <v/>
      </c>
      <c r="L90" s="30">
        <f>Raw_Data!I90</f>
        <v/>
      </c>
      <c r="M90" s="31">
        <f>Raw_Data!J90</f>
        <v/>
      </c>
      <c r="N90" s="17">
        <f>K90*L90</f>
        <v/>
      </c>
      <c r="O90" s="17">
        <f>N90*(1-M90)</f>
        <v/>
      </c>
      <c r="P90" s="17">
        <f>Raw_Data!L90</f>
        <v/>
      </c>
      <c r="Q90" s="17">
        <f>O90-P90</f>
        <v/>
      </c>
      <c r="R90" s="31">
        <f>IF(O90=0,0,Q90/O90)</f>
        <v/>
      </c>
      <c r="S90">
        <f>XLOOKUP(F90,Lookups!$B$7:$B$11,Lookups!$C$7:$C$11,"Unknown")</f>
        <v/>
      </c>
      <c r="T90" s="31">
        <f>XLOOKUP(G90,Lookups!$E$7:$E$11,Lookups!$F$7:$F$11,0)</f>
        <v/>
      </c>
      <c r="U90" s="32">
        <f>R90-T90</f>
        <v/>
      </c>
      <c r="V90">
        <f>XLOOKUP(I90,Lookups!$H$7:$H$10,Lookups!$I$7:$I$10,"")</f>
        <v/>
      </c>
      <c r="W90">
        <f>IF(O90&gt;=50000,"HIGH VALUE","")</f>
        <v/>
      </c>
      <c r="X90">
        <f>IF(Q90&lt;0,"LOSS","")</f>
        <v/>
      </c>
      <c r="Y90">
        <f>IFS(M90&gt;=0.15,"Deep Discount",M90&gt;=0.1,"Moderate",TRUE,"Standard")</f>
        <v/>
      </c>
    </row>
    <row r="91">
      <c r="A91">
        <f>Raw_Data!A91</f>
        <v/>
      </c>
      <c r="B91" s="29">
        <f>Raw_Data!B91</f>
        <v/>
      </c>
      <c r="C91">
        <f>YEAR(B91)</f>
        <v/>
      </c>
      <c r="D91">
        <f>MONTH(B91)</f>
        <v/>
      </c>
      <c r="E91">
        <f>TEXT(B91,"MMM-YYYY")</f>
        <v/>
      </c>
      <c r="F91">
        <f>Raw_Data!C91</f>
        <v/>
      </c>
      <c r="G91">
        <f>Raw_Data!D91</f>
        <v/>
      </c>
      <c r="H91">
        <f>Raw_Data!E91</f>
        <v/>
      </c>
      <c r="I91">
        <f>Raw_Data!F91</f>
        <v/>
      </c>
      <c r="J91">
        <f>Raw_Data!G91</f>
        <v/>
      </c>
      <c r="K91">
        <f>Raw_Data!H91</f>
        <v/>
      </c>
      <c r="L91" s="30">
        <f>Raw_Data!I91</f>
        <v/>
      </c>
      <c r="M91" s="31">
        <f>Raw_Data!J91</f>
        <v/>
      </c>
      <c r="N91" s="17">
        <f>K91*L91</f>
        <v/>
      </c>
      <c r="O91" s="17">
        <f>N91*(1-M91)</f>
        <v/>
      </c>
      <c r="P91" s="17">
        <f>Raw_Data!L91</f>
        <v/>
      </c>
      <c r="Q91" s="17">
        <f>O91-P91</f>
        <v/>
      </c>
      <c r="R91" s="31">
        <f>IF(O91=0,0,Q91/O91)</f>
        <v/>
      </c>
      <c r="S91">
        <f>XLOOKUP(F91,Lookups!$B$7:$B$11,Lookups!$C$7:$C$11,"Unknown")</f>
        <v/>
      </c>
      <c r="T91" s="31">
        <f>XLOOKUP(G91,Lookups!$E$7:$E$11,Lookups!$F$7:$F$11,0)</f>
        <v/>
      </c>
      <c r="U91" s="32">
        <f>R91-T91</f>
        <v/>
      </c>
      <c r="V91">
        <f>XLOOKUP(I91,Lookups!$H$7:$H$10,Lookups!$I$7:$I$10,"")</f>
        <v/>
      </c>
      <c r="W91">
        <f>IF(O91&gt;=50000,"HIGH VALUE","")</f>
        <v/>
      </c>
      <c r="X91">
        <f>IF(Q91&lt;0,"LOSS","")</f>
        <v/>
      </c>
      <c r="Y91">
        <f>IFS(M91&gt;=0.15,"Deep Discount",M91&gt;=0.1,"Moderate",TRUE,"Standard")</f>
        <v/>
      </c>
    </row>
    <row r="92">
      <c r="A92">
        <f>Raw_Data!A92</f>
        <v/>
      </c>
      <c r="B92" s="29">
        <f>Raw_Data!B92</f>
        <v/>
      </c>
      <c r="C92">
        <f>YEAR(B92)</f>
        <v/>
      </c>
      <c r="D92">
        <f>MONTH(B92)</f>
        <v/>
      </c>
      <c r="E92">
        <f>TEXT(B92,"MMM-YYYY")</f>
        <v/>
      </c>
      <c r="F92">
        <f>Raw_Data!C92</f>
        <v/>
      </c>
      <c r="G92">
        <f>Raw_Data!D92</f>
        <v/>
      </c>
      <c r="H92">
        <f>Raw_Data!E92</f>
        <v/>
      </c>
      <c r="I92">
        <f>Raw_Data!F92</f>
        <v/>
      </c>
      <c r="J92">
        <f>Raw_Data!G92</f>
        <v/>
      </c>
      <c r="K92">
        <f>Raw_Data!H92</f>
        <v/>
      </c>
      <c r="L92" s="30">
        <f>Raw_Data!I92</f>
        <v/>
      </c>
      <c r="M92" s="31">
        <f>Raw_Data!J92</f>
        <v/>
      </c>
      <c r="N92" s="17">
        <f>K92*L92</f>
        <v/>
      </c>
      <c r="O92" s="17">
        <f>N92*(1-M92)</f>
        <v/>
      </c>
      <c r="P92" s="17">
        <f>Raw_Data!L92</f>
        <v/>
      </c>
      <c r="Q92" s="17">
        <f>O92-P92</f>
        <v/>
      </c>
      <c r="R92" s="31">
        <f>IF(O92=0,0,Q92/O92)</f>
        <v/>
      </c>
      <c r="S92">
        <f>XLOOKUP(F92,Lookups!$B$7:$B$11,Lookups!$C$7:$C$11,"Unknown")</f>
        <v/>
      </c>
      <c r="T92" s="31">
        <f>XLOOKUP(G92,Lookups!$E$7:$E$11,Lookups!$F$7:$F$11,0)</f>
        <v/>
      </c>
      <c r="U92" s="32">
        <f>R92-T92</f>
        <v/>
      </c>
      <c r="V92">
        <f>XLOOKUP(I92,Lookups!$H$7:$H$10,Lookups!$I$7:$I$10,"")</f>
        <v/>
      </c>
      <c r="W92">
        <f>IF(O92&gt;=50000,"HIGH VALUE","")</f>
        <v/>
      </c>
      <c r="X92">
        <f>IF(Q92&lt;0,"LOSS","")</f>
        <v/>
      </c>
      <c r="Y92">
        <f>IFS(M92&gt;=0.15,"Deep Discount",M92&gt;=0.1,"Moderate",TRUE,"Standard")</f>
        <v/>
      </c>
    </row>
    <row r="93">
      <c r="A93">
        <f>Raw_Data!A93</f>
        <v/>
      </c>
      <c r="B93" s="29">
        <f>Raw_Data!B93</f>
        <v/>
      </c>
      <c r="C93">
        <f>YEAR(B93)</f>
        <v/>
      </c>
      <c r="D93">
        <f>MONTH(B93)</f>
        <v/>
      </c>
      <c r="E93">
        <f>TEXT(B93,"MMM-YYYY")</f>
        <v/>
      </c>
      <c r="F93">
        <f>Raw_Data!C93</f>
        <v/>
      </c>
      <c r="G93">
        <f>Raw_Data!D93</f>
        <v/>
      </c>
      <c r="H93">
        <f>Raw_Data!E93</f>
        <v/>
      </c>
      <c r="I93">
        <f>Raw_Data!F93</f>
        <v/>
      </c>
      <c r="J93">
        <f>Raw_Data!G93</f>
        <v/>
      </c>
      <c r="K93">
        <f>Raw_Data!H93</f>
        <v/>
      </c>
      <c r="L93" s="30">
        <f>Raw_Data!I93</f>
        <v/>
      </c>
      <c r="M93" s="31">
        <f>Raw_Data!J93</f>
        <v/>
      </c>
      <c r="N93" s="17">
        <f>K93*L93</f>
        <v/>
      </c>
      <c r="O93" s="17">
        <f>N93*(1-M93)</f>
        <v/>
      </c>
      <c r="P93" s="17">
        <f>Raw_Data!L93</f>
        <v/>
      </c>
      <c r="Q93" s="17">
        <f>O93-P93</f>
        <v/>
      </c>
      <c r="R93" s="31">
        <f>IF(O93=0,0,Q93/O93)</f>
        <v/>
      </c>
      <c r="S93">
        <f>XLOOKUP(F93,Lookups!$B$7:$B$11,Lookups!$C$7:$C$11,"Unknown")</f>
        <v/>
      </c>
      <c r="T93" s="31">
        <f>XLOOKUP(G93,Lookups!$E$7:$E$11,Lookups!$F$7:$F$11,0)</f>
        <v/>
      </c>
      <c r="U93" s="32">
        <f>R93-T93</f>
        <v/>
      </c>
      <c r="V93">
        <f>XLOOKUP(I93,Lookups!$H$7:$H$10,Lookups!$I$7:$I$10,"")</f>
        <v/>
      </c>
      <c r="W93">
        <f>IF(O93&gt;=50000,"HIGH VALUE","")</f>
        <v/>
      </c>
      <c r="X93">
        <f>IF(Q93&lt;0,"LOSS","")</f>
        <v/>
      </c>
      <c r="Y93">
        <f>IFS(M93&gt;=0.15,"Deep Discount",M93&gt;=0.1,"Moderate",TRUE,"Standard")</f>
        <v/>
      </c>
    </row>
    <row r="94">
      <c r="A94">
        <f>Raw_Data!A94</f>
        <v/>
      </c>
      <c r="B94" s="29">
        <f>Raw_Data!B94</f>
        <v/>
      </c>
      <c r="C94">
        <f>YEAR(B94)</f>
        <v/>
      </c>
      <c r="D94">
        <f>MONTH(B94)</f>
        <v/>
      </c>
      <c r="E94">
        <f>TEXT(B94,"MMM-YYYY")</f>
        <v/>
      </c>
      <c r="F94">
        <f>Raw_Data!C94</f>
        <v/>
      </c>
      <c r="G94">
        <f>Raw_Data!D94</f>
        <v/>
      </c>
      <c r="H94">
        <f>Raw_Data!E94</f>
        <v/>
      </c>
      <c r="I94">
        <f>Raw_Data!F94</f>
        <v/>
      </c>
      <c r="J94">
        <f>Raw_Data!G94</f>
        <v/>
      </c>
      <c r="K94">
        <f>Raw_Data!H94</f>
        <v/>
      </c>
      <c r="L94" s="30">
        <f>Raw_Data!I94</f>
        <v/>
      </c>
      <c r="M94" s="31">
        <f>Raw_Data!J94</f>
        <v/>
      </c>
      <c r="N94" s="17">
        <f>K94*L94</f>
        <v/>
      </c>
      <c r="O94" s="17">
        <f>N94*(1-M94)</f>
        <v/>
      </c>
      <c r="P94" s="17">
        <f>Raw_Data!L94</f>
        <v/>
      </c>
      <c r="Q94" s="17">
        <f>O94-P94</f>
        <v/>
      </c>
      <c r="R94" s="31">
        <f>IF(O94=0,0,Q94/O94)</f>
        <v/>
      </c>
      <c r="S94">
        <f>XLOOKUP(F94,Lookups!$B$7:$B$11,Lookups!$C$7:$C$11,"Unknown")</f>
        <v/>
      </c>
      <c r="T94" s="31">
        <f>XLOOKUP(G94,Lookups!$E$7:$E$11,Lookups!$F$7:$F$11,0)</f>
        <v/>
      </c>
      <c r="U94" s="32">
        <f>R94-T94</f>
        <v/>
      </c>
      <c r="V94">
        <f>XLOOKUP(I94,Lookups!$H$7:$H$10,Lookups!$I$7:$I$10,"")</f>
        <v/>
      </c>
      <c r="W94">
        <f>IF(O94&gt;=50000,"HIGH VALUE","")</f>
        <v/>
      </c>
      <c r="X94">
        <f>IF(Q94&lt;0,"LOSS","")</f>
        <v/>
      </c>
      <c r="Y94">
        <f>IFS(M94&gt;=0.15,"Deep Discount",M94&gt;=0.1,"Moderate",TRUE,"Standard")</f>
        <v/>
      </c>
    </row>
    <row r="95">
      <c r="A95">
        <f>Raw_Data!A95</f>
        <v/>
      </c>
      <c r="B95" s="29">
        <f>Raw_Data!B95</f>
        <v/>
      </c>
      <c r="C95">
        <f>YEAR(B95)</f>
        <v/>
      </c>
      <c r="D95">
        <f>MONTH(B95)</f>
        <v/>
      </c>
      <c r="E95">
        <f>TEXT(B95,"MMM-YYYY")</f>
        <v/>
      </c>
      <c r="F95">
        <f>Raw_Data!C95</f>
        <v/>
      </c>
      <c r="G95">
        <f>Raw_Data!D95</f>
        <v/>
      </c>
      <c r="H95">
        <f>Raw_Data!E95</f>
        <v/>
      </c>
      <c r="I95">
        <f>Raw_Data!F95</f>
        <v/>
      </c>
      <c r="J95">
        <f>Raw_Data!G95</f>
        <v/>
      </c>
      <c r="K95">
        <f>Raw_Data!H95</f>
        <v/>
      </c>
      <c r="L95" s="30">
        <f>Raw_Data!I95</f>
        <v/>
      </c>
      <c r="M95" s="31">
        <f>Raw_Data!J95</f>
        <v/>
      </c>
      <c r="N95" s="17">
        <f>K95*L95</f>
        <v/>
      </c>
      <c r="O95" s="17">
        <f>N95*(1-M95)</f>
        <v/>
      </c>
      <c r="P95" s="17">
        <f>Raw_Data!L95</f>
        <v/>
      </c>
      <c r="Q95" s="17">
        <f>O95-P95</f>
        <v/>
      </c>
      <c r="R95" s="31">
        <f>IF(O95=0,0,Q95/O95)</f>
        <v/>
      </c>
      <c r="S95">
        <f>XLOOKUP(F95,Lookups!$B$7:$B$11,Lookups!$C$7:$C$11,"Unknown")</f>
        <v/>
      </c>
      <c r="T95" s="31">
        <f>XLOOKUP(G95,Lookups!$E$7:$E$11,Lookups!$F$7:$F$11,0)</f>
        <v/>
      </c>
      <c r="U95" s="32">
        <f>R95-T95</f>
        <v/>
      </c>
      <c r="V95">
        <f>XLOOKUP(I95,Lookups!$H$7:$H$10,Lookups!$I$7:$I$10,"")</f>
        <v/>
      </c>
      <c r="W95">
        <f>IF(O95&gt;=50000,"HIGH VALUE","")</f>
        <v/>
      </c>
      <c r="X95">
        <f>IF(Q95&lt;0,"LOSS","")</f>
        <v/>
      </c>
      <c r="Y95">
        <f>IFS(M95&gt;=0.15,"Deep Discount",M95&gt;=0.1,"Moderate",TRUE,"Standard")</f>
        <v/>
      </c>
    </row>
    <row r="96">
      <c r="A96">
        <f>Raw_Data!A96</f>
        <v/>
      </c>
      <c r="B96" s="29">
        <f>Raw_Data!B96</f>
        <v/>
      </c>
      <c r="C96">
        <f>YEAR(B96)</f>
        <v/>
      </c>
      <c r="D96">
        <f>MONTH(B96)</f>
        <v/>
      </c>
      <c r="E96">
        <f>TEXT(B96,"MMM-YYYY")</f>
        <v/>
      </c>
      <c r="F96">
        <f>Raw_Data!C96</f>
        <v/>
      </c>
      <c r="G96">
        <f>Raw_Data!D96</f>
        <v/>
      </c>
      <c r="H96">
        <f>Raw_Data!E96</f>
        <v/>
      </c>
      <c r="I96">
        <f>Raw_Data!F96</f>
        <v/>
      </c>
      <c r="J96">
        <f>Raw_Data!G96</f>
        <v/>
      </c>
      <c r="K96">
        <f>Raw_Data!H96</f>
        <v/>
      </c>
      <c r="L96" s="30">
        <f>Raw_Data!I96</f>
        <v/>
      </c>
      <c r="M96" s="31">
        <f>Raw_Data!J96</f>
        <v/>
      </c>
      <c r="N96" s="17">
        <f>K96*L96</f>
        <v/>
      </c>
      <c r="O96" s="17">
        <f>N96*(1-M96)</f>
        <v/>
      </c>
      <c r="P96" s="17">
        <f>Raw_Data!L96</f>
        <v/>
      </c>
      <c r="Q96" s="17">
        <f>O96-P96</f>
        <v/>
      </c>
      <c r="R96" s="31">
        <f>IF(O96=0,0,Q96/O96)</f>
        <v/>
      </c>
      <c r="S96">
        <f>XLOOKUP(F96,Lookups!$B$7:$B$11,Lookups!$C$7:$C$11,"Unknown")</f>
        <v/>
      </c>
      <c r="T96" s="31">
        <f>XLOOKUP(G96,Lookups!$E$7:$E$11,Lookups!$F$7:$F$11,0)</f>
        <v/>
      </c>
      <c r="U96" s="32">
        <f>R96-T96</f>
        <v/>
      </c>
      <c r="V96">
        <f>XLOOKUP(I96,Lookups!$H$7:$H$10,Lookups!$I$7:$I$10,"")</f>
        <v/>
      </c>
      <c r="W96">
        <f>IF(O96&gt;=50000,"HIGH VALUE","")</f>
        <v/>
      </c>
      <c r="X96">
        <f>IF(Q96&lt;0,"LOSS","")</f>
        <v/>
      </c>
      <c r="Y96">
        <f>IFS(M96&gt;=0.15,"Deep Discount",M96&gt;=0.1,"Moderate",TRUE,"Standard")</f>
        <v/>
      </c>
    </row>
    <row r="97">
      <c r="A97">
        <f>Raw_Data!A97</f>
        <v/>
      </c>
      <c r="B97" s="29">
        <f>Raw_Data!B97</f>
        <v/>
      </c>
      <c r="C97">
        <f>YEAR(B97)</f>
        <v/>
      </c>
      <c r="D97">
        <f>MONTH(B97)</f>
        <v/>
      </c>
      <c r="E97">
        <f>TEXT(B97,"MMM-YYYY")</f>
        <v/>
      </c>
      <c r="F97">
        <f>Raw_Data!C97</f>
        <v/>
      </c>
      <c r="G97">
        <f>Raw_Data!D97</f>
        <v/>
      </c>
      <c r="H97">
        <f>Raw_Data!E97</f>
        <v/>
      </c>
      <c r="I97">
        <f>Raw_Data!F97</f>
        <v/>
      </c>
      <c r="J97">
        <f>Raw_Data!G97</f>
        <v/>
      </c>
      <c r="K97">
        <f>Raw_Data!H97</f>
        <v/>
      </c>
      <c r="L97" s="30">
        <f>Raw_Data!I97</f>
        <v/>
      </c>
      <c r="M97" s="31">
        <f>Raw_Data!J97</f>
        <v/>
      </c>
      <c r="N97" s="17">
        <f>K97*L97</f>
        <v/>
      </c>
      <c r="O97" s="17">
        <f>N97*(1-M97)</f>
        <v/>
      </c>
      <c r="P97" s="17">
        <f>Raw_Data!L97</f>
        <v/>
      </c>
      <c r="Q97" s="17">
        <f>O97-P97</f>
        <v/>
      </c>
      <c r="R97" s="31">
        <f>IF(O97=0,0,Q97/O97)</f>
        <v/>
      </c>
      <c r="S97">
        <f>XLOOKUP(F97,Lookups!$B$7:$B$11,Lookups!$C$7:$C$11,"Unknown")</f>
        <v/>
      </c>
      <c r="T97" s="31">
        <f>XLOOKUP(G97,Lookups!$E$7:$E$11,Lookups!$F$7:$F$11,0)</f>
        <v/>
      </c>
      <c r="U97" s="32">
        <f>R97-T97</f>
        <v/>
      </c>
      <c r="V97">
        <f>XLOOKUP(I97,Lookups!$H$7:$H$10,Lookups!$I$7:$I$10,"")</f>
        <v/>
      </c>
      <c r="W97">
        <f>IF(O97&gt;=50000,"HIGH VALUE","")</f>
        <v/>
      </c>
      <c r="X97">
        <f>IF(Q97&lt;0,"LOSS","")</f>
        <v/>
      </c>
      <c r="Y97">
        <f>IFS(M97&gt;=0.15,"Deep Discount",M97&gt;=0.1,"Moderate",TRUE,"Standard")</f>
        <v/>
      </c>
    </row>
    <row r="98">
      <c r="A98">
        <f>Raw_Data!A98</f>
        <v/>
      </c>
      <c r="B98" s="29">
        <f>Raw_Data!B98</f>
        <v/>
      </c>
      <c r="C98">
        <f>YEAR(B98)</f>
        <v/>
      </c>
      <c r="D98">
        <f>MONTH(B98)</f>
        <v/>
      </c>
      <c r="E98">
        <f>TEXT(B98,"MMM-YYYY")</f>
        <v/>
      </c>
      <c r="F98">
        <f>Raw_Data!C98</f>
        <v/>
      </c>
      <c r="G98">
        <f>Raw_Data!D98</f>
        <v/>
      </c>
      <c r="H98">
        <f>Raw_Data!E98</f>
        <v/>
      </c>
      <c r="I98">
        <f>Raw_Data!F98</f>
        <v/>
      </c>
      <c r="J98">
        <f>Raw_Data!G98</f>
        <v/>
      </c>
      <c r="K98">
        <f>Raw_Data!H98</f>
        <v/>
      </c>
      <c r="L98" s="30">
        <f>Raw_Data!I98</f>
        <v/>
      </c>
      <c r="M98" s="31">
        <f>Raw_Data!J98</f>
        <v/>
      </c>
      <c r="N98" s="17">
        <f>K98*L98</f>
        <v/>
      </c>
      <c r="O98" s="17">
        <f>N98*(1-M98)</f>
        <v/>
      </c>
      <c r="P98" s="17">
        <f>Raw_Data!L98</f>
        <v/>
      </c>
      <c r="Q98" s="17">
        <f>O98-P98</f>
        <v/>
      </c>
      <c r="R98" s="31">
        <f>IF(O98=0,0,Q98/O98)</f>
        <v/>
      </c>
      <c r="S98">
        <f>XLOOKUP(F98,Lookups!$B$7:$B$11,Lookups!$C$7:$C$11,"Unknown")</f>
        <v/>
      </c>
      <c r="T98" s="31">
        <f>XLOOKUP(G98,Lookups!$E$7:$E$11,Lookups!$F$7:$F$11,0)</f>
        <v/>
      </c>
      <c r="U98" s="32">
        <f>R98-T98</f>
        <v/>
      </c>
      <c r="V98">
        <f>XLOOKUP(I98,Lookups!$H$7:$H$10,Lookups!$I$7:$I$10,"")</f>
        <v/>
      </c>
      <c r="W98">
        <f>IF(O98&gt;=50000,"HIGH VALUE","")</f>
        <v/>
      </c>
      <c r="X98">
        <f>IF(Q98&lt;0,"LOSS","")</f>
        <v/>
      </c>
      <c r="Y98">
        <f>IFS(M98&gt;=0.15,"Deep Discount",M98&gt;=0.1,"Moderate",TRUE,"Standard")</f>
        <v/>
      </c>
    </row>
    <row r="99">
      <c r="A99">
        <f>Raw_Data!A99</f>
        <v/>
      </c>
      <c r="B99" s="29">
        <f>Raw_Data!B99</f>
        <v/>
      </c>
      <c r="C99">
        <f>YEAR(B99)</f>
        <v/>
      </c>
      <c r="D99">
        <f>MONTH(B99)</f>
        <v/>
      </c>
      <c r="E99">
        <f>TEXT(B99,"MMM-YYYY")</f>
        <v/>
      </c>
      <c r="F99">
        <f>Raw_Data!C99</f>
        <v/>
      </c>
      <c r="G99">
        <f>Raw_Data!D99</f>
        <v/>
      </c>
      <c r="H99">
        <f>Raw_Data!E99</f>
        <v/>
      </c>
      <c r="I99">
        <f>Raw_Data!F99</f>
        <v/>
      </c>
      <c r="J99">
        <f>Raw_Data!G99</f>
        <v/>
      </c>
      <c r="K99">
        <f>Raw_Data!H99</f>
        <v/>
      </c>
      <c r="L99" s="30">
        <f>Raw_Data!I99</f>
        <v/>
      </c>
      <c r="M99" s="31">
        <f>Raw_Data!J99</f>
        <v/>
      </c>
      <c r="N99" s="17">
        <f>K99*L99</f>
        <v/>
      </c>
      <c r="O99" s="17">
        <f>N99*(1-M99)</f>
        <v/>
      </c>
      <c r="P99" s="17">
        <f>Raw_Data!L99</f>
        <v/>
      </c>
      <c r="Q99" s="17">
        <f>O99-P99</f>
        <v/>
      </c>
      <c r="R99" s="31">
        <f>IF(O99=0,0,Q99/O99)</f>
        <v/>
      </c>
      <c r="S99">
        <f>XLOOKUP(F99,Lookups!$B$7:$B$11,Lookups!$C$7:$C$11,"Unknown")</f>
        <v/>
      </c>
      <c r="T99" s="31">
        <f>XLOOKUP(G99,Lookups!$E$7:$E$11,Lookups!$F$7:$F$11,0)</f>
        <v/>
      </c>
      <c r="U99" s="32">
        <f>R99-T99</f>
        <v/>
      </c>
      <c r="V99">
        <f>XLOOKUP(I99,Lookups!$H$7:$H$10,Lookups!$I$7:$I$10,"")</f>
        <v/>
      </c>
      <c r="W99">
        <f>IF(O99&gt;=50000,"HIGH VALUE","")</f>
        <v/>
      </c>
      <c r="X99">
        <f>IF(Q99&lt;0,"LOSS","")</f>
        <v/>
      </c>
      <c r="Y99">
        <f>IFS(M99&gt;=0.15,"Deep Discount",M99&gt;=0.1,"Moderate",TRUE,"Standard")</f>
        <v/>
      </c>
    </row>
    <row r="100">
      <c r="A100">
        <f>Raw_Data!A100</f>
        <v/>
      </c>
      <c r="B100" s="29">
        <f>Raw_Data!B100</f>
        <v/>
      </c>
      <c r="C100">
        <f>YEAR(B100)</f>
        <v/>
      </c>
      <c r="D100">
        <f>MONTH(B100)</f>
        <v/>
      </c>
      <c r="E100">
        <f>TEXT(B100,"MMM-YYYY")</f>
        <v/>
      </c>
      <c r="F100">
        <f>Raw_Data!C100</f>
        <v/>
      </c>
      <c r="G100">
        <f>Raw_Data!D100</f>
        <v/>
      </c>
      <c r="H100">
        <f>Raw_Data!E100</f>
        <v/>
      </c>
      <c r="I100">
        <f>Raw_Data!F100</f>
        <v/>
      </c>
      <c r="J100">
        <f>Raw_Data!G100</f>
        <v/>
      </c>
      <c r="K100">
        <f>Raw_Data!H100</f>
        <v/>
      </c>
      <c r="L100" s="30">
        <f>Raw_Data!I100</f>
        <v/>
      </c>
      <c r="M100" s="31">
        <f>Raw_Data!J100</f>
        <v/>
      </c>
      <c r="N100" s="17">
        <f>K100*L100</f>
        <v/>
      </c>
      <c r="O100" s="17">
        <f>N100*(1-M100)</f>
        <v/>
      </c>
      <c r="P100" s="17">
        <f>Raw_Data!L100</f>
        <v/>
      </c>
      <c r="Q100" s="17">
        <f>O100-P100</f>
        <v/>
      </c>
      <c r="R100" s="31">
        <f>IF(O100=0,0,Q100/O100)</f>
        <v/>
      </c>
      <c r="S100">
        <f>XLOOKUP(F100,Lookups!$B$7:$B$11,Lookups!$C$7:$C$11,"Unknown")</f>
        <v/>
      </c>
      <c r="T100" s="31">
        <f>XLOOKUP(G100,Lookups!$E$7:$E$11,Lookups!$F$7:$F$11,0)</f>
        <v/>
      </c>
      <c r="U100" s="32">
        <f>R100-T100</f>
        <v/>
      </c>
      <c r="V100">
        <f>XLOOKUP(I100,Lookups!$H$7:$H$10,Lookups!$I$7:$I$10,"")</f>
        <v/>
      </c>
      <c r="W100">
        <f>IF(O100&gt;=50000,"HIGH VALUE","")</f>
        <v/>
      </c>
      <c r="X100">
        <f>IF(Q100&lt;0,"LOSS","")</f>
        <v/>
      </c>
      <c r="Y100">
        <f>IFS(M100&gt;=0.15,"Deep Discount",M100&gt;=0.1,"Moderate",TRUE,"Standard")</f>
        <v/>
      </c>
    </row>
    <row r="101">
      <c r="A101">
        <f>Raw_Data!A101</f>
        <v/>
      </c>
      <c r="B101" s="29">
        <f>Raw_Data!B101</f>
        <v/>
      </c>
      <c r="C101">
        <f>YEAR(B101)</f>
        <v/>
      </c>
      <c r="D101">
        <f>MONTH(B101)</f>
        <v/>
      </c>
      <c r="E101">
        <f>TEXT(B101,"MMM-YYYY")</f>
        <v/>
      </c>
      <c r="F101">
        <f>Raw_Data!C101</f>
        <v/>
      </c>
      <c r="G101">
        <f>Raw_Data!D101</f>
        <v/>
      </c>
      <c r="H101">
        <f>Raw_Data!E101</f>
        <v/>
      </c>
      <c r="I101">
        <f>Raw_Data!F101</f>
        <v/>
      </c>
      <c r="J101">
        <f>Raw_Data!G101</f>
        <v/>
      </c>
      <c r="K101">
        <f>Raw_Data!H101</f>
        <v/>
      </c>
      <c r="L101" s="30">
        <f>Raw_Data!I101</f>
        <v/>
      </c>
      <c r="M101" s="31">
        <f>Raw_Data!J101</f>
        <v/>
      </c>
      <c r="N101" s="17">
        <f>K101*L101</f>
        <v/>
      </c>
      <c r="O101" s="17">
        <f>N101*(1-M101)</f>
        <v/>
      </c>
      <c r="P101" s="17">
        <f>Raw_Data!L101</f>
        <v/>
      </c>
      <c r="Q101" s="17">
        <f>O101-P101</f>
        <v/>
      </c>
      <c r="R101" s="31">
        <f>IF(O101=0,0,Q101/O101)</f>
        <v/>
      </c>
      <c r="S101">
        <f>XLOOKUP(F101,Lookups!$B$7:$B$11,Lookups!$C$7:$C$11,"Unknown")</f>
        <v/>
      </c>
      <c r="T101" s="31">
        <f>XLOOKUP(G101,Lookups!$E$7:$E$11,Lookups!$F$7:$F$11,0)</f>
        <v/>
      </c>
      <c r="U101" s="32">
        <f>R101-T101</f>
        <v/>
      </c>
      <c r="V101">
        <f>XLOOKUP(I101,Lookups!$H$7:$H$10,Lookups!$I$7:$I$10,"")</f>
        <v/>
      </c>
      <c r="W101">
        <f>IF(O101&gt;=50000,"HIGH VALUE","")</f>
        <v/>
      </c>
      <c r="X101">
        <f>IF(Q101&lt;0,"LOSS","")</f>
        <v/>
      </c>
      <c r="Y101">
        <f>IFS(M101&gt;=0.15,"Deep Discount",M101&gt;=0.1,"Moderate",TRUE,"Standard")</f>
        <v/>
      </c>
    </row>
    <row r="102">
      <c r="A102">
        <f>Raw_Data!A102</f>
        <v/>
      </c>
      <c r="B102" s="29">
        <f>Raw_Data!B102</f>
        <v/>
      </c>
      <c r="C102">
        <f>YEAR(B102)</f>
        <v/>
      </c>
      <c r="D102">
        <f>MONTH(B102)</f>
        <v/>
      </c>
      <c r="E102">
        <f>TEXT(B102,"MMM-YYYY")</f>
        <v/>
      </c>
      <c r="F102">
        <f>Raw_Data!C102</f>
        <v/>
      </c>
      <c r="G102">
        <f>Raw_Data!D102</f>
        <v/>
      </c>
      <c r="H102">
        <f>Raw_Data!E102</f>
        <v/>
      </c>
      <c r="I102">
        <f>Raw_Data!F102</f>
        <v/>
      </c>
      <c r="J102">
        <f>Raw_Data!G102</f>
        <v/>
      </c>
      <c r="K102">
        <f>Raw_Data!H102</f>
        <v/>
      </c>
      <c r="L102" s="30">
        <f>Raw_Data!I102</f>
        <v/>
      </c>
      <c r="M102" s="31">
        <f>Raw_Data!J102</f>
        <v/>
      </c>
      <c r="N102" s="17">
        <f>K102*L102</f>
        <v/>
      </c>
      <c r="O102" s="17">
        <f>N102*(1-M102)</f>
        <v/>
      </c>
      <c r="P102" s="17">
        <f>Raw_Data!L102</f>
        <v/>
      </c>
      <c r="Q102" s="17">
        <f>O102-P102</f>
        <v/>
      </c>
      <c r="R102" s="31">
        <f>IF(O102=0,0,Q102/O102)</f>
        <v/>
      </c>
      <c r="S102">
        <f>XLOOKUP(F102,Lookups!$B$7:$B$11,Lookups!$C$7:$C$11,"Unknown")</f>
        <v/>
      </c>
      <c r="T102" s="31">
        <f>XLOOKUP(G102,Lookups!$E$7:$E$11,Lookups!$F$7:$F$11,0)</f>
        <v/>
      </c>
      <c r="U102" s="32">
        <f>R102-T102</f>
        <v/>
      </c>
      <c r="V102">
        <f>XLOOKUP(I102,Lookups!$H$7:$H$10,Lookups!$I$7:$I$10,"")</f>
        <v/>
      </c>
      <c r="W102">
        <f>IF(O102&gt;=50000,"HIGH VALUE","")</f>
        <v/>
      </c>
      <c r="X102">
        <f>IF(Q102&lt;0,"LOSS","")</f>
        <v/>
      </c>
      <c r="Y102">
        <f>IFS(M102&gt;=0.15,"Deep Discount",M102&gt;=0.1,"Moderate",TRUE,"Standard")</f>
        <v/>
      </c>
    </row>
    <row r="103">
      <c r="A103">
        <f>Raw_Data!A103</f>
        <v/>
      </c>
      <c r="B103" s="29">
        <f>Raw_Data!B103</f>
        <v/>
      </c>
      <c r="C103">
        <f>YEAR(B103)</f>
        <v/>
      </c>
      <c r="D103">
        <f>MONTH(B103)</f>
        <v/>
      </c>
      <c r="E103">
        <f>TEXT(B103,"MMM-YYYY")</f>
        <v/>
      </c>
      <c r="F103">
        <f>Raw_Data!C103</f>
        <v/>
      </c>
      <c r="G103">
        <f>Raw_Data!D103</f>
        <v/>
      </c>
      <c r="H103">
        <f>Raw_Data!E103</f>
        <v/>
      </c>
      <c r="I103">
        <f>Raw_Data!F103</f>
        <v/>
      </c>
      <c r="J103">
        <f>Raw_Data!G103</f>
        <v/>
      </c>
      <c r="K103">
        <f>Raw_Data!H103</f>
        <v/>
      </c>
      <c r="L103" s="30">
        <f>Raw_Data!I103</f>
        <v/>
      </c>
      <c r="M103" s="31">
        <f>Raw_Data!J103</f>
        <v/>
      </c>
      <c r="N103" s="17">
        <f>K103*L103</f>
        <v/>
      </c>
      <c r="O103" s="17">
        <f>N103*(1-M103)</f>
        <v/>
      </c>
      <c r="P103" s="17">
        <f>Raw_Data!L103</f>
        <v/>
      </c>
      <c r="Q103" s="17">
        <f>O103-P103</f>
        <v/>
      </c>
      <c r="R103" s="31">
        <f>IF(O103=0,0,Q103/O103)</f>
        <v/>
      </c>
      <c r="S103">
        <f>XLOOKUP(F103,Lookups!$B$7:$B$11,Lookups!$C$7:$C$11,"Unknown")</f>
        <v/>
      </c>
      <c r="T103" s="31">
        <f>XLOOKUP(G103,Lookups!$E$7:$E$11,Lookups!$F$7:$F$11,0)</f>
        <v/>
      </c>
      <c r="U103" s="32">
        <f>R103-T103</f>
        <v/>
      </c>
      <c r="V103">
        <f>XLOOKUP(I103,Lookups!$H$7:$H$10,Lookups!$I$7:$I$10,"")</f>
        <v/>
      </c>
      <c r="W103">
        <f>IF(O103&gt;=50000,"HIGH VALUE","")</f>
        <v/>
      </c>
      <c r="X103">
        <f>IF(Q103&lt;0,"LOSS","")</f>
        <v/>
      </c>
      <c r="Y103">
        <f>IFS(M103&gt;=0.15,"Deep Discount",M103&gt;=0.1,"Moderate",TRUE,"Standard")</f>
        <v/>
      </c>
    </row>
    <row r="104">
      <c r="A104">
        <f>Raw_Data!A104</f>
        <v/>
      </c>
      <c r="B104" s="29">
        <f>Raw_Data!B104</f>
        <v/>
      </c>
      <c r="C104">
        <f>YEAR(B104)</f>
        <v/>
      </c>
      <c r="D104">
        <f>MONTH(B104)</f>
        <v/>
      </c>
      <c r="E104">
        <f>TEXT(B104,"MMM-YYYY")</f>
        <v/>
      </c>
      <c r="F104">
        <f>Raw_Data!C104</f>
        <v/>
      </c>
      <c r="G104">
        <f>Raw_Data!D104</f>
        <v/>
      </c>
      <c r="H104">
        <f>Raw_Data!E104</f>
        <v/>
      </c>
      <c r="I104">
        <f>Raw_Data!F104</f>
        <v/>
      </c>
      <c r="J104">
        <f>Raw_Data!G104</f>
        <v/>
      </c>
      <c r="K104">
        <f>Raw_Data!H104</f>
        <v/>
      </c>
      <c r="L104" s="30">
        <f>Raw_Data!I104</f>
        <v/>
      </c>
      <c r="M104" s="31">
        <f>Raw_Data!J104</f>
        <v/>
      </c>
      <c r="N104" s="17">
        <f>K104*L104</f>
        <v/>
      </c>
      <c r="O104" s="17">
        <f>N104*(1-M104)</f>
        <v/>
      </c>
      <c r="P104" s="17">
        <f>Raw_Data!L104</f>
        <v/>
      </c>
      <c r="Q104" s="17">
        <f>O104-P104</f>
        <v/>
      </c>
      <c r="R104" s="31">
        <f>IF(O104=0,0,Q104/O104)</f>
        <v/>
      </c>
      <c r="S104">
        <f>XLOOKUP(F104,Lookups!$B$7:$B$11,Lookups!$C$7:$C$11,"Unknown")</f>
        <v/>
      </c>
      <c r="T104" s="31">
        <f>XLOOKUP(G104,Lookups!$E$7:$E$11,Lookups!$F$7:$F$11,0)</f>
        <v/>
      </c>
      <c r="U104" s="32">
        <f>R104-T104</f>
        <v/>
      </c>
      <c r="V104">
        <f>XLOOKUP(I104,Lookups!$H$7:$H$10,Lookups!$I$7:$I$10,"")</f>
        <v/>
      </c>
      <c r="W104">
        <f>IF(O104&gt;=50000,"HIGH VALUE","")</f>
        <v/>
      </c>
      <c r="X104">
        <f>IF(Q104&lt;0,"LOSS","")</f>
        <v/>
      </c>
      <c r="Y104">
        <f>IFS(M104&gt;=0.15,"Deep Discount",M104&gt;=0.1,"Moderate",TRUE,"Standard")</f>
        <v/>
      </c>
    </row>
    <row r="105">
      <c r="A105">
        <f>Raw_Data!A105</f>
        <v/>
      </c>
      <c r="B105" s="29">
        <f>Raw_Data!B105</f>
        <v/>
      </c>
      <c r="C105">
        <f>YEAR(B105)</f>
        <v/>
      </c>
      <c r="D105">
        <f>MONTH(B105)</f>
        <v/>
      </c>
      <c r="E105">
        <f>TEXT(B105,"MMM-YYYY")</f>
        <v/>
      </c>
      <c r="F105">
        <f>Raw_Data!C105</f>
        <v/>
      </c>
      <c r="G105">
        <f>Raw_Data!D105</f>
        <v/>
      </c>
      <c r="H105">
        <f>Raw_Data!E105</f>
        <v/>
      </c>
      <c r="I105">
        <f>Raw_Data!F105</f>
        <v/>
      </c>
      <c r="J105">
        <f>Raw_Data!G105</f>
        <v/>
      </c>
      <c r="K105">
        <f>Raw_Data!H105</f>
        <v/>
      </c>
      <c r="L105" s="30">
        <f>Raw_Data!I105</f>
        <v/>
      </c>
      <c r="M105" s="31">
        <f>Raw_Data!J105</f>
        <v/>
      </c>
      <c r="N105" s="17">
        <f>K105*L105</f>
        <v/>
      </c>
      <c r="O105" s="17">
        <f>N105*(1-M105)</f>
        <v/>
      </c>
      <c r="P105" s="17">
        <f>Raw_Data!L105</f>
        <v/>
      </c>
      <c r="Q105" s="17">
        <f>O105-P105</f>
        <v/>
      </c>
      <c r="R105" s="31">
        <f>IF(O105=0,0,Q105/O105)</f>
        <v/>
      </c>
      <c r="S105">
        <f>XLOOKUP(F105,Lookups!$B$7:$B$11,Lookups!$C$7:$C$11,"Unknown")</f>
        <v/>
      </c>
      <c r="T105" s="31">
        <f>XLOOKUP(G105,Lookups!$E$7:$E$11,Lookups!$F$7:$F$11,0)</f>
        <v/>
      </c>
      <c r="U105" s="32">
        <f>R105-T105</f>
        <v/>
      </c>
      <c r="V105">
        <f>XLOOKUP(I105,Lookups!$H$7:$H$10,Lookups!$I$7:$I$10,"")</f>
        <v/>
      </c>
      <c r="W105">
        <f>IF(O105&gt;=50000,"HIGH VALUE","")</f>
        <v/>
      </c>
      <c r="X105">
        <f>IF(Q105&lt;0,"LOSS","")</f>
        <v/>
      </c>
      <c r="Y105">
        <f>IFS(M105&gt;=0.15,"Deep Discount",M105&gt;=0.1,"Moderate",TRUE,"Standard")</f>
        <v/>
      </c>
    </row>
    <row r="106">
      <c r="A106">
        <f>Raw_Data!A106</f>
        <v/>
      </c>
      <c r="B106" s="29">
        <f>Raw_Data!B106</f>
        <v/>
      </c>
      <c r="C106">
        <f>YEAR(B106)</f>
        <v/>
      </c>
      <c r="D106">
        <f>MONTH(B106)</f>
        <v/>
      </c>
      <c r="E106">
        <f>TEXT(B106,"MMM-YYYY")</f>
        <v/>
      </c>
      <c r="F106">
        <f>Raw_Data!C106</f>
        <v/>
      </c>
      <c r="G106">
        <f>Raw_Data!D106</f>
        <v/>
      </c>
      <c r="H106">
        <f>Raw_Data!E106</f>
        <v/>
      </c>
      <c r="I106">
        <f>Raw_Data!F106</f>
        <v/>
      </c>
      <c r="J106">
        <f>Raw_Data!G106</f>
        <v/>
      </c>
      <c r="K106">
        <f>Raw_Data!H106</f>
        <v/>
      </c>
      <c r="L106" s="30">
        <f>Raw_Data!I106</f>
        <v/>
      </c>
      <c r="M106" s="31">
        <f>Raw_Data!J106</f>
        <v/>
      </c>
      <c r="N106" s="17">
        <f>K106*L106</f>
        <v/>
      </c>
      <c r="O106" s="17">
        <f>N106*(1-M106)</f>
        <v/>
      </c>
      <c r="P106" s="17">
        <f>Raw_Data!L106</f>
        <v/>
      </c>
      <c r="Q106" s="17">
        <f>O106-P106</f>
        <v/>
      </c>
      <c r="R106" s="31">
        <f>IF(O106=0,0,Q106/O106)</f>
        <v/>
      </c>
      <c r="S106">
        <f>XLOOKUP(F106,Lookups!$B$7:$B$11,Lookups!$C$7:$C$11,"Unknown")</f>
        <v/>
      </c>
      <c r="T106" s="31">
        <f>XLOOKUP(G106,Lookups!$E$7:$E$11,Lookups!$F$7:$F$11,0)</f>
        <v/>
      </c>
      <c r="U106" s="32">
        <f>R106-T106</f>
        <v/>
      </c>
      <c r="V106">
        <f>XLOOKUP(I106,Lookups!$H$7:$H$10,Lookups!$I$7:$I$10,"")</f>
        <v/>
      </c>
      <c r="W106">
        <f>IF(O106&gt;=50000,"HIGH VALUE","")</f>
        <v/>
      </c>
      <c r="X106">
        <f>IF(Q106&lt;0,"LOSS","")</f>
        <v/>
      </c>
      <c r="Y106">
        <f>IFS(M106&gt;=0.15,"Deep Discount",M106&gt;=0.1,"Moderate",TRUE,"Standard")</f>
        <v/>
      </c>
    </row>
    <row r="107">
      <c r="A107">
        <f>Raw_Data!A107</f>
        <v/>
      </c>
      <c r="B107" s="29">
        <f>Raw_Data!B107</f>
        <v/>
      </c>
      <c r="C107">
        <f>YEAR(B107)</f>
        <v/>
      </c>
      <c r="D107">
        <f>MONTH(B107)</f>
        <v/>
      </c>
      <c r="E107">
        <f>TEXT(B107,"MMM-YYYY")</f>
        <v/>
      </c>
      <c r="F107">
        <f>Raw_Data!C107</f>
        <v/>
      </c>
      <c r="G107">
        <f>Raw_Data!D107</f>
        <v/>
      </c>
      <c r="H107">
        <f>Raw_Data!E107</f>
        <v/>
      </c>
      <c r="I107">
        <f>Raw_Data!F107</f>
        <v/>
      </c>
      <c r="J107">
        <f>Raw_Data!G107</f>
        <v/>
      </c>
      <c r="K107">
        <f>Raw_Data!H107</f>
        <v/>
      </c>
      <c r="L107" s="30">
        <f>Raw_Data!I107</f>
        <v/>
      </c>
      <c r="M107" s="31">
        <f>Raw_Data!J107</f>
        <v/>
      </c>
      <c r="N107" s="17">
        <f>K107*L107</f>
        <v/>
      </c>
      <c r="O107" s="17">
        <f>N107*(1-M107)</f>
        <v/>
      </c>
      <c r="P107" s="17">
        <f>Raw_Data!L107</f>
        <v/>
      </c>
      <c r="Q107" s="17">
        <f>O107-P107</f>
        <v/>
      </c>
      <c r="R107" s="31">
        <f>IF(O107=0,0,Q107/O107)</f>
        <v/>
      </c>
      <c r="S107">
        <f>XLOOKUP(F107,Lookups!$B$7:$B$11,Lookups!$C$7:$C$11,"Unknown")</f>
        <v/>
      </c>
      <c r="T107" s="31">
        <f>XLOOKUP(G107,Lookups!$E$7:$E$11,Lookups!$F$7:$F$11,0)</f>
        <v/>
      </c>
      <c r="U107" s="32">
        <f>R107-T107</f>
        <v/>
      </c>
      <c r="V107">
        <f>XLOOKUP(I107,Lookups!$H$7:$H$10,Lookups!$I$7:$I$10,"")</f>
        <v/>
      </c>
      <c r="W107">
        <f>IF(O107&gt;=50000,"HIGH VALUE","")</f>
        <v/>
      </c>
      <c r="X107">
        <f>IF(Q107&lt;0,"LOSS","")</f>
        <v/>
      </c>
      <c r="Y107">
        <f>IFS(M107&gt;=0.15,"Deep Discount",M107&gt;=0.1,"Moderate",TRUE,"Standard")</f>
        <v/>
      </c>
    </row>
    <row r="108">
      <c r="A108">
        <f>Raw_Data!A108</f>
        <v/>
      </c>
      <c r="B108" s="29">
        <f>Raw_Data!B108</f>
        <v/>
      </c>
      <c r="C108">
        <f>YEAR(B108)</f>
        <v/>
      </c>
      <c r="D108">
        <f>MONTH(B108)</f>
        <v/>
      </c>
      <c r="E108">
        <f>TEXT(B108,"MMM-YYYY")</f>
        <v/>
      </c>
      <c r="F108">
        <f>Raw_Data!C108</f>
        <v/>
      </c>
      <c r="G108">
        <f>Raw_Data!D108</f>
        <v/>
      </c>
      <c r="H108">
        <f>Raw_Data!E108</f>
        <v/>
      </c>
      <c r="I108">
        <f>Raw_Data!F108</f>
        <v/>
      </c>
      <c r="J108">
        <f>Raw_Data!G108</f>
        <v/>
      </c>
      <c r="K108">
        <f>Raw_Data!H108</f>
        <v/>
      </c>
      <c r="L108" s="30">
        <f>Raw_Data!I108</f>
        <v/>
      </c>
      <c r="M108" s="31">
        <f>Raw_Data!J108</f>
        <v/>
      </c>
      <c r="N108" s="17">
        <f>K108*L108</f>
        <v/>
      </c>
      <c r="O108" s="17">
        <f>N108*(1-M108)</f>
        <v/>
      </c>
      <c r="P108" s="17">
        <f>Raw_Data!L108</f>
        <v/>
      </c>
      <c r="Q108" s="17">
        <f>O108-P108</f>
        <v/>
      </c>
      <c r="R108" s="31">
        <f>IF(O108=0,0,Q108/O108)</f>
        <v/>
      </c>
      <c r="S108">
        <f>XLOOKUP(F108,Lookups!$B$7:$B$11,Lookups!$C$7:$C$11,"Unknown")</f>
        <v/>
      </c>
      <c r="T108" s="31">
        <f>XLOOKUP(G108,Lookups!$E$7:$E$11,Lookups!$F$7:$F$11,0)</f>
        <v/>
      </c>
      <c r="U108" s="32">
        <f>R108-T108</f>
        <v/>
      </c>
      <c r="V108">
        <f>XLOOKUP(I108,Lookups!$H$7:$H$10,Lookups!$I$7:$I$10,"")</f>
        <v/>
      </c>
      <c r="W108">
        <f>IF(O108&gt;=50000,"HIGH VALUE","")</f>
        <v/>
      </c>
      <c r="X108">
        <f>IF(Q108&lt;0,"LOSS","")</f>
        <v/>
      </c>
      <c r="Y108">
        <f>IFS(M108&gt;=0.15,"Deep Discount",M108&gt;=0.1,"Moderate",TRUE,"Standard")</f>
        <v/>
      </c>
    </row>
    <row r="109">
      <c r="A109">
        <f>Raw_Data!A109</f>
        <v/>
      </c>
      <c r="B109" s="29">
        <f>Raw_Data!B109</f>
        <v/>
      </c>
      <c r="C109">
        <f>YEAR(B109)</f>
        <v/>
      </c>
      <c r="D109">
        <f>MONTH(B109)</f>
        <v/>
      </c>
      <c r="E109">
        <f>TEXT(B109,"MMM-YYYY")</f>
        <v/>
      </c>
      <c r="F109">
        <f>Raw_Data!C109</f>
        <v/>
      </c>
      <c r="G109">
        <f>Raw_Data!D109</f>
        <v/>
      </c>
      <c r="H109">
        <f>Raw_Data!E109</f>
        <v/>
      </c>
      <c r="I109">
        <f>Raw_Data!F109</f>
        <v/>
      </c>
      <c r="J109">
        <f>Raw_Data!G109</f>
        <v/>
      </c>
      <c r="K109">
        <f>Raw_Data!H109</f>
        <v/>
      </c>
      <c r="L109" s="30">
        <f>Raw_Data!I109</f>
        <v/>
      </c>
      <c r="M109" s="31">
        <f>Raw_Data!J109</f>
        <v/>
      </c>
      <c r="N109" s="17">
        <f>K109*L109</f>
        <v/>
      </c>
      <c r="O109" s="17">
        <f>N109*(1-M109)</f>
        <v/>
      </c>
      <c r="P109" s="17">
        <f>Raw_Data!L109</f>
        <v/>
      </c>
      <c r="Q109" s="17">
        <f>O109-P109</f>
        <v/>
      </c>
      <c r="R109" s="31">
        <f>IF(O109=0,0,Q109/O109)</f>
        <v/>
      </c>
      <c r="S109">
        <f>XLOOKUP(F109,Lookups!$B$7:$B$11,Lookups!$C$7:$C$11,"Unknown")</f>
        <v/>
      </c>
      <c r="T109" s="31">
        <f>XLOOKUP(G109,Lookups!$E$7:$E$11,Lookups!$F$7:$F$11,0)</f>
        <v/>
      </c>
      <c r="U109" s="32">
        <f>R109-T109</f>
        <v/>
      </c>
      <c r="V109">
        <f>XLOOKUP(I109,Lookups!$H$7:$H$10,Lookups!$I$7:$I$10,"")</f>
        <v/>
      </c>
      <c r="W109">
        <f>IF(O109&gt;=50000,"HIGH VALUE","")</f>
        <v/>
      </c>
      <c r="X109">
        <f>IF(Q109&lt;0,"LOSS","")</f>
        <v/>
      </c>
      <c r="Y109">
        <f>IFS(M109&gt;=0.15,"Deep Discount",M109&gt;=0.1,"Moderate",TRUE,"Standard")</f>
        <v/>
      </c>
    </row>
    <row r="110">
      <c r="A110">
        <f>Raw_Data!A110</f>
        <v/>
      </c>
      <c r="B110" s="29">
        <f>Raw_Data!B110</f>
        <v/>
      </c>
      <c r="C110">
        <f>YEAR(B110)</f>
        <v/>
      </c>
      <c r="D110">
        <f>MONTH(B110)</f>
        <v/>
      </c>
      <c r="E110">
        <f>TEXT(B110,"MMM-YYYY")</f>
        <v/>
      </c>
      <c r="F110">
        <f>Raw_Data!C110</f>
        <v/>
      </c>
      <c r="G110">
        <f>Raw_Data!D110</f>
        <v/>
      </c>
      <c r="H110">
        <f>Raw_Data!E110</f>
        <v/>
      </c>
      <c r="I110">
        <f>Raw_Data!F110</f>
        <v/>
      </c>
      <c r="J110">
        <f>Raw_Data!G110</f>
        <v/>
      </c>
      <c r="K110">
        <f>Raw_Data!H110</f>
        <v/>
      </c>
      <c r="L110" s="30">
        <f>Raw_Data!I110</f>
        <v/>
      </c>
      <c r="M110" s="31">
        <f>Raw_Data!J110</f>
        <v/>
      </c>
      <c r="N110" s="17">
        <f>K110*L110</f>
        <v/>
      </c>
      <c r="O110" s="17">
        <f>N110*(1-M110)</f>
        <v/>
      </c>
      <c r="P110" s="17">
        <f>Raw_Data!L110</f>
        <v/>
      </c>
      <c r="Q110" s="17">
        <f>O110-P110</f>
        <v/>
      </c>
      <c r="R110" s="31">
        <f>IF(O110=0,0,Q110/O110)</f>
        <v/>
      </c>
      <c r="S110">
        <f>XLOOKUP(F110,Lookups!$B$7:$B$11,Lookups!$C$7:$C$11,"Unknown")</f>
        <v/>
      </c>
      <c r="T110" s="31">
        <f>XLOOKUP(G110,Lookups!$E$7:$E$11,Lookups!$F$7:$F$11,0)</f>
        <v/>
      </c>
      <c r="U110" s="32">
        <f>R110-T110</f>
        <v/>
      </c>
      <c r="V110">
        <f>XLOOKUP(I110,Lookups!$H$7:$H$10,Lookups!$I$7:$I$10,"")</f>
        <v/>
      </c>
      <c r="W110">
        <f>IF(O110&gt;=50000,"HIGH VALUE","")</f>
        <v/>
      </c>
      <c r="X110">
        <f>IF(Q110&lt;0,"LOSS","")</f>
        <v/>
      </c>
      <c r="Y110">
        <f>IFS(M110&gt;=0.15,"Deep Discount",M110&gt;=0.1,"Moderate",TRUE,"Standard")</f>
        <v/>
      </c>
    </row>
    <row r="111">
      <c r="A111">
        <f>Raw_Data!A111</f>
        <v/>
      </c>
      <c r="B111" s="29">
        <f>Raw_Data!B111</f>
        <v/>
      </c>
      <c r="C111">
        <f>YEAR(B111)</f>
        <v/>
      </c>
      <c r="D111">
        <f>MONTH(B111)</f>
        <v/>
      </c>
      <c r="E111">
        <f>TEXT(B111,"MMM-YYYY")</f>
        <v/>
      </c>
      <c r="F111">
        <f>Raw_Data!C111</f>
        <v/>
      </c>
      <c r="G111">
        <f>Raw_Data!D111</f>
        <v/>
      </c>
      <c r="H111">
        <f>Raw_Data!E111</f>
        <v/>
      </c>
      <c r="I111">
        <f>Raw_Data!F111</f>
        <v/>
      </c>
      <c r="J111">
        <f>Raw_Data!G111</f>
        <v/>
      </c>
      <c r="K111">
        <f>Raw_Data!H111</f>
        <v/>
      </c>
      <c r="L111" s="30">
        <f>Raw_Data!I111</f>
        <v/>
      </c>
      <c r="M111" s="31">
        <f>Raw_Data!J111</f>
        <v/>
      </c>
      <c r="N111" s="17">
        <f>K111*L111</f>
        <v/>
      </c>
      <c r="O111" s="17">
        <f>N111*(1-M111)</f>
        <v/>
      </c>
      <c r="P111" s="17">
        <f>Raw_Data!L111</f>
        <v/>
      </c>
      <c r="Q111" s="17">
        <f>O111-P111</f>
        <v/>
      </c>
      <c r="R111" s="31">
        <f>IF(O111=0,0,Q111/O111)</f>
        <v/>
      </c>
      <c r="S111">
        <f>XLOOKUP(F111,Lookups!$B$7:$B$11,Lookups!$C$7:$C$11,"Unknown")</f>
        <v/>
      </c>
      <c r="T111" s="31">
        <f>XLOOKUP(G111,Lookups!$E$7:$E$11,Lookups!$F$7:$F$11,0)</f>
        <v/>
      </c>
      <c r="U111" s="32">
        <f>R111-T111</f>
        <v/>
      </c>
      <c r="V111">
        <f>XLOOKUP(I111,Lookups!$H$7:$H$10,Lookups!$I$7:$I$10,"")</f>
        <v/>
      </c>
      <c r="W111">
        <f>IF(O111&gt;=50000,"HIGH VALUE","")</f>
        <v/>
      </c>
      <c r="X111">
        <f>IF(Q111&lt;0,"LOSS","")</f>
        <v/>
      </c>
      <c r="Y111">
        <f>IFS(M111&gt;=0.15,"Deep Discount",M111&gt;=0.1,"Moderate",TRUE,"Standard")</f>
        <v/>
      </c>
    </row>
    <row r="112">
      <c r="A112">
        <f>Raw_Data!A112</f>
        <v/>
      </c>
      <c r="B112" s="29">
        <f>Raw_Data!B112</f>
        <v/>
      </c>
      <c r="C112">
        <f>YEAR(B112)</f>
        <v/>
      </c>
      <c r="D112">
        <f>MONTH(B112)</f>
        <v/>
      </c>
      <c r="E112">
        <f>TEXT(B112,"MMM-YYYY")</f>
        <v/>
      </c>
      <c r="F112">
        <f>Raw_Data!C112</f>
        <v/>
      </c>
      <c r="G112">
        <f>Raw_Data!D112</f>
        <v/>
      </c>
      <c r="H112">
        <f>Raw_Data!E112</f>
        <v/>
      </c>
      <c r="I112">
        <f>Raw_Data!F112</f>
        <v/>
      </c>
      <c r="J112">
        <f>Raw_Data!G112</f>
        <v/>
      </c>
      <c r="K112">
        <f>Raw_Data!H112</f>
        <v/>
      </c>
      <c r="L112" s="30">
        <f>Raw_Data!I112</f>
        <v/>
      </c>
      <c r="M112" s="31">
        <f>Raw_Data!J112</f>
        <v/>
      </c>
      <c r="N112" s="17">
        <f>K112*L112</f>
        <v/>
      </c>
      <c r="O112" s="17">
        <f>N112*(1-M112)</f>
        <v/>
      </c>
      <c r="P112" s="17">
        <f>Raw_Data!L112</f>
        <v/>
      </c>
      <c r="Q112" s="17">
        <f>O112-P112</f>
        <v/>
      </c>
      <c r="R112" s="31">
        <f>IF(O112=0,0,Q112/O112)</f>
        <v/>
      </c>
      <c r="S112">
        <f>XLOOKUP(F112,Lookups!$B$7:$B$11,Lookups!$C$7:$C$11,"Unknown")</f>
        <v/>
      </c>
      <c r="T112" s="31">
        <f>XLOOKUP(G112,Lookups!$E$7:$E$11,Lookups!$F$7:$F$11,0)</f>
        <v/>
      </c>
      <c r="U112" s="32">
        <f>R112-T112</f>
        <v/>
      </c>
      <c r="V112">
        <f>XLOOKUP(I112,Lookups!$H$7:$H$10,Lookups!$I$7:$I$10,"")</f>
        <v/>
      </c>
      <c r="W112">
        <f>IF(O112&gt;=50000,"HIGH VALUE","")</f>
        <v/>
      </c>
      <c r="X112">
        <f>IF(Q112&lt;0,"LOSS","")</f>
        <v/>
      </c>
      <c r="Y112">
        <f>IFS(M112&gt;=0.15,"Deep Discount",M112&gt;=0.1,"Moderate",TRUE,"Standard")</f>
        <v/>
      </c>
    </row>
    <row r="113">
      <c r="A113">
        <f>Raw_Data!A113</f>
        <v/>
      </c>
      <c r="B113" s="29">
        <f>Raw_Data!B113</f>
        <v/>
      </c>
      <c r="C113">
        <f>YEAR(B113)</f>
        <v/>
      </c>
      <c r="D113">
        <f>MONTH(B113)</f>
        <v/>
      </c>
      <c r="E113">
        <f>TEXT(B113,"MMM-YYYY")</f>
        <v/>
      </c>
      <c r="F113">
        <f>Raw_Data!C113</f>
        <v/>
      </c>
      <c r="G113">
        <f>Raw_Data!D113</f>
        <v/>
      </c>
      <c r="H113">
        <f>Raw_Data!E113</f>
        <v/>
      </c>
      <c r="I113">
        <f>Raw_Data!F113</f>
        <v/>
      </c>
      <c r="J113">
        <f>Raw_Data!G113</f>
        <v/>
      </c>
      <c r="K113">
        <f>Raw_Data!H113</f>
        <v/>
      </c>
      <c r="L113" s="30">
        <f>Raw_Data!I113</f>
        <v/>
      </c>
      <c r="M113" s="31">
        <f>Raw_Data!J113</f>
        <v/>
      </c>
      <c r="N113" s="17">
        <f>K113*L113</f>
        <v/>
      </c>
      <c r="O113" s="17">
        <f>N113*(1-M113)</f>
        <v/>
      </c>
      <c r="P113" s="17">
        <f>Raw_Data!L113</f>
        <v/>
      </c>
      <c r="Q113" s="17">
        <f>O113-P113</f>
        <v/>
      </c>
      <c r="R113" s="31">
        <f>IF(O113=0,0,Q113/O113)</f>
        <v/>
      </c>
      <c r="S113">
        <f>XLOOKUP(F113,Lookups!$B$7:$B$11,Lookups!$C$7:$C$11,"Unknown")</f>
        <v/>
      </c>
      <c r="T113" s="31">
        <f>XLOOKUP(G113,Lookups!$E$7:$E$11,Lookups!$F$7:$F$11,0)</f>
        <v/>
      </c>
      <c r="U113" s="32">
        <f>R113-T113</f>
        <v/>
      </c>
      <c r="V113">
        <f>XLOOKUP(I113,Lookups!$H$7:$H$10,Lookups!$I$7:$I$10,"")</f>
        <v/>
      </c>
      <c r="W113">
        <f>IF(O113&gt;=50000,"HIGH VALUE","")</f>
        <v/>
      </c>
      <c r="X113">
        <f>IF(Q113&lt;0,"LOSS","")</f>
        <v/>
      </c>
      <c r="Y113">
        <f>IFS(M113&gt;=0.15,"Deep Discount",M113&gt;=0.1,"Moderate",TRUE,"Standard")</f>
        <v/>
      </c>
    </row>
    <row r="114">
      <c r="A114">
        <f>Raw_Data!A114</f>
        <v/>
      </c>
      <c r="B114" s="29">
        <f>Raw_Data!B114</f>
        <v/>
      </c>
      <c r="C114">
        <f>YEAR(B114)</f>
        <v/>
      </c>
      <c r="D114">
        <f>MONTH(B114)</f>
        <v/>
      </c>
      <c r="E114">
        <f>TEXT(B114,"MMM-YYYY")</f>
        <v/>
      </c>
      <c r="F114">
        <f>Raw_Data!C114</f>
        <v/>
      </c>
      <c r="G114">
        <f>Raw_Data!D114</f>
        <v/>
      </c>
      <c r="H114">
        <f>Raw_Data!E114</f>
        <v/>
      </c>
      <c r="I114">
        <f>Raw_Data!F114</f>
        <v/>
      </c>
      <c r="J114">
        <f>Raw_Data!G114</f>
        <v/>
      </c>
      <c r="K114">
        <f>Raw_Data!H114</f>
        <v/>
      </c>
      <c r="L114" s="30">
        <f>Raw_Data!I114</f>
        <v/>
      </c>
      <c r="M114" s="31">
        <f>Raw_Data!J114</f>
        <v/>
      </c>
      <c r="N114" s="17">
        <f>K114*L114</f>
        <v/>
      </c>
      <c r="O114" s="17">
        <f>N114*(1-M114)</f>
        <v/>
      </c>
      <c r="P114" s="17">
        <f>Raw_Data!L114</f>
        <v/>
      </c>
      <c r="Q114" s="17">
        <f>O114-P114</f>
        <v/>
      </c>
      <c r="R114" s="31">
        <f>IF(O114=0,0,Q114/O114)</f>
        <v/>
      </c>
      <c r="S114">
        <f>XLOOKUP(F114,Lookups!$B$7:$B$11,Lookups!$C$7:$C$11,"Unknown")</f>
        <v/>
      </c>
      <c r="T114" s="31">
        <f>XLOOKUP(G114,Lookups!$E$7:$E$11,Lookups!$F$7:$F$11,0)</f>
        <v/>
      </c>
      <c r="U114" s="32">
        <f>R114-T114</f>
        <v/>
      </c>
      <c r="V114">
        <f>XLOOKUP(I114,Lookups!$H$7:$H$10,Lookups!$I$7:$I$10,"")</f>
        <v/>
      </c>
      <c r="W114">
        <f>IF(O114&gt;=50000,"HIGH VALUE","")</f>
        <v/>
      </c>
      <c r="X114">
        <f>IF(Q114&lt;0,"LOSS","")</f>
        <v/>
      </c>
      <c r="Y114">
        <f>IFS(M114&gt;=0.15,"Deep Discount",M114&gt;=0.1,"Moderate",TRUE,"Standard")</f>
        <v/>
      </c>
    </row>
    <row r="115">
      <c r="A115">
        <f>Raw_Data!A115</f>
        <v/>
      </c>
      <c r="B115" s="29">
        <f>Raw_Data!B115</f>
        <v/>
      </c>
      <c r="C115">
        <f>YEAR(B115)</f>
        <v/>
      </c>
      <c r="D115">
        <f>MONTH(B115)</f>
        <v/>
      </c>
      <c r="E115">
        <f>TEXT(B115,"MMM-YYYY")</f>
        <v/>
      </c>
      <c r="F115">
        <f>Raw_Data!C115</f>
        <v/>
      </c>
      <c r="G115">
        <f>Raw_Data!D115</f>
        <v/>
      </c>
      <c r="H115">
        <f>Raw_Data!E115</f>
        <v/>
      </c>
      <c r="I115">
        <f>Raw_Data!F115</f>
        <v/>
      </c>
      <c r="J115">
        <f>Raw_Data!G115</f>
        <v/>
      </c>
      <c r="K115">
        <f>Raw_Data!H115</f>
        <v/>
      </c>
      <c r="L115" s="30">
        <f>Raw_Data!I115</f>
        <v/>
      </c>
      <c r="M115" s="31">
        <f>Raw_Data!J115</f>
        <v/>
      </c>
      <c r="N115" s="17">
        <f>K115*L115</f>
        <v/>
      </c>
      <c r="O115" s="17">
        <f>N115*(1-M115)</f>
        <v/>
      </c>
      <c r="P115" s="17">
        <f>Raw_Data!L115</f>
        <v/>
      </c>
      <c r="Q115" s="17">
        <f>O115-P115</f>
        <v/>
      </c>
      <c r="R115" s="31">
        <f>IF(O115=0,0,Q115/O115)</f>
        <v/>
      </c>
      <c r="S115">
        <f>XLOOKUP(F115,Lookups!$B$7:$B$11,Lookups!$C$7:$C$11,"Unknown")</f>
        <v/>
      </c>
      <c r="T115" s="31">
        <f>XLOOKUP(G115,Lookups!$E$7:$E$11,Lookups!$F$7:$F$11,0)</f>
        <v/>
      </c>
      <c r="U115" s="32">
        <f>R115-T115</f>
        <v/>
      </c>
      <c r="V115">
        <f>XLOOKUP(I115,Lookups!$H$7:$H$10,Lookups!$I$7:$I$10,"")</f>
        <v/>
      </c>
      <c r="W115">
        <f>IF(O115&gt;=50000,"HIGH VALUE","")</f>
        <v/>
      </c>
      <c r="X115">
        <f>IF(Q115&lt;0,"LOSS","")</f>
        <v/>
      </c>
      <c r="Y115">
        <f>IFS(M115&gt;=0.15,"Deep Discount",M115&gt;=0.1,"Moderate",TRUE,"Standard")</f>
        <v/>
      </c>
    </row>
    <row r="116">
      <c r="A116">
        <f>Raw_Data!A116</f>
        <v/>
      </c>
      <c r="B116" s="29">
        <f>Raw_Data!B116</f>
        <v/>
      </c>
      <c r="C116">
        <f>YEAR(B116)</f>
        <v/>
      </c>
      <c r="D116">
        <f>MONTH(B116)</f>
        <v/>
      </c>
      <c r="E116">
        <f>TEXT(B116,"MMM-YYYY")</f>
        <v/>
      </c>
      <c r="F116">
        <f>Raw_Data!C116</f>
        <v/>
      </c>
      <c r="G116">
        <f>Raw_Data!D116</f>
        <v/>
      </c>
      <c r="H116">
        <f>Raw_Data!E116</f>
        <v/>
      </c>
      <c r="I116">
        <f>Raw_Data!F116</f>
        <v/>
      </c>
      <c r="J116">
        <f>Raw_Data!G116</f>
        <v/>
      </c>
      <c r="K116">
        <f>Raw_Data!H116</f>
        <v/>
      </c>
      <c r="L116" s="30">
        <f>Raw_Data!I116</f>
        <v/>
      </c>
      <c r="M116" s="31">
        <f>Raw_Data!J116</f>
        <v/>
      </c>
      <c r="N116" s="17">
        <f>K116*L116</f>
        <v/>
      </c>
      <c r="O116" s="17">
        <f>N116*(1-M116)</f>
        <v/>
      </c>
      <c r="P116" s="17">
        <f>Raw_Data!L116</f>
        <v/>
      </c>
      <c r="Q116" s="17">
        <f>O116-P116</f>
        <v/>
      </c>
      <c r="R116" s="31">
        <f>IF(O116=0,0,Q116/O116)</f>
        <v/>
      </c>
      <c r="S116">
        <f>XLOOKUP(F116,Lookups!$B$7:$B$11,Lookups!$C$7:$C$11,"Unknown")</f>
        <v/>
      </c>
      <c r="T116" s="31">
        <f>XLOOKUP(G116,Lookups!$E$7:$E$11,Lookups!$F$7:$F$11,0)</f>
        <v/>
      </c>
      <c r="U116" s="32">
        <f>R116-T116</f>
        <v/>
      </c>
      <c r="V116">
        <f>XLOOKUP(I116,Lookups!$H$7:$H$10,Lookups!$I$7:$I$10,"")</f>
        <v/>
      </c>
      <c r="W116">
        <f>IF(O116&gt;=50000,"HIGH VALUE","")</f>
        <v/>
      </c>
      <c r="X116">
        <f>IF(Q116&lt;0,"LOSS","")</f>
        <v/>
      </c>
      <c r="Y116">
        <f>IFS(M116&gt;=0.15,"Deep Discount",M116&gt;=0.1,"Moderate",TRUE,"Standard")</f>
        <v/>
      </c>
    </row>
    <row r="117">
      <c r="A117">
        <f>Raw_Data!A117</f>
        <v/>
      </c>
      <c r="B117" s="29">
        <f>Raw_Data!B117</f>
        <v/>
      </c>
      <c r="C117">
        <f>YEAR(B117)</f>
        <v/>
      </c>
      <c r="D117">
        <f>MONTH(B117)</f>
        <v/>
      </c>
      <c r="E117">
        <f>TEXT(B117,"MMM-YYYY")</f>
        <v/>
      </c>
      <c r="F117">
        <f>Raw_Data!C117</f>
        <v/>
      </c>
      <c r="G117">
        <f>Raw_Data!D117</f>
        <v/>
      </c>
      <c r="H117">
        <f>Raw_Data!E117</f>
        <v/>
      </c>
      <c r="I117">
        <f>Raw_Data!F117</f>
        <v/>
      </c>
      <c r="J117">
        <f>Raw_Data!G117</f>
        <v/>
      </c>
      <c r="K117">
        <f>Raw_Data!H117</f>
        <v/>
      </c>
      <c r="L117" s="30">
        <f>Raw_Data!I117</f>
        <v/>
      </c>
      <c r="M117" s="31">
        <f>Raw_Data!J117</f>
        <v/>
      </c>
      <c r="N117" s="17">
        <f>K117*L117</f>
        <v/>
      </c>
      <c r="O117" s="17">
        <f>N117*(1-M117)</f>
        <v/>
      </c>
      <c r="P117" s="17">
        <f>Raw_Data!L117</f>
        <v/>
      </c>
      <c r="Q117" s="17">
        <f>O117-P117</f>
        <v/>
      </c>
      <c r="R117" s="31">
        <f>IF(O117=0,0,Q117/O117)</f>
        <v/>
      </c>
      <c r="S117">
        <f>XLOOKUP(F117,Lookups!$B$7:$B$11,Lookups!$C$7:$C$11,"Unknown")</f>
        <v/>
      </c>
      <c r="T117" s="31">
        <f>XLOOKUP(G117,Lookups!$E$7:$E$11,Lookups!$F$7:$F$11,0)</f>
        <v/>
      </c>
      <c r="U117" s="32">
        <f>R117-T117</f>
        <v/>
      </c>
      <c r="V117">
        <f>XLOOKUP(I117,Lookups!$H$7:$H$10,Lookups!$I$7:$I$10,"")</f>
        <v/>
      </c>
      <c r="W117">
        <f>IF(O117&gt;=50000,"HIGH VALUE","")</f>
        <v/>
      </c>
      <c r="X117">
        <f>IF(Q117&lt;0,"LOSS","")</f>
        <v/>
      </c>
      <c r="Y117">
        <f>IFS(M117&gt;=0.15,"Deep Discount",M117&gt;=0.1,"Moderate",TRUE,"Standard")</f>
        <v/>
      </c>
    </row>
    <row r="118">
      <c r="A118">
        <f>Raw_Data!A118</f>
        <v/>
      </c>
      <c r="B118" s="29">
        <f>Raw_Data!B118</f>
        <v/>
      </c>
      <c r="C118">
        <f>YEAR(B118)</f>
        <v/>
      </c>
      <c r="D118">
        <f>MONTH(B118)</f>
        <v/>
      </c>
      <c r="E118">
        <f>TEXT(B118,"MMM-YYYY")</f>
        <v/>
      </c>
      <c r="F118">
        <f>Raw_Data!C118</f>
        <v/>
      </c>
      <c r="G118">
        <f>Raw_Data!D118</f>
        <v/>
      </c>
      <c r="H118">
        <f>Raw_Data!E118</f>
        <v/>
      </c>
      <c r="I118">
        <f>Raw_Data!F118</f>
        <v/>
      </c>
      <c r="J118">
        <f>Raw_Data!G118</f>
        <v/>
      </c>
      <c r="K118">
        <f>Raw_Data!H118</f>
        <v/>
      </c>
      <c r="L118" s="30">
        <f>Raw_Data!I118</f>
        <v/>
      </c>
      <c r="M118" s="31">
        <f>Raw_Data!J118</f>
        <v/>
      </c>
      <c r="N118" s="17">
        <f>K118*L118</f>
        <v/>
      </c>
      <c r="O118" s="17">
        <f>N118*(1-M118)</f>
        <v/>
      </c>
      <c r="P118" s="17">
        <f>Raw_Data!L118</f>
        <v/>
      </c>
      <c r="Q118" s="17">
        <f>O118-P118</f>
        <v/>
      </c>
      <c r="R118" s="31">
        <f>IF(O118=0,0,Q118/O118)</f>
        <v/>
      </c>
      <c r="S118">
        <f>XLOOKUP(F118,Lookups!$B$7:$B$11,Lookups!$C$7:$C$11,"Unknown")</f>
        <v/>
      </c>
      <c r="T118" s="31">
        <f>XLOOKUP(G118,Lookups!$E$7:$E$11,Lookups!$F$7:$F$11,0)</f>
        <v/>
      </c>
      <c r="U118" s="32">
        <f>R118-T118</f>
        <v/>
      </c>
      <c r="V118">
        <f>XLOOKUP(I118,Lookups!$H$7:$H$10,Lookups!$I$7:$I$10,"")</f>
        <v/>
      </c>
      <c r="W118">
        <f>IF(O118&gt;=50000,"HIGH VALUE","")</f>
        <v/>
      </c>
      <c r="X118">
        <f>IF(Q118&lt;0,"LOSS","")</f>
        <v/>
      </c>
      <c r="Y118">
        <f>IFS(M118&gt;=0.15,"Deep Discount",M118&gt;=0.1,"Moderate",TRUE,"Standard")</f>
        <v/>
      </c>
    </row>
    <row r="119">
      <c r="A119">
        <f>Raw_Data!A119</f>
        <v/>
      </c>
      <c r="B119" s="29">
        <f>Raw_Data!B119</f>
        <v/>
      </c>
      <c r="C119">
        <f>YEAR(B119)</f>
        <v/>
      </c>
      <c r="D119">
        <f>MONTH(B119)</f>
        <v/>
      </c>
      <c r="E119">
        <f>TEXT(B119,"MMM-YYYY")</f>
        <v/>
      </c>
      <c r="F119">
        <f>Raw_Data!C119</f>
        <v/>
      </c>
      <c r="G119">
        <f>Raw_Data!D119</f>
        <v/>
      </c>
      <c r="H119">
        <f>Raw_Data!E119</f>
        <v/>
      </c>
      <c r="I119">
        <f>Raw_Data!F119</f>
        <v/>
      </c>
      <c r="J119">
        <f>Raw_Data!G119</f>
        <v/>
      </c>
      <c r="K119">
        <f>Raw_Data!H119</f>
        <v/>
      </c>
      <c r="L119" s="30">
        <f>Raw_Data!I119</f>
        <v/>
      </c>
      <c r="M119" s="31">
        <f>Raw_Data!J119</f>
        <v/>
      </c>
      <c r="N119" s="17">
        <f>K119*L119</f>
        <v/>
      </c>
      <c r="O119" s="17">
        <f>N119*(1-M119)</f>
        <v/>
      </c>
      <c r="P119" s="17">
        <f>Raw_Data!L119</f>
        <v/>
      </c>
      <c r="Q119" s="17">
        <f>O119-P119</f>
        <v/>
      </c>
      <c r="R119" s="31">
        <f>IF(O119=0,0,Q119/O119)</f>
        <v/>
      </c>
      <c r="S119">
        <f>XLOOKUP(F119,Lookups!$B$7:$B$11,Lookups!$C$7:$C$11,"Unknown")</f>
        <v/>
      </c>
      <c r="T119" s="31">
        <f>XLOOKUP(G119,Lookups!$E$7:$E$11,Lookups!$F$7:$F$11,0)</f>
        <v/>
      </c>
      <c r="U119" s="32">
        <f>R119-T119</f>
        <v/>
      </c>
      <c r="V119">
        <f>XLOOKUP(I119,Lookups!$H$7:$H$10,Lookups!$I$7:$I$10,"")</f>
        <v/>
      </c>
      <c r="W119">
        <f>IF(O119&gt;=50000,"HIGH VALUE","")</f>
        <v/>
      </c>
      <c r="X119">
        <f>IF(Q119&lt;0,"LOSS","")</f>
        <v/>
      </c>
      <c r="Y119">
        <f>IFS(M119&gt;=0.15,"Deep Discount",M119&gt;=0.1,"Moderate",TRUE,"Standard")</f>
        <v/>
      </c>
    </row>
    <row r="120">
      <c r="A120">
        <f>Raw_Data!A120</f>
        <v/>
      </c>
      <c r="B120" s="29">
        <f>Raw_Data!B120</f>
        <v/>
      </c>
      <c r="C120">
        <f>YEAR(B120)</f>
        <v/>
      </c>
      <c r="D120">
        <f>MONTH(B120)</f>
        <v/>
      </c>
      <c r="E120">
        <f>TEXT(B120,"MMM-YYYY")</f>
        <v/>
      </c>
      <c r="F120">
        <f>Raw_Data!C120</f>
        <v/>
      </c>
      <c r="G120">
        <f>Raw_Data!D120</f>
        <v/>
      </c>
      <c r="H120">
        <f>Raw_Data!E120</f>
        <v/>
      </c>
      <c r="I120">
        <f>Raw_Data!F120</f>
        <v/>
      </c>
      <c r="J120">
        <f>Raw_Data!G120</f>
        <v/>
      </c>
      <c r="K120">
        <f>Raw_Data!H120</f>
        <v/>
      </c>
      <c r="L120" s="30">
        <f>Raw_Data!I120</f>
        <v/>
      </c>
      <c r="M120" s="31">
        <f>Raw_Data!J120</f>
        <v/>
      </c>
      <c r="N120" s="17">
        <f>K120*L120</f>
        <v/>
      </c>
      <c r="O120" s="17">
        <f>N120*(1-M120)</f>
        <v/>
      </c>
      <c r="P120" s="17">
        <f>Raw_Data!L120</f>
        <v/>
      </c>
      <c r="Q120" s="17">
        <f>O120-P120</f>
        <v/>
      </c>
      <c r="R120" s="31">
        <f>IF(O120=0,0,Q120/O120)</f>
        <v/>
      </c>
      <c r="S120">
        <f>XLOOKUP(F120,Lookups!$B$7:$B$11,Lookups!$C$7:$C$11,"Unknown")</f>
        <v/>
      </c>
      <c r="T120" s="31">
        <f>XLOOKUP(G120,Lookups!$E$7:$E$11,Lookups!$F$7:$F$11,0)</f>
        <v/>
      </c>
      <c r="U120" s="32">
        <f>R120-T120</f>
        <v/>
      </c>
      <c r="V120">
        <f>XLOOKUP(I120,Lookups!$H$7:$H$10,Lookups!$I$7:$I$10,"")</f>
        <v/>
      </c>
      <c r="W120">
        <f>IF(O120&gt;=50000,"HIGH VALUE","")</f>
        <v/>
      </c>
      <c r="X120">
        <f>IF(Q120&lt;0,"LOSS","")</f>
        <v/>
      </c>
      <c r="Y120">
        <f>IFS(M120&gt;=0.15,"Deep Discount",M120&gt;=0.1,"Moderate",TRUE,"Standard")</f>
        <v/>
      </c>
    </row>
    <row r="121">
      <c r="A121">
        <f>Raw_Data!A121</f>
        <v/>
      </c>
      <c r="B121" s="29">
        <f>Raw_Data!B121</f>
        <v/>
      </c>
      <c r="C121">
        <f>YEAR(B121)</f>
        <v/>
      </c>
      <c r="D121">
        <f>MONTH(B121)</f>
        <v/>
      </c>
      <c r="E121">
        <f>TEXT(B121,"MMM-YYYY")</f>
        <v/>
      </c>
      <c r="F121">
        <f>Raw_Data!C121</f>
        <v/>
      </c>
      <c r="G121">
        <f>Raw_Data!D121</f>
        <v/>
      </c>
      <c r="H121">
        <f>Raw_Data!E121</f>
        <v/>
      </c>
      <c r="I121">
        <f>Raw_Data!F121</f>
        <v/>
      </c>
      <c r="J121">
        <f>Raw_Data!G121</f>
        <v/>
      </c>
      <c r="K121">
        <f>Raw_Data!H121</f>
        <v/>
      </c>
      <c r="L121" s="30">
        <f>Raw_Data!I121</f>
        <v/>
      </c>
      <c r="M121" s="31">
        <f>Raw_Data!J121</f>
        <v/>
      </c>
      <c r="N121" s="17">
        <f>K121*L121</f>
        <v/>
      </c>
      <c r="O121" s="17">
        <f>N121*(1-M121)</f>
        <v/>
      </c>
      <c r="P121" s="17">
        <f>Raw_Data!L121</f>
        <v/>
      </c>
      <c r="Q121" s="17">
        <f>O121-P121</f>
        <v/>
      </c>
      <c r="R121" s="31">
        <f>IF(O121=0,0,Q121/O121)</f>
        <v/>
      </c>
      <c r="S121">
        <f>XLOOKUP(F121,Lookups!$B$7:$B$11,Lookups!$C$7:$C$11,"Unknown")</f>
        <v/>
      </c>
      <c r="T121" s="31">
        <f>XLOOKUP(G121,Lookups!$E$7:$E$11,Lookups!$F$7:$F$11,0)</f>
        <v/>
      </c>
      <c r="U121" s="32">
        <f>R121-T121</f>
        <v/>
      </c>
      <c r="V121">
        <f>XLOOKUP(I121,Lookups!$H$7:$H$10,Lookups!$I$7:$I$10,"")</f>
        <v/>
      </c>
      <c r="W121">
        <f>IF(O121&gt;=50000,"HIGH VALUE","")</f>
        <v/>
      </c>
      <c r="X121">
        <f>IF(Q121&lt;0,"LOSS","")</f>
        <v/>
      </c>
      <c r="Y121">
        <f>IFS(M121&gt;=0.15,"Deep Discount",M121&gt;=0.1,"Moderate",TRUE,"Standard")</f>
        <v/>
      </c>
    </row>
    <row r="122">
      <c r="A122">
        <f>Raw_Data!A122</f>
        <v/>
      </c>
      <c r="B122" s="29">
        <f>Raw_Data!B122</f>
        <v/>
      </c>
      <c r="C122">
        <f>YEAR(B122)</f>
        <v/>
      </c>
      <c r="D122">
        <f>MONTH(B122)</f>
        <v/>
      </c>
      <c r="E122">
        <f>TEXT(B122,"MMM-YYYY")</f>
        <v/>
      </c>
      <c r="F122">
        <f>Raw_Data!C122</f>
        <v/>
      </c>
      <c r="G122">
        <f>Raw_Data!D122</f>
        <v/>
      </c>
      <c r="H122">
        <f>Raw_Data!E122</f>
        <v/>
      </c>
      <c r="I122">
        <f>Raw_Data!F122</f>
        <v/>
      </c>
      <c r="J122">
        <f>Raw_Data!G122</f>
        <v/>
      </c>
      <c r="K122">
        <f>Raw_Data!H122</f>
        <v/>
      </c>
      <c r="L122" s="30">
        <f>Raw_Data!I122</f>
        <v/>
      </c>
      <c r="M122" s="31">
        <f>Raw_Data!J122</f>
        <v/>
      </c>
      <c r="N122" s="17">
        <f>K122*L122</f>
        <v/>
      </c>
      <c r="O122" s="17">
        <f>N122*(1-M122)</f>
        <v/>
      </c>
      <c r="P122" s="17">
        <f>Raw_Data!L122</f>
        <v/>
      </c>
      <c r="Q122" s="17">
        <f>O122-P122</f>
        <v/>
      </c>
      <c r="R122" s="31">
        <f>IF(O122=0,0,Q122/O122)</f>
        <v/>
      </c>
      <c r="S122">
        <f>XLOOKUP(F122,Lookups!$B$7:$B$11,Lookups!$C$7:$C$11,"Unknown")</f>
        <v/>
      </c>
      <c r="T122" s="31">
        <f>XLOOKUP(G122,Lookups!$E$7:$E$11,Lookups!$F$7:$F$11,0)</f>
        <v/>
      </c>
      <c r="U122" s="32">
        <f>R122-T122</f>
        <v/>
      </c>
      <c r="V122">
        <f>XLOOKUP(I122,Lookups!$H$7:$H$10,Lookups!$I$7:$I$10,"")</f>
        <v/>
      </c>
      <c r="W122">
        <f>IF(O122&gt;=50000,"HIGH VALUE","")</f>
        <v/>
      </c>
      <c r="X122">
        <f>IF(Q122&lt;0,"LOSS","")</f>
        <v/>
      </c>
      <c r="Y122">
        <f>IFS(M122&gt;=0.15,"Deep Discount",M122&gt;=0.1,"Moderate",TRUE,"Standard")</f>
        <v/>
      </c>
    </row>
    <row r="123">
      <c r="A123">
        <f>Raw_Data!A123</f>
        <v/>
      </c>
      <c r="B123" s="29">
        <f>Raw_Data!B123</f>
        <v/>
      </c>
      <c r="C123">
        <f>YEAR(B123)</f>
        <v/>
      </c>
      <c r="D123">
        <f>MONTH(B123)</f>
        <v/>
      </c>
      <c r="E123">
        <f>TEXT(B123,"MMM-YYYY")</f>
        <v/>
      </c>
      <c r="F123">
        <f>Raw_Data!C123</f>
        <v/>
      </c>
      <c r="G123">
        <f>Raw_Data!D123</f>
        <v/>
      </c>
      <c r="H123">
        <f>Raw_Data!E123</f>
        <v/>
      </c>
      <c r="I123">
        <f>Raw_Data!F123</f>
        <v/>
      </c>
      <c r="J123">
        <f>Raw_Data!G123</f>
        <v/>
      </c>
      <c r="K123">
        <f>Raw_Data!H123</f>
        <v/>
      </c>
      <c r="L123" s="30">
        <f>Raw_Data!I123</f>
        <v/>
      </c>
      <c r="M123" s="31">
        <f>Raw_Data!J123</f>
        <v/>
      </c>
      <c r="N123" s="17">
        <f>K123*L123</f>
        <v/>
      </c>
      <c r="O123" s="17">
        <f>N123*(1-M123)</f>
        <v/>
      </c>
      <c r="P123" s="17">
        <f>Raw_Data!L123</f>
        <v/>
      </c>
      <c r="Q123" s="17">
        <f>O123-P123</f>
        <v/>
      </c>
      <c r="R123" s="31">
        <f>IF(O123=0,0,Q123/O123)</f>
        <v/>
      </c>
      <c r="S123">
        <f>XLOOKUP(F123,Lookups!$B$7:$B$11,Lookups!$C$7:$C$11,"Unknown")</f>
        <v/>
      </c>
      <c r="T123" s="31">
        <f>XLOOKUP(G123,Lookups!$E$7:$E$11,Lookups!$F$7:$F$11,0)</f>
        <v/>
      </c>
      <c r="U123" s="32">
        <f>R123-T123</f>
        <v/>
      </c>
      <c r="V123">
        <f>XLOOKUP(I123,Lookups!$H$7:$H$10,Lookups!$I$7:$I$10,"")</f>
        <v/>
      </c>
      <c r="W123">
        <f>IF(O123&gt;=50000,"HIGH VALUE","")</f>
        <v/>
      </c>
      <c r="X123">
        <f>IF(Q123&lt;0,"LOSS","")</f>
        <v/>
      </c>
      <c r="Y123">
        <f>IFS(M123&gt;=0.15,"Deep Discount",M123&gt;=0.1,"Moderate",TRUE,"Standard")</f>
        <v/>
      </c>
    </row>
    <row r="124">
      <c r="A124">
        <f>Raw_Data!A124</f>
        <v/>
      </c>
      <c r="B124" s="29">
        <f>Raw_Data!B124</f>
        <v/>
      </c>
      <c r="C124">
        <f>YEAR(B124)</f>
        <v/>
      </c>
      <c r="D124">
        <f>MONTH(B124)</f>
        <v/>
      </c>
      <c r="E124">
        <f>TEXT(B124,"MMM-YYYY")</f>
        <v/>
      </c>
      <c r="F124">
        <f>Raw_Data!C124</f>
        <v/>
      </c>
      <c r="G124">
        <f>Raw_Data!D124</f>
        <v/>
      </c>
      <c r="H124">
        <f>Raw_Data!E124</f>
        <v/>
      </c>
      <c r="I124">
        <f>Raw_Data!F124</f>
        <v/>
      </c>
      <c r="J124">
        <f>Raw_Data!G124</f>
        <v/>
      </c>
      <c r="K124">
        <f>Raw_Data!H124</f>
        <v/>
      </c>
      <c r="L124" s="30">
        <f>Raw_Data!I124</f>
        <v/>
      </c>
      <c r="M124" s="31">
        <f>Raw_Data!J124</f>
        <v/>
      </c>
      <c r="N124" s="17">
        <f>K124*L124</f>
        <v/>
      </c>
      <c r="O124" s="17">
        <f>N124*(1-M124)</f>
        <v/>
      </c>
      <c r="P124" s="17">
        <f>Raw_Data!L124</f>
        <v/>
      </c>
      <c r="Q124" s="17">
        <f>O124-P124</f>
        <v/>
      </c>
      <c r="R124" s="31">
        <f>IF(O124=0,0,Q124/O124)</f>
        <v/>
      </c>
      <c r="S124">
        <f>XLOOKUP(F124,Lookups!$B$7:$B$11,Lookups!$C$7:$C$11,"Unknown")</f>
        <v/>
      </c>
      <c r="T124" s="31">
        <f>XLOOKUP(G124,Lookups!$E$7:$E$11,Lookups!$F$7:$F$11,0)</f>
        <v/>
      </c>
      <c r="U124" s="32">
        <f>R124-T124</f>
        <v/>
      </c>
      <c r="V124">
        <f>XLOOKUP(I124,Lookups!$H$7:$H$10,Lookups!$I$7:$I$10,"")</f>
        <v/>
      </c>
      <c r="W124">
        <f>IF(O124&gt;=50000,"HIGH VALUE","")</f>
        <v/>
      </c>
      <c r="X124">
        <f>IF(Q124&lt;0,"LOSS","")</f>
        <v/>
      </c>
      <c r="Y124">
        <f>IFS(M124&gt;=0.15,"Deep Discount",M124&gt;=0.1,"Moderate",TRUE,"Standard")</f>
        <v/>
      </c>
    </row>
    <row r="125">
      <c r="A125">
        <f>Raw_Data!A125</f>
        <v/>
      </c>
      <c r="B125" s="29">
        <f>Raw_Data!B125</f>
        <v/>
      </c>
      <c r="C125">
        <f>YEAR(B125)</f>
        <v/>
      </c>
      <c r="D125">
        <f>MONTH(B125)</f>
        <v/>
      </c>
      <c r="E125">
        <f>TEXT(B125,"MMM-YYYY")</f>
        <v/>
      </c>
      <c r="F125">
        <f>Raw_Data!C125</f>
        <v/>
      </c>
      <c r="G125">
        <f>Raw_Data!D125</f>
        <v/>
      </c>
      <c r="H125">
        <f>Raw_Data!E125</f>
        <v/>
      </c>
      <c r="I125">
        <f>Raw_Data!F125</f>
        <v/>
      </c>
      <c r="J125">
        <f>Raw_Data!G125</f>
        <v/>
      </c>
      <c r="K125">
        <f>Raw_Data!H125</f>
        <v/>
      </c>
      <c r="L125" s="30">
        <f>Raw_Data!I125</f>
        <v/>
      </c>
      <c r="M125" s="31">
        <f>Raw_Data!J125</f>
        <v/>
      </c>
      <c r="N125" s="17">
        <f>K125*L125</f>
        <v/>
      </c>
      <c r="O125" s="17">
        <f>N125*(1-M125)</f>
        <v/>
      </c>
      <c r="P125" s="17">
        <f>Raw_Data!L125</f>
        <v/>
      </c>
      <c r="Q125" s="17">
        <f>O125-P125</f>
        <v/>
      </c>
      <c r="R125" s="31">
        <f>IF(O125=0,0,Q125/O125)</f>
        <v/>
      </c>
      <c r="S125">
        <f>XLOOKUP(F125,Lookups!$B$7:$B$11,Lookups!$C$7:$C$11,"Unknown")</f>
        <v/>
      </c>
      <c r="T125" s="31">
        <f>XLOOKUP(G125,Lookups!$E$7:$E$11,Lookups!$F$7:$F$11,0)</f>
        <v/>
      </c>
      <c r="U125" s="32">
        <f>R125-T125</f>
        <v/>
      </c>
      <c r="V125">
        <f>XLOOKUP(I125,Lookups!$H$7:$H$10,Lookups!$I$7:$I$10,"")</f>
        <v/>
      </c>
      <c r="W125">
        <f>IF(O125&gt;=50000,"HIGH VALUE","")</f>
        <v/>
      </c>
      <c r="X125">
        <f>IF(Q125&lt;0,"LOSS","")</f>
        <v/>
      </c>
      <c r="Y125">
        <f>IFS(M125&gt;=0.15,"Deep Discount",M125&gt;=0.1,"Moderate",TRUE,"Standard")</f>
        <v/>
      </c>
    </row>
    <row r="126">
      <c r="A126">
        <f>Raw_Data!A126</f>
        <v/>
      </c>
      <c r="B126" s="29">
        <f>Raw_Data!B126</f>
        <v/>
      </c>
      <c r="C126">
        <f>YEAR(B126)</f>
        <v/>
      </c>
      <c r="D126">
        <f>MONTH(B126)</f>
        <v/>
      </c>
      <c r="E126">
        <f>TEXT(B126,"MMM-YYYY")</f>
        <v/>
      </c>
      <c r="F126">
        <f>Raw_Data!C126</f>
        <v/>
      </c>
      <c r="G126">
        <f>Raw_Data!D126</f>
        <v/>
      </c>
      <c r="H126">
        <f>Raw_Data!E126</f>
        <v/>
      </c>
      <c r="I126">
        <f>Raw_Data!F126</f>
        <v/>
      </c>
      <c r="J126">
        <f>Raw_Data!G126</f>
        <v/>
      </c>
      <c r="K126">
        <f>Raw_Data!H126</f>
        <v/>
      </c>
      <c r="L126" s="30">
        <f>Raw_Data!I126</f>
        <v/>
      </c>
      <c r="M126" s="31">
        <f>Raw_Data!J126</f>
        <v/>
      </c>
      <c r="N126" s="17">
        <f>K126*L126</f>
        <v/>
      </c>
      <c r="O126" s="17">
        <f>N126*(1-M126)</f>
        <v/>
      </c>
      <c r="P126" s="17">
        <f>Raw_Data!L126</f>
        <v/>
      </c>
      <c r="Q126" s="17">
        <f>O126-P126</f>
        <v/>
      </c>
      <c r="R126" s="31">
        <f>IF(O126=0,0,Q126/O126)</f>
        <v/>
      </c>
      <c r="S126">
        <f>XLOOKUP(F126,Lookups!$B$7:$B$11,Lookups!$C$7:$C$11,"Unknown")</f>
        <v/>
      </c>
      <c r="T126" s="31">
        <f>XLOOKUP(G126,Lookups!$E$7:$E$11,Lookups!$F$7:$F$11,0)</f>
        <v/>
      </c>
      <c r="U126" s="32">
        <f>R126-T126</f>
        <v/>
      </c>
      <c r="V126">
        <f>XLOOKUP(I126,Lookups!$H$7:$H$10,Lookups!$I$7:$I$10,"")</f>
        <v/>
      </c>
      <c r="W126">
        <f>IF(O126&gt;=50000,"HIGH VALUE","")</f>
        <v/>
      </c>
      <c r="X126">
        <f>IF(Q126&lt;0,"LOSS","")</f>
        <v/>
      </c>
      <c r="Y126">
        <f>IFS(M126&gt;=0.15,"Deep Discount",M126&gt;=0.1,"Moderate",TRUE,"Standard")</f>
        <v/>
      </c>
    </row>
    <row r="127">
      <c r="A127">
        <f>Raw_Data!A127</f>
        <v/>
      </c>
      <c r="B127" s="29">
        <f>Raw_Data!B127</f>
        <v/>
      </c>
      <c r="C127">
        <f>YEAR(B127)</f>
        <v/>
      </c>
      <c r="D127">
        <f>MONTH(B127)</f>
        <v/>
      </c>
      <c r="E127">
        <f>TEXT(B127,"MMM-YYYY")</f>
        <v/>
      </c>
      <c r="F127">
        <f>Raw_Data!C127</f>
        <v/>
      </c>
      <c r="G127">
        <f>Raw_Data!D127</f>
        <v/>
      </c>
      <c r="H127">
        <f>Raw_Data!E127</f>
        <v/>
      </c>
      <c r="I127">
        <f>Raw_Data!F127</f>
        <v/>
      </c>
      <c r="J127">
        <f>Raw_Data!G127</f>
        <v/>
      </c>
      <c r="K127">
        <f>Raw_Data!H127</f>
        <v/>
      </c>
      <c r="L127" s="30">
        <f>Raw_Data!I127</f>
        <v/>
      </c>
      <c r="M127" s="31">
        <f>Raw_Data!J127</f>
        <v/>
      </c>
      <c r="N127" s="17">
        <f>K127*L127</f>
        <v/>
      </c>
      <c r="O127" s="17">
        <f>N127*(1-M127)</f>
        <v/>
      </c>
      <c r="P127" s="17">
        <f>Raw_Data!L127</f>
        <v/>
      </c>
      <c r="Q127" s="17">
        <f>O127-P127</f>
        <v/>
      </c>
      <c r="R127" s="31">
        <f>IF(O127=0,0,Q127/O127)</f>
        <v/>
      </c>
      <c r="S127">
        <f>XLOOKUP(F127,Lookups!$B$7:$B$11,Lookups!$C$7:$C$11,"Unknown")</f>
        <v/>
      </c>
      <c r="T127" s="31">
        <f>XLOOKUP(G127,Lookups!$E$7:$E$11,Lookups!$F$7:$F$11,0)</f>
        <v/>
      </c>
      <c r="U127" s="32">
        <f>R127-T127</f>
        <v/>
      </c>
      <c r="V127">
        <f>XLOOKUP(I127,Lookups!$H$7:$H$10,Lookups!$I$7:$I$10,"")</f>
        <v/>
      </c>
      <c r="W127">
        <f>IF(O127&gt;=50000,"HIGH VALUE","")</f>
        <v/>
      </c>
      <c r="X127">
        <f>IF(Q127&lt;0,"LOSS","")</f>
        <v/>
      </c>
      <c r="Y127">
        <f>IFS(M127&gt;=0.15,"Deep Discount",M127&gt;=0.1,"Moderate",TRUE,"Standard")</f>
        <v/>
      </c>
    </row>
    <row r="128">
      <c r="A128">
        <f>Raw_Data!A128</f>
        <v/>
      </c>
      <c r="B128" s="29">
        <f>Raw_Data!B128</f>
        <v/>
      </c>
      <c r="C128">
        <f>YEAR(B128)</f>
        <v/>
      </c>
      <c r="D128">
        <f>MONTH(B128)</f>
        <v/>
      </c>
      <c r="E128">
        <f>TEXT(B128,"MMM-YYYY")</f>
        <v/>
      </c>
      <c r="F128">
        <f>Raw_Data!C128</f>
        <v/>
      </c>
      <c r="G128">
        <f>Raw_Data!D128</f>
        <v/>
      </c>
      <c r="H128">
        <f>Raw_Data!E128</f>
        <v/>
      </c>
      <c r="I128">
        <f>Raw_Data!F128</f>
        <v/>
      </c>
      <c r="J128">
        <f>Raw_Data!G128</f>
        <v/>
      </c>
      <c r="K128">
        <f>Raw_Data!H128</f>
        <v/>
      </c>
      <c r="L128" s="30">
        <f>Raw_Data!I128</f>
        <v/>
      </c>
      <c r="M128" s="31">
        <f>Raw_Data!J128</f>
        <v/>
      </c>
      <c r="N128" s="17">
        <f>K128*L128</f>
        <v/>
      </c>
      <c r="O128" s="17">
        <f>N128*(1-M128)</f>
        <v/>
      </c>
      <c r="P128" s="17">
        <f>Raw_Data!L128</f>
        <v/>
      </c>
      <c r="Q128" s="17">
        <f>O128-P128</f>
        <v/>
      </c>
      <c r="R128" s="31">
        <f>IF(O128=0,0,Q128/O128)</f>
        <v/>
      </c>
      <c r="S128">
        <f>XLOOKUP(F128,Lookups!$B$7:$B$11,Lookups!$C$7:$C$11,"Unknown")</f>
        <v/>
      </c>
      <c r="T128" s="31">
        <f>XLOOKUP(G128,Lookups!$E$7:$E$11,Lookups!$F$7:$F$11,0)</f>
        <v/>
      </c>
      <c r="U128" s="32">
        <f>R128-T128</f>
        <v/>
      </c>
      <c r="V128">
        <f>XLOOKUP(I128,Lookups!$H$7:$H$10,Lookups!$I$7:$I$10,"")</f>
        <v/>
      </c>
      <c r="W128">
        <f>IF(O128&gt;=50000,"HIGH VALUE","")</f>
        <v/>
      </c>
      <c r="X128">
        <f>IF(Q128&lt;0,"LOSS","")</f>
        <v/>
      </c>
      <c r="Y128">
        <f>IFS(M128&gt;=0.15,"Deep Discount",M128&gt;=0.1,"Moderate",TRUE,"Standard")</f>
        <v/>
      </c>
    </row>
    <row r="129">
      <c r="A129">
        <f>Raw_Data!A129</f>
        <v/>
      </c>
      <c r="B129" s="29">
        <f>Raw_Data!B129</f>
        <v/>
      </c>
      <c r="C129">
        <f>YEAR(B129)</f>
        <v/>
      </c>
      <c r="D129">
        <f>MONTH(B129)</f>
        <v/>
      </c>
      <c r="E129">
        <f>TEXT(B129,"MMM-YYYY")</f>
        <v/>
      </c>
      <c r="F129">
        <f>Raw_Data!C129</f>
        <v/>
      </c>
      <c r="G129">
        <f>Raw_Data!D129</f>
        <v/>
      </c>
      <c r="H129">
        <f>Raw_Data!E129</f>
        <v/>
      </c>
      <c r="I129">
        <f>Raw_Data!F129</f>
        <v/>
      </c>
      <c r="J129">
        <f>Raw_Data!G129</f>
        <v/>
      </c>
      <c r="K129">
        <f>Raw_Data!H129</f>
        <v/>
      </c>
      <c r="L129" s="30">
        <f>Raw_Data!I129</f>
        <v/>
      </c>
      <c r="M129" s="31">
        <f>Raw_Data!J129</f>
        <v/>
      </c>
      <c r="N129" s="17">
        <f>K129*L129</f>
        <v/>
      </c>
      <c r="O129" s="17">
        <f>N129*(1-M129)</f>
        <v/>
      </c>
      <c r="P129" s="17">
        <f>Raw_Data!L129</f>
        <v/>
      </c>
      <c r="Q129" s="17">
        <f>O129-P129</f>
        <v/>
      </c>
      <c r="R129" s="31">
        <f>IF(O129=0,0,Q129/O129)</f>
        <v/>
      </c>
      <c r="S129">
        <f>XLOOKUP(F129,Lookups!$B$7:$B$11,Lookups!$C$7:$C$11,"Unknown")</f>
        <v/>
      </c>
      <c r="T129" s="31">
        <f>XLOOKUP(G129,Lookups!$E$7:$E$11,Lookups!$F$7:$F$11,0)</f>
        <v/>
      </c>
      <c r="U129" s="32">
        <f>R129-T129</f>
        <v/>
      </c>
      <c r="V129">
        <f>XLOOKUP(I129,Lookups!$H$7:$H$10,Lookups!$I$7:$I$10,"")</f>
        <v/>
      </c>
      <c r="W129">
        <f>IF(O129&gt;=50000,"HIGH VALUE","")</f>
        <v/>
      </c>
      <c r="X129">
        <f>IF(Q129&lt;0,"LOSS","")</f>
        <v/>
      </c>
      <c r="Y129">
        <f>IFS(M129&gt;=0.15,"Deep Discount",M129&gt;=0.1,"Moderate",TRUE,"Standard")</f>
        <v/>
      </c>
    </row>
    <row r="130">
      <c r="A130">
        <f>Raw_Data!A130</f>
        <v/>
      </c>
      <c r="B130" s="29">
        <f>Raw_Data!B130</f>
        <v/>
      </c>
      <c r="C130">
        <f>YEAR(B130)</f>
        <v/>
      </c>
      <c r="D130">
        <f>MONTH(B130)</f>
        <v/>
      </c>
      <c r="E130">
        <f>TEXT(B130,"MMM-YYYY")</f>
        <v/>
      </c>
      <c r="F130">
        <f>Raw_Data!C130</f>
        <v/>
      </c>
      <c r="G130">
        <f>Raw_Data!D130</f>
        <v/>
      </c>
      <c r="H130">
        <f>Raw_Data!E130</f>
        <v/>
      </c>
      <c r="I130">
        <f>Raw_Data!F130</f>
        <v/>
      </c>
      <c r="J130">
        <f>Raw_Data!G130</f>
        <v/>
      </c>
      <c r="K130">
        <f>Raw_Data!H130</f>
        <v/>
      </c>
      <c r="L130" s="30">
        <f>Raw_Data!I130</f>
        <v/>
      </c>
      <c r="M130" s="31">
        <f>Raw_Data!J130</f>
        <v/>
      </c>
      <c r="N130" s="17">
        <f>K130*L130</f>
        <v/>
      </c>
      <c r="O130" s="17">
        <f>N130*(1-M130)</f>
        <v/>
      </c>
      <c r="P130" s="17">
        <f>Raw_Data!L130</f>
        <v/>
      </c>
      <c r="Q130" s="17">
        <f>O130-P130</f>
        <v/>
      </c>
      <c r="R130" s="31">
        <f>IF(O130=0,0,Q130/O130)</f>
        <v/>
      </c>
      <c r="S130">
        <f>XLOOKUP(F130,Lookups!$B$7:$B$11,Lookups!$C$7:$C$11,"Unknown")</f>
        <v/>
      </c>
      <c r="T130" s="31">
        <f>XLOOKUP(G130,Lookups!$E$7:$E$11,Lookups!$F$7:$F$11,0)</f>
        <v/>
      </c>
      <c r="U130" s="32">
        <f>R130-T130</f>
        <v/>
      </c>
      <c r="V130">
        <f>XLOOKUP(I130,Lookups!$H$7:$H$10,Lookups!$I$7:$I$10,"")</f>
        <v/>
      </c>
      <c r="W130">
        <f>IF(O130&gt;=50000,"HIGH VALUE","")</f>
        <v/>
      </c>
      <c r="X130">
        <f>IF(Q130&lt;0,"LOSS","")</f>
        <v/>
      </c>
      <c r="Y130">
        <f>IFS(M130&gt;=0.15,"Deep Discount",M130&gt;=0.1,"Moderate",TRUE,"Standard")</f>
        <v/>
      </c>
    </row>
    <row r="131">
      <c r="A131">
        <f>Raw_Data!A131</f>
        <v/>
      </c>
      <c r="B131" s="29">
        <f>Raw_Data!B131</f>
        <v/>
      </c>
      <c r="C131">
        <f>YEAR(B131)</f>
        <v/>
      </c>
      <c r="D131">
        <f>MONTH(B131)</f>
        <v/>
      </c>
      <c r="E131">
        <f>TEXT(B131,"MMM-YYYY")</f>
        <v/>
      </c>
      <c r="F131">
        <f>Raw_Data!C131</f>
        <v/>
      </c>
      <c r="G131">
        <f>Raw_Data!D131</f>
        <v/>
      </c>
      <c r="H131">
        <f>Raw_Data!E131</f>
        <v/>
      </c>
      <c r="I131">
        <f>Raw_Data!F131</f>
        <v/>
      </c>
      <c r="J131">
        <f>Raw_Data!G131</f>
        <v/>
      </c>
      <c r="K131">
        <f>Raw_Data!H131</f>
        <v/>
      </c>
      <c r="L131" s="30">
        <f>Raw_Data!I131</f>
        <v/>
      </c>
      <c r="M131" s="31">
        <f>Raw_Data!J131</f>
        <v/>
      </c>
      <c r="N131" s="17">
        <f>K131*L131</f>
        <v/>
      </c>
      <c r="O131" s="17">
        <f>N131*(1-M131)</f>
        <v/>
      </c>
      <c r="P131" s="17">
        <f>Raw_Data!L131</f>
        <v/>
      </c>
      <c r="Q131" s="17">
        <f>O131-P131</f>
        <v/>
      </c>
      <c r="R131" s="31">
        <f>IF(O131=0,0,Q131/O131)</f>
        <v/>
      </c>
      <c r="S131">
        <f>XLOOKUP(F131,Lookups!$B$7:$B$11,Lookups!$C$7:$C$11,"Unknown")</f>
        <v/>
      </c>
      <c r="T131" s="31">
        <f>XLOOKUP(G131,Lookups!$E$7:$E$11,Lookups!$F$7:$F$11,0)</f>
        <v/>
      </c>
      <c r="U131" s="32">
        <f>R131-T131</f>
        <v/>
      </c>
      <c r="V131">
        <f>XLOOKUP(I131,Lookups!$H$7:$H$10,Lookups!$I$7:$I$10,"")</f>
        <v/>
      </c>
      <c r="W131">
        <f>IF(O131&gt;=50000,"HIGH VALUE","")</f>
        <v/>
      </c>
      <c r="X131">
        <f>IF(Q131&lt;0,"LOSS","")</f>
        <v/>
      </c>
      <c r="Y131">
        <f>IFS(M131&gt;=0.15,"Deep Discount",M131&gt;=0.1,"Moderate",TRUE,"Standard")</f>
        <v/>
      </c>
    </row>
    <row r="132">
      <c r="A132">
        <f>Raw_Data!A132</f>
        <v/>
      </c>
      <c r="B132" s="29">
        <f>Raw_Data!B132</f>
        <v/>
      </c>
      <c r="C132">
        <f>YEAR(B132)</f>
        <v/>
      </c>
      <c r="D132">
        <f>MONTH(B132)</f>
        <v/>
      </c>
      <c r="E132">
        <f>TEXT(B132,"MMM-YYYY")</f>
        <v/>
      </c>
      <c r="F132">
        <f>Raw_Data!C132</f>
        <v/>
      </c>
      <c r="G132">
        <f>Raw_Data!D132</f>
        <v/>
      </c>
      <c r="H132">
        <f>Raw_Data!E132</f>
        <v/>
      </c>
      <c r="I132">
        <f>Raw_Data!F132</f>
        <v/>
      </c>
      <c r="J132">
        <f>Raw_Data!G132</f>
        <v/>
      </c>
      <c r="K132">
        <f>Raw_Data!H132</f>
        <v/>
      </c>
      <c r="L132" s="30">
        <f>Raw_Data!I132</f>
        <v/>
      </c>
      <c r="M132" s="31">
        <f>Raw_Data!J132</f>
        <v/>
      </c>
      <c r="N132" s="17">
        <f>K132*L132</f>
        <v/>
      </c>
      <c r="O132" s="17">
        <f>N132*(1-M132)</f>
        <v/>
      </c>
      <c r="P132" s="17">
        <f>Raw_Data!L132</f>
        <v/>
      </c>
      <c r="Q132" s="17">
        <f>O132-P132</f>
        <v/>
      </c>
      <c r="R132" s="31">
        <f>IF(O132=0,0,Q132/O132)</f>
        <v/>
      </c>
      <c r="S132">
        <f>XLOOKUP(F132,Lookups!$B$7:$B$11,Lookups!$C$7:$C$11,"Unknown")</f>
        <v/>
      </c>
      <c r="T132" s="31">
        <f>XLOOKUP(G132,Lookups!$E$7:$E$11,Lookups!$F$7:$F$11,0)</f>
        <v/>
      </c>
      <c r="U132" s="32">
        <f>R132-T132</f>
        <v/>
      </c>
      <c r="V132">
        <f>XLOOKUP(I132,Lookups!$H$7:$H$10,Lookups!$I$7:$I$10,"")</f>
        <v/>
      </c>
      <c r="W132">
        <f>IF(O132&gt;=50000,"HIGH VALUE","")</f>
        <v/>
      </c>
      <c r="X132">
        <f>IF(Q132&lt;0,"LOSS","")</f>
        <v/>
      </c>
      <c r="Y132">
        <f>IFS(M132&gt;=0.15,"Deep Discount",M132&gt;=0.1,"Moderate",TRUE,"Standard")</f>
        <v/>
      </c>
    </row>
    <row r="133">
      <c r="A133">
        <f>Raw_Data!A133</f>
        <v/>
      </c>
      <c r="B133" s="29">
        <f>Raw_Data!B133</f>
        <v/>
      </c>
      <c r="C133">
        <f>YEAR(B133)</f>
        <v/>
      </c>
      <c r="D133">
        <f>MONTH(B133)</f>
        <v/>
      </c>
      <c r="E133">
        <f>TEXT(B133,"MMM-YYYY")</f>
        <v/>
      </c>
      <c r="F133">
        <f>Raw_Data!C133</f>
        <v/>
      </c>
      <c r="G133">
        <f>Raw_Data!D133</f>
        <v/>
      </c>
      <c r="H133">
        <f>Raw_Data!E133</f>
        <v/>
      </c>
      <c r="I133">
        <f>Raw_Data!F133</f>
        <v/>
      </c>
      <c r="J133">
        <f>Raw_Data!G133</f>
        <v/>
      </c>
      <c r="K133">
        <f>Raw_Data!H133</f>
        <v/>
      </c>
      <c r="L133" s="30">
        <f>Raw_Data!I133</f>
        <v/>
      </c>
      <c r="M133" s="31">
        <f>Raw_Data!J133</f>
        <v/>
      </c>
      <c r="N133" s="17">
        <f>K133*L133</f>
        <v/>
      </c>
      <c r="O133" s="17">
        <f>N133*(1-M133)</f>
        <v/>
      </c>
      <c r="P133" s="17">
        <f>Raw_Data!L133</f>
        <v/>
      </c>
      <c r="Q133" s="17">
        <f>O133-P133</f>
        <v/>
      </c>
      <c r="R133" s="31">
        <f>IF(O133=0,0,Q133/O133)</f>
        <v/>
      </c>
      <c r="S133">
        <f>XLOOKUP(F133,Lookups!$B$7:$B$11,Lookups!$C$7:$C$11,"Unknown")</f>
        <v/>
      </c>
      <c r="T133" s="31">
        <f>XLOOKUP(G133,Lookups!$E$7:$E$11,Lookups!$F$7:$F$11,0)</f>
        <v/>
      </c>
      <c r="U133" s="32">
        <f>R133-T133</f>
        <v/>
      </c>
      <c r="V133">
        <f>XLOOKUP(I133,Lookups!$H$7:$H$10,Lookups!$I$7:$I$10,"")</f>
        <v/>
      </c>
      <c r="W133">
        <f>IF(O133&gt;=50000,"HIGH VALUE","")</f>
        <v/>
      </c>
      <c r="X133">
        <f>IF(Q133&lt;0,"LOSS","")</f>
        <v/>
      </c>
      <c r="Y133">
        <f>IFS(M133&gt;=0.15,"Deep Discount",M133&gt;=0.1,"Moderate",TRUE,"Standard")</f>
        <v/>
      </c>
    </row>
    <row r="134">
      <c r="A134">
        <f>Raw_Data!A134</f>
        <v/>
      </c>
      <c r="B134" s="29">
        <f>Raw_Data!B134</f>
        <v/>
      </c>
      <c r="C134">
        <f>YEAR(B134)</f>
        <v/>
      </c>
      <c r="D134">
        <f>MONTH(B134)</f>
        <v/>
      </c>
      <c r="E134">
        <f>TEXT(B134,"MMM-YYYY")</f>
        <v/>
      </c>
      <c r="F134">
        <f>Raw_Data!C134</f>
        <v/>
      </c>
      <c r="G134">
        <f>Raw_Data!D134</f>
        <v/>
      </c>
      <c r="H134">
        <f>Raw_Data!E134</f>
        <v/>
      </c>
      <c r="I134">
        <f>Raw_Data!F134</f>
        <v/>
      </c>
      <c r="J134">
        <f>Raw_Data!G134</f>
        <v/>
      </c>
      <c r="K134">
        <f>Raw_Data!H134</f>
        <v/>
      </c>
      <c r="L134" s="30">
        <f>Raw_Data!I134</f>
        <v/>
      </c>
      <c r="M134" s="31">
        <f>Raw_Data!J134</f>
        <v/>
      </c>
      <c r="N134" s="17">
        <f>K134*L134</f>
        <v/>
      </c>
      <c r="O134" s="17">
        <f>N134*(1-M134)</f>
        <v/>
      </c>
      <c r="P134" s="17">
        <f>Raw_Data!L134</f>
        <v/>
      </c>
      <c r="Q134" s="17">
        <f>O134-P134</f>
        <v/>
      </c>
      <c r="R134" s="31">
        <f>IF(O134=0,0,Q134/O134)</f>
        <v/>
      </c>
      <c r="S134">
        <f>XLOOKUP(F134,Lookups!$B$7:$B$11,Lookups!$C$7:$C$11,"Unknown")</f>
        <v/>
      </c>
      <c r="T134" s="31">
        <f>XLOOKUP(G134,Lookups!$E$7:$E$11,Lookups!$F$7:$F$11,0)</f>
        <v/>
      </c>
      <c r="U134" s="32">
        <f>R134-T134</f>
        <v/>
      </c>
      <c r="V134">
        <f>XLOOKUP(I134,Lookups!$H$7:$H$10,Lookups!$I$7:$I$10,"")</f>
        <v/>
      </c>
      <c r="W134">
        <f>IF(O134&gt;=50000,"HIGH VALUE","")</f>
        <v/>
      </c>
      <c r="X134">
        <f>IF(Q134&lt;0,"LOSS","")</f>
        <v/>
      </c>
      <c r="Y134">
        <f>IFS(M134&gt;=0.15,"Deep Discount",M134&gt;=0.1,"Moderate",TRUE,"Standard")</f>
        <v/>
      </c>
    </row>
    <row r="135">
      <c r="A135">
        <f>Raw_Data!A135</f>
        <v/>
      </c>
      <c r="B135" s="29">
        <f>Raw_Data!B135</f>
        <v/>
      </c>
      <c r="C135">
        <f>YEAR(B135)</f>
        <v/>
      </c>
      <c r="D135">
        <f>MONTH(B135)</f>
        <v/>
      </c>
      <c r="E135">
        <f>TEXT(B135,"MMM-YYYY")</f>
        <v/>
      </c>
      <c r="F135">
        <f>Raw_Data!C135</f>
        <v/>
      </c>
      <c r="G135">
        <f>Raw_Data!D135</f>
        <v/>
      </c>
      <c r="H135">
        <f>Raw_Data!E135</f>
        <v/>
      </c>
      <c r="I135">
        <f>Raw_Data!F135</f>
        <v/>
      </c>
      <c r="J135">
        <f>Raw_Data!G135</f>
        <v/>
      </c>
      <c r="K135">
        <f>Raw_Data!H135</f>
        <v/>
      </c>
      <c r="L135" s="30">
        <f>Raw_Data!I135</f>
        <v/>
      </c>
      <c r="M135" s="31">
        <f>Raw_Data!J135</f>
        <v/>
      </c>
      <c r="N135" s="17">
        <f>K135*L135</f>
        <v/>
      </c>
      <c r="O135" s="17">
        <f>N135*(1-M135)</f>
        <v/>
      </c>
      <c r="P135" s="17">
        <f>Raw_Data!L135</f>
        <v/>
      </c>
      <c r="Q135" s="17">
        <f>O135-P135</f>
        <v/>
      </c>
      <c r="R135" s="31">
        <f>IF(O135=0,0,Q135/O135)</f>
        <v/>
      </c>
      <c r="S135">
        <f>XLOOKUP(F135,Lookups!$B$7:$B$11,Lookups!$C$7:$C$11,"Unknown")</f>
        <v/>
      </c>
      <c r="T135" s="31">
        <f>XLOOKUP(G135,Lookups!$E$7:$E$11,Lookups!$F$7:$F$11,0)</f>
        <v/>
      </c>
      <c r="U135" s="32">
        <f>R135-T135</f>
        <v/>
      </c>
      <c r="V135">
        <f>XLOOKUP(I135,Lookups!$H$7:$H$10,Lookups!$I$7:$I$10,"")</f>
        <v/>
      </c>
      <c r="W135">
        <f>IF(O135&gt;=50000,"HIGH VALUE","")</f>
        <v/>
      </c>
      <c r="X135">
        <f>IF(Q135&lt;0,"LOSS","")</f>
        <v/>
      </c>
      <c r="Y135">
        <f>IFS(M135&gt;=0.15,"Deep Discount",M135&gt;=0.1,"Moderate",TRUE,"Standard")</f>
        <v/>
      </c>
    </row>
    <row r="136">
      <c r="A136">
        <f>Raw_Data!A136</f>
        <v/>
      </c>
      <c r="B136" s="29">
        <f>Raw_Data!B136</f>
        <v/>
      </c>
      <c r="C136">
        <f>YEAR(B136)</f>
        <v/>
      </c>
      <c r="D136">
        <f>MONTH(B136)</f>
        <v/>
      </c>
      <c r="E136">
        <f>TEXT(B136,"MMM-YYYY")</f>
        <v/>
      </c>
      <c r="F136">
        <f>Raw_Data!C136</f>
        <v/>
      </c>
      <c r="G136">
        <f>Raw_Data!D136</f>
        <v/>
      </c>
      <c r="H136">
        <f>Raw_Data!E136</f>
        <v/>
      </c>
      <c r="I136">
        <f>Raw_Data!F136</f>
        <v/>
      </c>
      <c r="J136">
        <f>Raw_Data!G136</f>
        <v/>
      </c>
      <c r="K136">
        <f>Raw_Data!H136</f>
        <v/>
      </c>
      <c r="L136" s="30">
        <f>Raw_Data!I136</f>
        <v/>
      </c>
      <c r="M136" s="31">
        <f>Raw_Data!J136</f>
        <v/>
      </c>
      <c r="N136" s="17">
        <f>K136*L136</f>
        <v/>
      </c>
      <c r="O136" s="17">
        <f>N136*(1-M136)</f>
        <v/>
      </c>
      <c r="P136" s="17">
        <f>Raw_Data!L136</f>
        <v/>
      </c>
      <c r="Q136" s="17">
        <f>O136-P136</f>
        <v/>
      </c>
      <c r="R136" s="31">
        <f>IF(O136=0,0,Q136/O136)</f>
        <v/>
      </c>
      <c r="S136">
        <f>XLOOKUP(F136,Lookups!$B$7:$B$11,Lookups!$C$7:$C$11,"Unknown")</f>
        <v/>
      </c>
      <c r="T136" s="31">
        <f>XLOOKUP(G136,Lookups!$E$7:$E$11,Lookups!$F$7:$F$11,0)</f>
        <v/>
      </c>
      <c r="U136" s="32">
        <f>R136-T136</f>
        <v/>
      </c>
      <c r="V136">
        <f>XLOOKUP(I136,Lookups!$H$7:$H$10,Lookups!$I$7:$I$10,"")</f>
        <v/>
      </c>
      <c r="W136">
        <f>IF(O136&gt;=50000,"HIGH VALUE","")</f>
        <v/>
      </c>
      <c r="X136">
        <f>IF(Q136&lt;0,"LOSS","")</f>
        <v/>
      </c>
      <c r="Y136">
        <f>IFS(M136&gt;=0.15,"Deep Discount",M136&gt;=0.1,"Moderate",TRUE,"Standard")</f>
        <v/>
      </c>
    </row>
    <row r="137">
      <c r="A137">
        <f>Raw_Data!A137</f>
        <v/>
      </c>
      <c r="B137" s="29">
        <f>Raw_Data!B137</f>
        <v/>
      </c>
      <c r="C137">
        <f>YEAR(B137)</f>
        <v/>
      </c>
      <c r="D137">
        <f>MONTH(B137)</f>
        <v/>
      </c>
      <c r="E137">
        <f>TEXT(B137,"MMM-YYYY")</f>
        <v/>
      </c>
      <c r="F137">
        <f>Raw_Data!C137</f>
        <v/>
      </c>
      <c r="G137">
        <f>Raw_Data!D137</f>
        <v/>
      </c>
      <c r="H137">
        <f>Raw_Data!E137</f>
        <v/>
      </c>
      <c r="I137">
        <f>Raw_Data!F137</f>
        <v/>
      </c>
      <c r="J137">
        <f>Raw_Data!G137</f>
        <v/>
      </c>
      <c r="K137">
        <f>Raw_Data!H137</f>
        <v/>
      </c>
      <c r="L137" s="30">
        <f>Raw_Data!I137</f>
        <v/>
      </c>
      <c r="M137" s="31">
        <f>Raw_Data!J137</f>
        <v/>
      </c>
      <c r="N137" s="17">
        <f>K137*L137</f>
        <v/>
      </c>
      <c r="O137" s="17">
        <f>N137*(1-M137)</f>
        <v/>
      </c>
      <c r="P137" s="17">
        <f>Raw_Data!L137</f>
        <v/>
      </c>
      <c r="Q137" s="17">
        <f>O137-P137</f>
        <v/>
      </c>
      <c r="R137" s="31">
        <f>IF(O137=0,0,Q137/O137)</f>
        <v/>
      </c>
      <c r="S137">
        <f>XLOOKUP(F137,Lookups!$B$7:$B$11,Lookups!$C$7:$C$11,"Unknown")</f>
        <v/>
      </c>
      <c r="T137" s="31">
        <f>XLOOKUP(G137,Lookups!$E$7:$E$11,Lookups!$F$7:$F$11,0)</f>
        <v/>
      </c>
      <c r="U137" s="32">
        <f>R137-T137</f>
        <v/>
      </c>
      <c r="V137">
        <f>XLOOKUP(I137,Lookups!$H$7:$H$10,Lookups!$I$7:$I$10,"")</f>
        <v/>
      </c>
      <c r="W137">
        <f>IF(O137&gt;=50000,"HIGH VALUE","")</f>
        <v/>
      </c>
      <c r="X137">
        <f>IF(Q137&lt;0,"LOSS","")</f>
        <v/>
      </c>
      <c r="Y137">
        <f>IFS(M137&gt;=0.15,"Deep Discount",M137&gt;=0.1,"Moderate",TRUE,"Standard")</f>
        <v/>
      </c>
    </row>
    <row r="138">
      <c r="A138">
        <f>Raw_Data!A138</f>
        <v/>
      </c>
      <c r="B138" s="29">
        <f>Raw_Data!B138</f>
        <v/>
      </c>
      <c r="C138">
        <f>YEAR(B138)</f>
        <v/>
      </c>
      <c r="D138">
        <f>MONTH(B138)</f>
        <v/>
      </c>
      <c r="E138">
        <f>TEXT(B138,"MMM-YYYY")</f>
        <v/>
      </c>
      <c r="F138">
        <f>Raw_Data!C138</f>
        <v/>
      </c>
      <c r="G138">
        <f>Raw_Data!D138</f>
        <v/>
      </c>
      <c r="H138">
        <f>Raw_Data!E138</f>
        <v/>
      </c>
      <c r="I138">
        <f>Raw_Data!F138</f>
        <v/>
      </c>
      <c r="J138">
        <f>Raw_Data!G138</f>
        <v/>
      </c>
      <c r="K138">
        <f>Raw_Data!H138</f>
        <v/>
      </c>
      <c r="L138" s="30">
        <f>Raw_Data!I138</f>
        <v/>
      </c>
      <c r="M138" s="31">
        <f>Raw_Data!J138</f>
        <v/>
      </c>
      <c r="N138" s="17">
        <f>K138*L138</f>
        <v/>
      </c>
      <c r="O138" s="17">
        <f>N138*(1-M138)</f>
        <v/>
      </c>
      <c r="P138" s="17">
        <f>Raw_Data!L138</f>
        <v/>
      </c>
      <c r="Q138" s="17">
        <f>O138-P138</f>
        <v/>
      </c>
      <c r="R138" s="31">
        <f>IF(O138=0,0,Q138/O138)</f>
        <v/>
      </c>
      <c r="S138">
        <f>XLOOKUP(F138,Lookups!$B$7:$B$11,Lookups!$C$7:$C$11,"Unknown")</f>
        <v/>
      </c>
      <c r="T138" s="31">
        <f>XLOOKUP(G138,Lookups!$E$7:$E$11,Lookups!$F$7:$F$11,0)</f>
        <v/>
      </c>
      <c r="U138" s="32">
        <f>R138-T138</f>
        <v/>
      </c>
      <c r="V138">
        <f>XLOOKUP(I138,Lookups!$H$7:$H$10,Lookups!$I$7:$I$10,"")</f>
        <v/>
      </c>
      <c r="W138">
        <f>IF(O138&gt;=50000,"HIGH VALUE","")</f>
        <v/>
      </c>
      <c r="X138">
        <f>IF(Q138&lt;0,"LOSS","")</f>
        <v/>
      </c>
      <c r="Y138">
        <f>IFS(M138&gt;=0.15,"Deep Discount",M138&gt;=0.1,"Moderate",TRUE,"Standard")</f>
        <v/>
      </c>
    </row>
    <row r="139">
      <c r="A139">
        <f>Raw_Data!A139</f>
        <v/>
      </c>
      <c r="B139" s="29">
        <f>Raw_Data!B139</f>
        <v/>
      </c>
      <c r="C139">
        <f>YEAR(B139)</f>
        <v/>
      </c>
      <c r="D139">
        <f>MONTH(B139)</f>
        <v/>
      </c>
      <c r="E139">
        <f>TEXT(B139,"MMM-YYYY")</f>
        <v/>
      </c>
      <c r="F139">
        <f>Raw_Data!C139</f>
        <v/>
      </c>
      <c r="G139">
        <f>Raw_Data!D139</f>
        <v/>
      </c>
      <c r="H139">
        <f>Raw_Data!E139</f>
        <v/>
      </c>
      <c r="I139">
        <f>Raw_Data!F139</f>
        <v/>
      </c>
      <c r="J139">
        <f>Raw_Data!G139</f>
        <v/>
      </c>
      <c r="K139">
        <f>Raw_Data!H139</f>
        <v/>
      </c>
      <c r="L139" s="30">
        <f>Raw_Data!I139</f>
        <v/>
      </c>
      <c r="M139" s="31">
        <f>Raw_Data!J139</f>
        <v/>
      </c>
      <c r="N139" s="17">
        <f>K139*L139</f>
        <v/>
      </c>
      <c r="O139" s="17">
        <f>N139*(1-M139)</f>
        <v/>
      </c>
      <c r="P139" s="17">
        <f>Raw_Data!L139</f>
        <v/>
      </c>
      <c r="Q139" s="17">
        <f>O139-P139</f>
        <v/>
      </c>
      <c r="R139" s="31">
        <f>IF(O139=0,0,Q139/O139)</f>
        <v/>
      </c>
      <c r="S139">
        <f>XLOOKUP(F139,Lookups!$B$7:$B$11,Lookups!$C$7:$C$11,"Unknown")</f>
        <v/>
      </c>
      <c r="T139" s="31">
        <f>XLOOKUP(G139,Lookups!$E$7:$E$11,Lookups!$F$7:$F$11,0)</f>
        <v/>
      </c>
      <c r="U139" s="32">
        <f>R139-T139</f>
        <v/>
      </c>
      <c r="V139">
        <f>XLOOKUP(I139,Lookups!$H$7:$H$10,Lookups!$I$7:$I$10,"")</f>
        <v/>
      </c>
      <c r="W139">
        <f>IF(O139&gt;=50000,"HIGH VALUE","")</f>
        <v/>
      </c>
      <c r="X139">
        <f>IF(Q139&lt;0,"LOSS","")</f>
        <v/>
      </c>
      <c r="Y139">
        <f>IFS(M139&gt;=0.15,"Deep Discount",M139&gt;=0.1,"Moderate",TRUE,"Standard")</f>
        <v/>
      </c>
    </row>
    <row r="140">
      <c r="A140">
        <f>Raw_Data!A140</f>
        <v/>
      </c>
      <c r="B140" s="29">
        <f>Raw_Data!B140</f>
        <v/>
      </c>
      <c r="C140">
        <f>YEAR(B140)</f>
        <v/>
      </c>
      <c r="D140">
        <f>MONTH(B140)</f>
        <v/>
      </c>
      <c r="E140">
        <f>TEXT(B140,"MMM-YYYY")</f>
        <v/>
      </c>
      <c r="F140">
        <f>Raw_Data!C140</f>
        <v/>
      </c>
      <c r="G140">
        <f>Raw_Data!D140</f>
        <v/>
      </c>
      <c r="H140">
        <f>Raw_Data!E140</f>
        <v/>
      </c>
      <c r="I140">
        <f>Raw_Data!F140</f>
        <v/>
      </c>
      <c r="J140">
        <f>Raw_Data!G140</f>
        <v/>
      </c>
      <c r="K140">
        <f>Raw_Data!H140</f>
        <v/>
      </c>
      <c r="L140" s="30">
        <f>Raw_Data!I140</f>
        <v/>
      </c>
      <c r="M140" s="31">
        <f>Raw_Data!J140</f>
        <v/>
      </c>
      <c r="N140" s="17">
        <f>K140*L140</f>
        <v/>
      </c>
      <c r="O140" s="17">
        <f>N140*(1-M140)</f>
        <v/>
      </c>
      <c r="P140" s="17">
        <f>Raw_Data!L140</f>
        <v/>
      </c>
      <c r="Q140" s="17">
        <f>O140-P140</f>
        <v/>
      </c>
      <c r="R140" s="31">
        <f>IF(O140=0,0,Q140/O140)</f>
        <v/>
      </c>
      <c r="S140">
        <f>XLOOKUP(F140,Lookups!$B$7:$B$11,Lookups!$C$7:$C$11,"Unknown")</f>
        <v/>
      </c>
      <c r="T140" s="31">
        <f>XLOOKUP(G140,Lookups!$E$7:$E$11,Lookups!$F$7:$F$11,0)</f>
        <v/>
      </c>
      <c r="U140" s="32">
        <f>R140-T140</f>
        <v/>
      </c>
      <c r="V140">
        <f>XLOOKUP(I140,Lookups!$H$7:$H$10,Lookups!$I$7:$I$10,"")</f>
        <v/>
      </c>
      <c r="W140">
        <f>IF(O140&gt;=50000,"HIGH VALUE","")</f>
        <v/>
      </c>
      <c r="X140">
        <f>IF(Q140&lt;0,"LOSS","")</f>
        <v/>
      </c>
      <c r="Y140">
        <f>IFS(M140&gt;=0.15,"Deep Discount",M140&gt;=0.1,"Moderate",TRUE,"Standard")</f>
        <v/>
      </c>
    </row>
    <row r="141">
      <c r="A141">
        <f>Raw_Data!A141</f>
        <v/>
      </c>
      <c r="B141" s="29">
        <f>Raw_Data!B141</f>
        <v/>
      </c>
      <c r="C141">
        <f>YEAR(B141)</f>
        <v/>
      </c>
      <c r="D141">
        <f>MONTH(B141)</f>
        <v/>
      </c>
      <c r="E141">
        <f>TEXT(B141,"MMM-YYYY")</f>
        <v/>
      </c>
      <c r="F141">
        <f>Raw_Data!C141</f>
        <v/>
      </c>
      <c r="G141">
        <f>Raw_Data!D141</f>
        <v/>
      </c>
      <c r="H141">
        <f>Raw_Data!E141</f>
        <v/>
      </c>
      <c r="I141">
        <f>Raw_Data!F141</f>
        <v/>
      </c>
      <c r="J141">
        <f>Raw_Data!G141</f>
        <v/>
      </c>
      <c r="K141">
        <f>Raw_Data!H141</f>
        <v/>
      </c>
      <c r="L141" s="30">
        <f>Raw_Data!I141</f>
        <v/>
      </c>
      <c r="M141" s="31">
        <f>Raw_Data!J141</f>
        <v/>
      </c>
      <c r="N141" s="17">
        <f>K141*L141</f>
        <v/>
      </c>
      <c r="O141" s="17">
        <f>N141*(1-M141)</f>
        <v/>
      </c>
      <c r="P141" s="17">
        <f>Raw_Data!L141</f>
        <v/>
      </c>
      <c r="Q141" s="17">
        <f>O141-P141</f>
        <v/>
      </c>
      <c r="R141" s="31">
        <f>IF(O141=0,0,Q141/O141)</f>
        <v/>
      </c>
      <c r="S141">
        <f>XLOOKUP(F141,Lookups!$B$7:$B$11,Lookups!$C$7:$C$11,"Unknown")</f>
        <v/>
      </c>
      <c r="T141" s="31">
        <f>XLOOKUP(G141,Lookups!$E$7:$E$11,Lookups!$F$7:$F$11,0)</f>
        <v/>
      </c>
      <c r="U141" s="32">
        <f>R141-T141</f>
        <v/>
      </c>
      <c r="V141">
        <f>XLOOKUP(I141,Lookups!$H$7:$H$10,Lookups!$I$7:$I$10,"")</f>
        <v/>
      </c>
      <c r="W141">
        <f>IF(O141&gt;=50000,"HIGH VALUE","")</f>
        <v/>
      </c>
      <c r="X141">
        <f>IF(Q141&lt;0,"LOSS","")</f>
        <v/>
      </c>
      <c r="Y141">
        <f>IFS(M141&gt;=0.15,"Deep Discount",M141&gt;=0.1,"Moderate",TRUE,"Standard")</f>
        <v/>
      </c>
    </row>
    <row r="142">
      <c r="A142">
        <f>Raw_Data!A142</f>
        <v/>
      </c>
      <c r="B142" s="29">
        <f>Raw_Data!B142</f>
        <v/>
      </c>
      <c r="C142">
        <f>YEAR(B142)</f>
        <v/>
      </c>
      <c r="D142">
        <f>MONTH(B142)</f>
        <v/>
      </c>
      <c r="E142">
        <f>TEXT(B142,"MMM-YYYY")</f>
        <v/>
      </c>
      <c r="F142">
        <f>Raw_Data!C142</f>
        <v/>
      </c>
      <c r="G142">
        <f>Raw_Data!D142</f>
        <v/>
      </c>
      <c r="H142">
        <f>Raw_Data!E142</f>
        <v/>
      </c>
      <c r="I142">
        <f>Raw_Data!F142</f>
        <v/>
      </c>
      <c r="J142">
        <f>Raw_Data!G142</f>
        <v/>
      </c>
      <c r="K142">
        <f>Raw_Data!H142</f>
        <v/>
      </c>
      <c r="L142" s="30">
        <f>Raw_Data!I142</f>
        <v/>
      </c>
      <c r="M142" s="31">
        <f>Raw_Data!J142</f>
        <v/>
      </c>
      <c r="N142" s="17">
        <f>K142*L142</f>
        <v/>
      </c>
      <c r="O142" s="17">
        <f>N142*(1-M142)</f>
        <v/>
      </c>
      <c r="P142" s="17">
        <f>Raw_Data!L142</f>
        <v/>
      </c>
      <c r="Q142" s="17">
        <f>O142-P142</f>
        <v/>
      </c>
      <c r="R142" s="31">
        <f>IF(O142=0,0,Q142/O142)</f>
        <v/>
      </c>
      <c r="S142">
        <f>XLOOKUP(F142,Lookups!$B$7:$B$11,Lookups!$C$7:$C$11,"Unknown")</f>
        <v/>
      </c>
      <c r="T142" s="31">
        <f>XLOOKUP(G142,Lookups!$E$7:$E$11,Lookups!$F$7:$F$11,0)</f>
        <v/>
      </c>
      <c r="U142" s="32">
        <f>R142-T142</f>
        <v/>
      </c>
      <c r="V142">
        <f>XLOOKUP(I142,Lookups!$H$7:$H$10,Lookups!$I$7:$I$10,"")</f>
        <v/>
      </c>
      <c r="W142">
        <f>IF(O142&gt;=50000,"HIGH VALUE","")</f>
        <v/>
      </c>
      <c r="X142">
        <f>IF(Q142&lt;0,"LOSS","")</f>
        <v/>
      </c>
      <c r="Y142">
        <f>IFS(M142&gt;=0.15,"Deep Discount",M142&gt;=0.1,"Moderate",TRUE,"Standard")</f>
        <v/>
      </c>
    </row>
    <row r="143">
      <c r="A143">
        <f>Raw_Data!A143</f>
        <v/>
      </c>
      <c r="B143" s="29">
        <f>Raw_Data!B143</f>
        <v/>
      </c>
      <c r="C143">
        <f>YEAR(B143)</f>
        <v/>
      </c>
      <c r="D143">
        <f>MONTH(B143)</f>
        <v/>
      </c>
      <c r="E143">
        <f>TEXT(B143,"MMM-YYYY")</f>
        <v/>
      </c>
      <c r="F143">
        <f>Raw_Data!C143</f>
        <v/>
      </c>
      <c r="G143">
        <f>Raw_Data!D143</f>
        <v/>
      </c>
      <c r="H143">
        <f>Raw_Data!E143</f>
        <v/>
      </c>
      <c r="I143">
        <f>Raw_Data!F143</f>
        <v/>
      </c>
      <c r="J143">
        <f>Raw_Data!G143</f>
        <v/>
      </c>
      <c r="K143">
        <f>Raw_Data!H143</f>
        <v/>
      </c>
      <c r="L143" s="30">
        <f>Raw_Data!I143</f>
        <v/>
      </c>
      <c r="M143" s="31">
        <f>Raw_Data!J143</f>
        <v/>
      </c>
      <c r="N143" s="17">
        <f>K143*L143</f>
        <v/>
      </c>
      <c r="O143" s="17">
        <f>N143*(1-M143)</f>
        <v/>
      </c>
      <c r="P143" s="17">
        <f>Raw_Data!L143</f>
        <v/>
      </c>
      <c r="Q143" s="17">
        <f>O143-P143</f>
        <v/>
      </c>
      <c r="R143" s="31">
        <f>IF(O143=0,0,Q143/O143)</f>
        <v/>
      </c>
      <c r="S143">
        <f>XLOOKUP(F143,Lookups!$B$7:$B$11,Lookups!$C$7:$C$11,"Unknown")</f>
        <v/>
      </c>
      <c r="T143" s="31">
        <f>XLOOKUP(G143,Lookups!$E$7:$E$11,Lookups!$F$7:$F$11,0)</f>
        <v/>
      </c>
      <c r="U143" s="32">
        <f>R143-T143</f>
        <v/>
      </c>
      <c r="V143">
        <f>XLOOKUP(I143,Lookups!$H$7:$H$10,Lookups!$I$7:$I$10,"")</f>
        <v/>
      </c>
      <c r="W143">
        <f>IF(O143&gt;=50000,"HIGH VALUE","")</f>
        <v/>
      </c>
      <c r="X143">
        <f>IF(Q143&lt;0,"LOSS","")</f>
        <v/>
      </c>
      <c r="Y143">
        <f>IFS(M143&gt;=0.15,"Deep Discount",M143&gt;=0.1,"Moderate",TRUE,"Standard")</f>
        <v/>
      </c>
    </row>
    <row r="144">
      <c r="A144">
        <f>Raw_Data!A144</f>
        <v/>
      </c>
      <c r="B144" s="29">
        <f>Raw_Data!B144</f>
        <v/>
      </c>
      <c r="C144">
        <f>YEAR(B144)</f>
        <v/>
      </c>
      <c r="D144">
        <f>MONTH(B144)</f>
        <v/>
      </c>
      <c r="E144">
        <f>TEXT(B144,"MMM-YYYY")</f>
        <v/>
      </c>
      <c r="F144">
        <f>Raw_Data!C144</f>
        <v/>
      </c>
      <c r="G144">
        <f>Raw_Data!D144</f>
        <v/>
      </c>
      <c r="H144">
        <f>Raw_Data!E144</f>
        <v/>
      </c>
      <c r="I144">
        <f>Raw_Data!F144</f>
        <v/>
      </c>
      <c r="J144">
        <f>Raw_Data!G144</f>
        <v/>
      </c>
      <c r="K144">
        <f>Raw_Data!H144</f>
        <v/>
      </c>
      <c r="L144" s="30">
        <f>Raw_Data!I144</f>
        <v/>
      </c>
      <c r="M144" s="31">
        <f>Raw_Data!J144</f>
        <v/>
      </c>
      <c r="N144" s="17">
        <f>K144*L144</f>
        <v/>
      </c>
      <c r="O144" s="17">
        <f>N144*(1-M144)</f>
        <v/>
      </c>
      <c r="P144" s="17">
        <f>Raw_Data!L144</f>
        <v/>
      </c>
      <c r="Q144" s="17">
        <f>O144-P144</f>
        <v/>
      </c>
      <c r="R144" s="31">
        <f>IF(O144=0,0,Q144/O144)</f>
        <v/>
      </c>
      <c r="S144">
        <f>XLOOKUP(F144,Lookups!$B$7:$B$11,Lookups!$C$7:$C$11,"Unknown")</f>
        <v/>
      </c>
      <c r="T144" s="31">
        <f>XLOOKUP(G144,Lookups!$E$7:$E$11,Lookups!$F$7:$F$11,0)</f>
        <v/>
      </c>
      <c r="U144" s="32">
        <f>R144-T144</f>
        <v/>
      </c>
      <c r="V144">
        <f>XLOOKUP(I144,Lookups!$H$7:$H$10,Lookups!$I$7:$I$10,"")</f>
        <v/>
      </c>
      <c r="W144">
        <f>IF(O144&gt;=50000,"HIGH VALUE","")</f>
        <v/>
      </c>
      <c r="X144">
        <f>IF(Q144&lt;0,"LOSS","")</f>
        <v/>
      </c>
      <c r="Y144">
        <f>IFS(M144&gt;=0.15,"Deep Discount",M144&gt;=0.1,"Moderate",TRUE,"Standard")</f>
        <v/>
      </c>
    </row>
    <row r="145">
      <c r="A145">
        <f>Raw_Data!A145</f>
        <v/>
      </c>
      <c r="B145" s="29">
        <f>Raw_Data!B145</f>
        <v/>
      </c>
      <c r="C145">
        <f>YEAR(B145)</f>
        <v/>
      </c>
      <c r="D145">
        <f>MONTH(B145)</f>
        <v/>
      </c>
      <c r="E145">
        <f>TEXT(B145,"MMM-YYYY")</f>
        <v/>
      </c>
      <c r="F145">
        <f>Raw_Data!C145</f>
        <v/>
      </c>
      <c r="G145">
        <f>Raw_Data!D145</f>
        <v/>
      </c>
      <c r="H145">
        <f>Raw_Data!E145</f>
        <v/>
      </c>
      <c r="I145">
        <f>Raw_Data!F145</f>
        <v/>
      </c>
      <c r="J145">
        <f>Raw_Data!G145</f>
        <v/>
      </c>
      <c r="K145">
        <f>Raw_Data!H145</f>
        <v/>
      </c>
      <c r="L145" s="30">
        <f>Raw_Data!I145</f>
        <v/>
      </c>
      <c r="M145" s="31">
        <f>Raw_Data!J145</f>
        <v/>
      </c>
      <c r="N145" s="17">
        <f>K145*L145</f>
        <v/>
      </c>
      <c r="O145" s="17">
        <f>N145*(1-M145)</f>
        <v/>
      </c>
      <c r="P145" s="17">
        <f>Raw_Data!L145</f>
        <v/>
      </c>
      <c r="Q145" s="17">
        <f>O145-P145</f>
        <v/>
      </c>
      <c r="R145" s="31">
        <f>IF(O145=0,0,Q145/O145)</f>
        <v/>
      </c>
      <c r="S145">
        <f>XLOOKUP(F145,Lookups!$B$7:$B$11,Lookups!$C$7:$C$11,"Unknown")</f>
        <v/>
      </c>
      <c r="T145" s="31">
        <f>XLOOKUP(G145,Lookups!$E$7:$E$11,Lookups!$F$7:$F$11,0)</f>
        <v/>
      </c>
      <c r="U145" s="32">
        <f>R145-T145</f>
        <v/>
      </c>
      <c r="V145">
        <f>XLOOKUP(I145,Lookups!$H$7:$H$10,Lookups!$I$7:$I$10,"")</f>
        <v/>
      </c>
      <c r="W145">
        <f>IF(O145&gt;=50000,"HIGH VALUE","")</f>
        <v/>
      </c>
      <c r="X145">
        <f>IF(Q145&lt;0,"LOSS","")</f>
        <v/>
      </c>
      <c r="Y145">
        <f>IFS(M145&gt;=0.15,"Deep Discount",M145&gt;=0.1,"Moderate",TRUE,"Standard")</f>
        <v/>
      </c>
    </row>
    <row r="146">
      <c r="A146">
        <f>Raw_Data!A146</f>
        <v/>
      </c>
      <c r="B146" s="29">
        <f>Raw_Data!B146</f>
        <v/>
      </c>
      <c r="C146">
        <f>YEAR(B146)</f>
        <v/>
      </c>
      <c r="D146">
        <f>MONTH(B146)</f>
        <v/>
      </c>
      <c r="E146">
        <f>TEXT(B146,"MMM-YYYY")</f>
        <v/>
      </c>
      <c r="F146">
        <f>Raw_Data!C146</f>
        <v/>
      </c>
      <c r="G146">
        <f>Raw_Data!D146</f>
        <v/>
      </c>
      <c r="H146">
        <f>Raw_Data!E146</f>
        <v/>
      </c>
      <c r="I146">
        <f>Raw_Data!F146</f>
        <v/>
      </c>
      <c r="J146">
        <f>Raw_Data!G146</f>
        <v/>
      </c>
      <c r="K146">
        <f>Raw_Data!H146</f>
        <v/>
      </c>
      <c r="L146" s="30">
        <f>Raw_Data!I146</f>
        <v/>
      </c>
      <c r="M146" s="31">
        <f>Raw_Data!J146</f>
        <v/>
      </c>
      <c r="N146" s="17">
        <f>K146*L146</f>
        <v/>
      </c>
      <c r="O146" s="17">
        <f>N146*(1-M146)</f>
        <v/>
      </c>
      <c r="P146" s="17">
        <f>Raw_Data!L146</f>
        <v/>
      </c>
      <c r="Q146" s="17">
        <f>O146-P146</f>
        <v/>
      </c>
      <c r="R146" s="31">
        <f>IF(O146=0,0,Q146/O146)</f>
        <v/>
      </c>
      <c r="S146">
        <f>XLOOKUP(F146,Lookups!$B$7:$B$11,Lookups!$C$7:$C$11,"Unknown")</f>
        <v/>
      </c>
      <c r="T146" s="31">
        <f>XLOOKUP(G146,Lookups!$E$7:$E$11,Lookups!$F$7:$F$11,0)</f>
        <v/>
      </c>
      <c r="U146" s="32">
        <f>R146-T146</f>
        <v/>
      </c>
      <c r="V146">
        <f>XLOOKUP(I146,Lookups!$H$7:$H$10,Lookups!$I$7:$I$10,"")</f>
        <v/>
      </c>
      <c r="W146">
        <f>IF(O146&gt;=50000,"HIGH VALUE","")</f>
        <v/>
      </c>
      <c r="X146">
        <f>IF(Q146&lt;0,"LOSS","")</f>
        <v/>
      </c>
      <c r="Y146">
        <f>IFS(M146&gt;=0.15,"Deep Discount",M146&gt;=0.1,"Moderate",TRUE,"Standard")</f>
        <v/>
      </c>
    </row>
    <row r="147">
      <c r="A147">
        <f>Raw_Data!A147</f>
        <v/>
      </c>
      <c r="B147" s="29">
        <f>Raw_Data!B147</f>
        <v/>
      </c>
      <c r="C147">
        <f>YEAR(B147)</f>
        <v/>
      </c>
      <c r="D147">
        <f>MONTH(B147)</f>
        <v/>
      </c>
      <c r="E147">
        <f>TEXT(B147,"MMM-YYYY")</f>
        <v/>
      </c>
      <c r="F147">
        <f>Raw_Data!C147</f>
        <v/>
      </c>
      <c r="G147">
        <f>Raw_Data!D147</f>
        <v/>
      </c>
      <c r="H147">
        <f>Raw_Data!E147</f>
        <v/>
      </c>
      <c r="I147">
        <f>Raw_Data!F147</f>
        <v/>
      </c>
      <c r="J147">
        <f>Raw_Data!G147</f>
        <v/>
      </c>
      <c r="K147">
        <f>Raw_Data!H147</f>
        <v/>
      </c>
      <c r="L147" s="30">
        <f>Raw_Data!I147</f>
        <v/>
      </c>
      <c r="M147" s="31">
        <f>Raw_Data!J147</f>
        <v/>
      </c>
      <c r="N147" s="17">
        <f>K147*L147</f>
        <v/>
      </c>
      <c r="O147" s="17">
        <f>N147*(1-M147)</f>
        <v/>
      </c>
      <c r="P147" s="17">
        <f>Raw_Data!L147</f>
        <v/>
      </c>
      <c r="Q147" s="17">
        <f>O147-P147</f>
        <v/>
      </c>
      <c r="R147" s="31">
        <f>IF(O147=0,0,Q147/O147)</f>
        <v/>
      </c>
      <c r="S147">
        <f>XLOOKUP(F147,Lookups!$B$7:$B$11,Lookups!$C$7:$C$11,"Unknown")</f>
        <v/>
      </c>
      <c r="T147" s="31">
        <f>XLOOKUP(G147,Lookups!$E$7:$E$11,Lookups!$F$7:$F$11,0)</f>
        <v/>
      </c>
      <c r="U147" s="32">
        <f>R147-T147</f>
        <v/>
      </c>
      <c r="V147">
        <f>XLOOKUP(I147,Lookups!$H$7:$H$10,Lookups!$I$7:$I$10,"")</f>
        <v/>
      </c>
      <c r="W147">
        <f>IF(O147&gt;=50000,"HIGH VALUE","")</f>
        <v/>
      </c>
      <c r="X147">
        <f>IF(Q147&lt;0,"LOSS","")</f>
        <v/>
      </c>
      <c r="Y147">
        <f>IFS(M147&gt;=0.15,"Deep Discount",M147&gt;=0.1,"Moderate",TRUE,"Standard")</f>
        <v/>
      </c>
    </row>
    <row r="148">
      <c r="A148">
        <f>Raw_Data!A148</f>
        <v/>
      </c>
      <c r="B148" s="29">
        <f>Raw_Data!B148</f>
        <v/>
      </c>
      <c r="C148">
        <f>YEAR(B148)</f>
        <v/>
      </c>
      <c r="D148">
        <f>MONTH(B148)</f>
        <v/>
      </c>
      <c r="E148">
        <f>TEXT(B148,"MMM-YYYY")</f>
        <v/>
      </c>
      <c r="F148">
        <f>Raw_Data!C148</f>
        <v/>
      </c>
      <c r="G148">
        <f>Raw_Data!D148</f>
        <v/>
      </c>
      <c r="H148">
        <f>Raw_Data!E148</f>
        <v/>
      </c>
      <c r="I148">
        <f>Raw_Data!F148</f>
        <v/>
      </c>
      <c r="J148">
        <f>Raw_Data!G148</f>
        <v/>
      </c>
      <c r="K148">
        <f>Raw_Data!H148</f>
        <v/>
      </c>
      <c r="L148" s="30">
        <f>Raw_Data!I148</f>
        <v/>
      </c>
      <c r="M148" s="31">
        <f>Raw_Data!J148</f>
        <v/>
      </c>
      <c r="N148" s="17">
        <f>K148*L148</f>
        <v/>
      </c>
      <c r="O148" s="17">
        <f>N148*(1-M148)</f>
        <v/>
      </c>
      <c r="P148" s="17">
        <f>Raw_Data!L148</f>
        <v/>
      </c>
      <c r="Q148" s="17">
        <f>O148-P148</f>
        <v/>
      </c>
      <c r="R148" s="31">
        <f>IF(O148=0,0,Q148/O148)</f>
        <v/>
      </c>
      <c r="S148">
        <f>XLOOKUP(F148,Lookups!$B$7:$B$11,Lookups!$C$7:$C$11,"Unknown")</f>
        <v/>
      </c>
      <c r="T148" s="31">
        <f>XLOOKUP(G148,Lookups!$E$7:$E$11,Lookups!$F$7:$F$11,0)</f>
        <v/>
      </c>
      <c r="U148" s="32">
        <f>R148-T148</f>
        <v/>
      </c>
      <c r="V148">
        <f>XLOOKUP(I148,Lookups!$H$7:$H$10,Lookups!$I$7:$I$10,"")</f>
        <v/>
      </c>
      <c r="W148">
        <f>IF(O148&gt;=50000,"HIGH VALUE","")</f>
        <v/>
      </c>
      <c r="X148">
        <f>IF(Q148&lt;0,"LOSS","")</f>
        <v/>
      </c>
      <c r="Y148">
        <f>IFS(M148&gt;=0.15,"Deep Discount",M148&gt;=0.1,"Moderate",TRUE,"Standard")</f>
        <v/>
      </c>
    </row>
    <row r="149">
      <c r="A149">
        <f>Raw_Data!A149</f>
        <v/>
      </c>
      <c r="B149" s="29">
        <f>Raw_Data!B149</f>
        <v/>
      </c>
      <c r="C149">
        <f>YEAR(B149)</f>
        <v/>
      </c>
      <c r="D149">
        <f>MONTH(B149)</f>
        <v/>
      </c>
      <c r="E149">
        <f>TEXT(B149,"MMM-YYYY")</f>
        <v/>
      </c>
      <c r="F149">
        <f>Raw_Data!C149</f>
        <v/>
      </c>
      <c r="G149">
        <f>Raw_Data!D149</f>
        <v/>
      </c>
      <c r="H149">
        <f>Raw_Data!E149</f>
        <v/>
      </c>
      <c r="I149">
        <f>Raw_Data!F149</f>
        <v/>
      </c>
      <c r="J149">
        <f>Raw_Data!G149</f>
        <v/>
      </c>
      <c r="K149">
        <f>Raw_Data!H149</f>
        <v/>
      </c>
      <c r="L149" s="30">
        <f>Raw_Data!I149</f>
        <v/>
      </c>
      <c r="M149" s="31">
        <f>Raw_Data!J149</f>
        <v/>
      </c>
      <c r="N149" s="17">
        <f>K149*L149</f>
        <v/>
      </c>
      <c r="O149" s="17">
        <f>N149*(1-M149)</f>
        <v/>
      </c>
      <c r="P149" s="17">
        <f>Raw_Data!L149</f>
        <v/>
      </c>
      <c r="Q149" s="17">
        <f>O149-P149</f>
        <v/>
      </c>
      <c r="R149" s="31">
        <f>IF(O149=0,0,Q149/O149)</f>
        <v/>
      </c>
      <c r="S149">
        <f>XLOOKUP(F149,Lookups!$B$7:$B$11,Lookups!$C$7:$C$11,"Unknown")</f>
        <v/>
      </c>
      <c r="T149" s="31">
        <f>XLOOKUP(G149,Lookups!$E$7:$E$11,Lookups!$F$7:$F$11,0)</f>
        <v/>
      </c>
      <c r="U149" s="32">
        <f>R149-T149</f>
        <v/>
      </c>
      <c r="V149">
        <f>XLOOKUP(I149,Lookups!$H$7:$H$10,Lookups!$I$7:$I$10,"")</f>
        <v/>
      </c>
      <c r="W149">
        <f>IF(O149&gt;=50000,"HIGH VALUE","")</f>
        <v/>
      </c>
      <c r="X149">
        <f>IF(Q149&lt;0,"LOSS","")</f>
        <v/>
      </c>
      <c r="Y149">
        <f>IFS(M149&gt;=0.15,"Deep Discount",M149&gt;=0.1,"Moderate",TRUE,"Standard")</f>
        <v/>
      </c>
    </row>
    <row r="150">
      <c r="A150">
        <f>Raw_Data!A150</f>
        <v/>
      </c>
      <c r="B150" s="29">
        <f>Raw_Data!B150</f>
        <v/>
      </c>
      <c r="C150">
        <f>YEAR(B150)</f>
        <v/>
      </c>
      <c r="D150">
        <f>MONTH(B150)</f>
        <v/>
      </c>
      <c r="E150">
        <f>TEXT(B150,"MMM-YYYY")</f>
        <v/>
      </c>
      <c r="F150">
        <f>Raw_Data!C150</f>
        <v/>
      </c>
      <c r="G150">
        <f>Raw_Data!D150</f>
        <v/>
      </c>
      <c r="H150">
        <f>Raw_Data!E150</f>
        <v/>
      </c>
      <c r="I150">
        <f>Raw_Data!F150</f>
        <v/>
      </c>
      <c r="J150">
        <f>Raw_Data!G150</f>
        <v/>
      </c>
      <c r="K150">
        <f>Raw_Data!H150</f>
        <v/>
      </c>
      <c r="L150" s="30">
        <f>Raw_Data!I150</f>
        <v/>
      </c>
      <c r="M150" s="31">
        <f>Raw_Data!J150</f>
        <v/>
      </c>
      <c r="N150" s="17">
        <f>K150*L150</f>
        <v/>
      </c>
      <c r="O150" s="17">
        <f>N150*(1-M150)</f>
        <v/>
      </c>
      <c r="P150" s="17">
        <f>Raw_Data!L150</f>
        <v/>
      </c>
      <c r="Q150" s="17">
        <f>O150-P150</f>
        <v/>
      </c>
      <c r="R150" s="31">
        <f>IF(O150=0,0,Q150/O150)</f>
        <v/>
      </c>
      <c r="S150">
        <f>XLOOKUP(F150,Lookups!$B$7:$B$11,Lookups!$C$7:$C$11,"Unknown")</f>
        <v/>
      </c>
      <c r="T150" s="31">
        <f>XLOOKUP(G150,Lookups!$E$7:$E$11,Lookups!$F$7:$F$11,0)</f>
        <v/>
      </c>
      <c r="U150" s="32">
        <f>R150-T150</f>
        <v/>
      </c>
      <c r="V150">
        <f>XLOOKUP(I150,Lookups!$H$7:$H$10,Lookups!$I$7:$I$10,"")</f>
        <v/>
      </c>
      <c r="W150">
        <f>IF(O150&gt;=50000,"HIGH VALUE","")</f>
        <v/>
      </c>
      <c r="X150">
        <f>IF(Q150&lt;0,"LOSS","")</f>
        <v/>
      </c>
      <c r="Y150">
        <f>IFS(M150&gt;=0.15,"Deep Discount",M150&gt;=0.1,"Moderate",TRUE,"Standard")</f>
        <v/>
      </c>
    </row>
    <row r="151">
      <c r="A151">
        <f>Raw_Data!A151</f>
        <v/>
      </c>
      <c r="B151" s="29">
        <f>Raw_Data!B151</f>
        <v/>
      </c>
      <c r="C151">
        <f>YEAR(B151)</f>
        <v/>
      </c>
      <c r="D151">
        <f>MONTH(B151)</f>
        <v/>
      </c>
      <c r="E151">
        <f>TEXT(B151,"MMM-YYYY")</f>
        <v/>
      </c>
      <c r="F151">
        <f>Raw_Data!C151</f>
        <v/>
      </c>
      <c r="G151">
        <f>Raw_Data!D151</f>
        <v/>
      </c>
      <c r="H151">
        <f>Raw_Data!E151</f>
        <v/>
      </c>
      <c r="I151">
        <f>Raw_Data!F151</f>
        <v/>
      </c>
      <c r="J151">
        <f>Raw_Data!G151</f>
        <v/>
      </c>
      <c r="K151">
        <f>Raw_Data!H151</f>
        <v/>
      </c>
      <c r="L151" s="30">
        <f>Raw_Data!I151</f>
        <v/>
      </c>
      <c r="M151" s="31">
        <f>Raw_Data!J151</f>
        <v/>
      </c>
      <c r="N151" s="17">
        <f>K151*L151</f>
        <v/>
      </c>
      <c r="O151" s="17">
        <f>N151*(1-M151)</f>
        <v/>
      </c>
      <c r="P151" s="17">
        <f>Raw_Data!L151</f>
        <v/>
      </c>
      <c r="Q151" s="17">
        <f>O151-P151</f>
        <v/>
      </c>
      <c r="R151" s="31">
        <f>IF(O151=0,0,Q151/O151)</f>
        <v/>
      </c>
      <c r="S151">
        <f>XLOOKUP(F151,Lookups!$B$7:$B$11,Lookups!$C$7:$C$11,"Unknown")</f>
        <v/>
      </c>
      <c r="T151" s="31">
        <f>XLOOKUP(G151,Lookups!$E$7:$E$11,Lookups!$F$7:$F$11,0)</f>
        <v/>
      </c>
      <c r="U151" s="32">
        <f>R151-T151</f>
        <v/>
      </c>
      <c r="V151">
        <f>XLOOKUP(I151,Lookups!$H$7:$H$10,Lookups!$I$7:$I$10,"")</f>
        <v/>
      </c>
      <c r="W151">
        <f>IF(O151&gt;=50000,"HIGH VALUE","")</f>
        <v/>
      </c>
      <c r="X151">
        <f>IF(Q151&lt;0,"LOSS","")</f>
        <v/>
      </c>
      <c r="Y151">
        <f>IFS(M151&gt;=0.15,"Deep Discount",M151&gt;=0.1,"Moderate",TRUE,"Standard")</f>
        <v/>
      </c>
    </row>
    <row r="152">
      <c r="A152">
        <f>Raw_Data!A152</f>
        <v/>
      </c>
      <c r="B152" s="29">
        <f>Raw_Data!B152</f>
        <v/>
      </c>
      <c r="C152">
        <f>YEAR(B152)</f>
        <v/>
      </c>
      <c r="D152">
        <f>MONTH(B152)</f>
        <v/>
      </c>
      <c r="E152">
        <f>TEXT(B152,"MMM-YYYY")</f>
        <v/>
      </c>
      <c r="F152">
        <f>Raw_Data!C152</f>
        <v/>
      </c>
      <c r="G152">
        <f>Raw_Data!D152</f>
        <v/>
      </c>
      <c r="H152">
        <f>Raw_Data!E152</f>
        <v/>
      </c>
      <c r="I152">
        <f>Raw_Data!F152</f>
        <v/>
      </c>
      <c r="J152">
        <f>Raw_Data!G152</f>
        <v/>
      </c>
      <c r="K152">
        <f>Raw_Data!H152</f>
        <v/>
      </c>
      <c r="L152" s="30">
        <f>Raw_Data!I152</f>
        <v/>
      </c>
      <c r="M152" s="31">
        <f>Raw_Data!J152</f>
        <v/>
      </c>
      <c r="N152" s="17">
        <f>K152*L152</f>
        <v/>
      </c>
      <c r="O152" s="17">
        <f>N152*(1-M152)</f>
        <v/>
      </c>
      <c r="P152" s="17">
        <f>Raw_Data!L152</f>
        <v/>
      </c>
      <c r="Q152" s="17">
        <f>O152-P152</f>
        <v/>
      </c>
      <c r="R152" s="31">
        <f>IF(O152=0,0,Q152/O152)</f>
        <v/>
      </c>
      <c r="S152">
        <f>XLOOKUP(F152,Lookups!$B$7:$B$11,Lookups!$C$7:$C$11,"Unknown")</f>
        <v/>
      </c>
      <c r="T152" s="31">
        <f>XLOOKUP(G152,Lookups!$E$7:$E$11,Lookups!$F$7:$F$11,0)</f>
        <v/>
      </c>
      <c r="U152" s="32">
        <f>R152-T152</f>
        <v/>
      </c>
      <c r="V152">
        <f>XLOOKUP(I152,Lookups!$H$7:$H$10,Lookups!$I$7:$I$10,"")</f>
        <v/>
      </c>
      <c r="W152">
        <f>IF(O152&gt;=50000,"HIGH VALUE","")</f>
        <v/>
      </c>
      <c r="X152">
        <f>IF(Q152&lt;0,"LOSS","")</f>
        <v/>
      </c>
      <c r="Y152">
        <f>IFS(M152&gt;=0.15,"Deep Discount",M152&gt;=0.1,"Moderate",TRUE,"Standard")</f>
        <v/>
      </c>
    </row>
    <row r="153">
      <c r="A153">
        <f>Raw_Data!A153</f>
        <v/>
      </c>
      <c r="B153" s="29">
        <f>Raw_Data!B153</f>
        <v/>
      </c>
      <c r="C153">
        <f>YEAR(B153)</f>
        <v/>
      </c>
      <c r="D153">
        <f>MONTH(B153)</f>
        <v/>
      </c>
      <c r="E153">
        <f>TEXT(B153,"MMM-YYYY")</f>
        <v/>
      </c>
      <c r="F153">
        <f>Raw_Data!C153</f>
        <v/>
      </c>
      <c r="G153">
        <f>Raw_Data!D153</f>
        <v/>
      </c>
      <c r="H153">
        <f>Raw_Data!E153</f>
        <v/>
      </c>
      <c r="I153">
        <f>Raw_Data!F153</f>
        <v/>
      </c>
      <c r="J153">
        <f>Raw_Data!G153</f>
        <v/>
      </c>
      <c r="K153">
        <f>Raw_Data!H153</f>
        <v/>
      </c>
      <c r="L153" s="30">
        <f>Raw_Data!I153</f>
        <v/>
      </c>
      <c r="M153" s="31">
        <f>Raw_Data!J153</f>
        <v/>
      </c>
      <c r="N153" s="17">
        <f>K153*L153</f>
        <v/>
      </c>
      <c r="O153" s="17">
        <f>N153*(1-M153)</f>
        <v/>
      </c>
      <c r="P153" s="17">
        <f>Raw_Data!L153</f>
        <v/>
      </c>
      <c r="Q153" s="17">
        <f>O153-P153</f>
        <v/>
      </c>
      <c r="R153" s="31">
        <f>IF(O153=0,0,Q153/O153)</f>
        <v/>
      </c>
      <c r="S153">
        <f>XLOOKUP(F153,Lookups!$B$7:$B$11,Lookups!$C$7:$C$11,"Unknown")</f>
        <v/>
      </c>
      <c r="T153" s="31">
        <f>XLOOKUP(G153,Lookups!$E$7:$E$11,Lookups!$F$7:$F$11,0)</f>
        <v/>
      </c>
      <c r="U153" s="32">
        <f>R153-T153</f>
        <v/>
      </c>
      <c r="V153">
        <f>XLOOKUP(I153,Lookups!$H$7:$H$10,Lookups!$I$7:$I$10,"")</f>
        <v/>
      </c>
      <c r="W153">
        <f>IF(O153&gt;=50000,"HIGH VALUE","")</f>
        <v/>
      </c>
      <c r="X153">
        <f>IF(Q153&lt;0,"LOSS","")</f>
        <v/>
      </c>
      <c r="Y153">
        <f>IFS(M153&gt;=0.15,"Deep Discount",M153&gt;=0.1,"Moderate",TRUE,"Standard")</f>
        <v/>
      </c>
    </row>
    <row r="154">
      <c r="A154">
        <f>Raw_Data!A154</f>
        <v/>
      </c>
      <c r="B154" s="29">
        <f>Raw_Data!B154</f>
        <v/>
      </c>
      <c r="C154">
        <f>YEAR(B154)</f>
        <v/>
      </c>
      <c r="D154">
        <f>MONTH(B154)</f>
        <v/>
      </c>
      <c r="E154">
        <f>TEXT(B154,"MMM-YYYY")</f>
        <v/>
      </c>
      <c r="F154">
        <f>Raw_Data!C154</f>
        <v/>
      </c>
      <c r="G154">
        <f>Raw_Data!D154</f>
        <v/>
      </c>
      <c r="H154">
        <f>Raw_Data!E154</f>
        <v/>
      </c>
      <c r="I154">
        <f>Raw_Data!F154</f>
        <v/>
      </c>
      <c r="J154">
        <f>Raw_Data!G154</f>
        <v/>
      </c>
      <c r="K154">
        <f>Raw_Data!H154</f>
        <v/>
      </c>
      <c r="L154" s="30">
        <f>Raw_Data!I154</f>
        <v/>
      </c>
      <c r="M154" s="31">
        <f>Raw_Data!J154</f>
        <v/>
      </c>
      <c r="N154" s="17">
        <f>K154*L154</f>
        <v/>
      </c>
      <c r="O154" s="17">
        <f>N154*(1-M154)</f>
        <v/>
      </c>
      <c r="P154" s="17">
        <f>Raw_Data!L154</f>
        <v/>
      </c>
      <c r="Q154" s="17">
        <f>O154-P154</f>
        <v/>
      </c>
      <c r="R154" s="31">
        <f>IF(O154=0,0,Q154/O154)</f>
        <v/>
      </c>
      <c r="S154">
        <f>XLOOKUP(F154,Lookups!$B$7:$B$11,Lookups!$C$7:$C$11,"Unknown")</f>
        <v/>
      </c>
      <c r="T154" s="31">
        <f>XLOOKUP(G154,Lookups!$E$7:$E$11,Lookups!$F$7:$F$11,0)</f>
        <v/>
      </c>
      <c r="U154" s="32">
        <f>R154-T154</f>
        <v/>
      </c>
      <c r="V154">
        <f>XLOOKUP(I154,Lookups!$H$7:$H$10,Lookups!$I$7:$I$10,"")</f>
        <v/>
      </c>
      <c r="W154">
        <f>IF(O154&gt;=50000,"HIGH VALUE","")</f>
        <v/>
      </c>
      <c r="X154">
        <f>IF(Q154&lt;0,"LOSS","")</f>
        <v/>
      </c>
      <c r="Y154">
        <f>IFS(M154&gt;=0.15,"Deep Discount",M154&gt;=0.1,"Moderate",TRUE,"Standard")</f>
        <v/>
      </c>
    </row>
    <row r="155">
      <c r="A155">
        <f>Raw_Data!A155</f>
        <v/>
      </c>
      <c r="B155" s="29">
        <f>Raw_Data!B155</f>
        <v/>
      </c>
      <c r="C155">
        <f>YEAR(B155)</f>
        <v/>
      </c>
      <c r="D155">
        <f>MONTH(B155)</f>
        <v/>
      </c>
      <c r="E155">
        <f>TEXT(B155,"MMM-YYYY")</f>
        <v/>
      </c>
      <c r="F155">
        <f>Raw_Data!C155</f>
        <v/>
      </c>
      <c r="G155">
        <f>Raw_Data!D155</f>
        <v/>
      </c>
      <c r="H155">
        <f>Raw_Data!E155</f>
        <v/>
      </c>
      <c r="I155">
        <f>Raw_Data!F155</f>
        <v/>
      </c>
      <c r="J155">
        <f>Raw_Data!G155</f>
        <v/>
      </c>
      <c r="K155">
        <f>Raw_Data!H155</f>
        <v/>
      </c>
      <c r="L155" s="30">
        <f>Raw_Data!I155</f>
        <v/>
      </c>
      <c r="M155" s="31">
        <f>Raw_Data!J155</f>
        <v/>
      </c>
      <c r="N155" s="17">
        <f>K155*L155</f>
        <v/>
      </c>
      <c r="O155" s="17">
        <f>N155*(1-M155)</f>
        <v/>
      </c>
      <c r="P155" s="17">
        <f>Raw_Data!L155</f>
        <v/>
      </c>
      <c r="Q155" s="17">
        <f>O155-P155</f>
        <v/>
      </c>
      <c r="R155" s="31">
        <f>IF(O155=0,0,Q155/O155)</f>
        <v/>
      </c>
      <c r="S155">
        <f>XLOOKUP(F155,Lookups!$B$7:$B$11,Lookups!$C$7:$C$11,"Unknown")</f>
        <v/>
      </c>
      <c r="T155" s="31">
        <f>XLOOKUP(G155,Lookups!$E$7:$E$11,Lookups!$F$7:$F$11,0)</f>
        <v/>
      </c>
      <c r="U155" s="32">
        <f>R155-T155</f>
        <v/>
      </c>
      <c r="V155">
        <f>XLOOKUP(I155,Lookups!$H$7:$H$10,Lookups!$I$7:$I$10,"")</f>
        <v/>
      </c>
      <c r="W155">
        <f>IF(O155&gt;=50000,"HIGH VALUE","")</f>
        <v/>
      </c>
      <c r="X155">
        <f>IF(Q155&lt;0,"LOSS","")</f>
        <v/>
      </c>
      <c r="Y155">
        <f>IFS(M155&gt;=0.15,"Deep Discount",M155&gt;=0.1,"Moderate",TRUE,"Standard")</f>
        <v/>
      </c>
    </row>
    <row r="156">
      <c r="A156">
        <f>Raw_Data!A156</f>
        <v/>
      </c>
      <c r="B156" s="29">
        <f>Raw_Data!B156</f>
        <v/>
      </c>
      <c r="C156">
        <f>YEAR(B156)</f>
        <v/>
      </c>
      <c r="D156">
        <f>MONTH(B156)</f>
        <v/>
      </c>
      <c r="E156">
        <f>TEXT(B156,"MMM-YYYY")</f>
        <v/>
      </c>
      <c r="F156">
        <f>Raw_Data!C156</f>
        <v/>
      </c>
      <c r="G156">
        <f>Raw_Data!D156</f>
        <v/>
      </c>
      <c r="H156">
        <f>Raw_Data!E156</f>
        <v/>
      </c>
      <c r="I156">
        <f>Raw_Data!F156</f>
        <v/>
      </c>
      <c r="J156">
        <f>Raw_Data!G156</f>
        <v/>
      </c>
      <c r="K156">
        <f>Raw_Data!H156</f>
        <v/>
      </c>
      <c r="L156" s="30">
        <f>Raw_Data!I156</f>
        <v/>
      </c>
      <c r="M156" s="31">
        <f>Raw_Data!J156</f>
        <v/>
      </c>
      <c r="N156" s="17">
        <f>K156*L156</f>
        <v/>
      </c>
      <c r="O156" s="17">
        <f>N156*(1-M156)</f>
        <v/>
      </c>
      <c r="P156" s="17">
        <f>Raw_Data!L156</f>
        <v/>
      </c>
      <c r="Q156" s="17">
        <f>O156-P156</f>
        <v/>
      </c>
      <c r="R156" s="31">
        <f>IF(O156=0,0,Q156/O156)</f>
        <v/>
      </c>
      <c r="S156">
        <f>XLOOKUP(F156,Lookups!$B$7:$B$11,Lookups!$C$7:$C$11,"Unknown")</f>
        <v/>
      </c>
      <c r="T156" s="31">
        <f>XLOOKUP(G156,Lookups!$E$7:$E$11,Lookups!$F$7:$F$11,0)</f>
        <v/>
      </c>
      <c r="U156" s="32">
        <f>R156-T156</f>
        <v/>
      </c>
      <c r="V156">
        <f>XLOOKUP(I156,Lookups!$H$7:$H$10,Lookups!$I$7:$I$10,"")</f>
        <v/>
      </c>
      <c r="W156">
        <f>IF(O156&gt;=50000,"HIGH VALUE","")</f>
        <v/>
      </c>
      <c r="X156">
        <f>IF(Q156&lt;0,"LOSS","")</f>
        <v/>
      </c>
      <c r="Y156">
        <f>IFS(M156&gt;=0.15,"Deep Discount",M156&gt;=0.1,"Moderate",TRUE,"Standard")</f>
        <v/>
      </c>
    </row>
    <row r="157">
      <c r="A157">
        <f>Raw_Data!A157</f>
        <v/>
      </c>
      <c r="B157" s="29">
        <f>Raw_Data!B157</f>
        <v/>
      </c>
      <c r="C157">
        <f>YEAR(B157)</f>
        <v/>
      </c>
      <c r="D157">
        <f>MONTH(B157)</f>
        <v/>
      </c>
      <c r="E157">
        <f>TEXT(B157,"MMM-YYYY")</f>
        <v/>
      </c>
      <c r="F157">
        <f>Raw_Data!C157</f>
        <v/>
      </c>
      <c r="G157">
        <f>Raw_Data!D157</f>
        <v/>
      </c>
      <c r="H157">
        <f>Raw_Data!E157</f>
        <v/>
      </c>
      <c r="I157">
        <f>Raw_Data!F157</f>
        <v/>
      </c>
      <c r="J157">
        <f>Raw_Data!G157</f>
        <v/>
      </c>
      <c r="K157">
        <f>Raw_Data!H157</f>
        <v/>
      </c>
      <c r="L157" s="30">
        <f>Raw_Data!I157</f>
        <v/>
      </c>
      <c r="M157" s="31">
        <f>Raw_Data!J157</f>
        <v/>
      </c>
      <c r="N157" s="17">
        <f>K157*L157</f>
        <v/>
      </c>
      <c r="O157" s="17">
        <f>N157*(1-M157)</f>
        <v/>
      </c>
      <c r="P157" s="17">
        <f>Raw_Data!L157</f>
        <v/>
      </c>
      <c r="Q157" s="17">
        <f>O157-P157</f>
        <v/>
      </c>
      <c r="R157" s="31">
        <f>IF(O157=0,0,Q157/O157)</f>
        <v/>
      </c>
      <c r="S157">
        <f>XLOOKUP(F157,Lookups!$B$7:$B$11,Lookups!$C$7:$C$11,"Unknown")</f>
        <v/>
      </c>
      <c r="T157" s="31">
        <f>XLOOKUP(G157,Lookups!$E$7:$E$11,Lookups!$F$7:$F$11,0)</f>
        <v/>
      </c>
      <c r="U157" s="32">
        <f>R157-T157</f>
        <v/>
      </c>
      <c r="V157">
        <f>XLOOKUP(I157,Lookups!$H$7:$H$10,Lookups!$I$7:$I$10,"")</f>
        <v/>
      </c>
      <c r="W157">
        <f>IF(O157&gt;=50000,"HIGH VALUE","")</f>
        <v/>
      </c>
      <c r="X157">
        <f>IF(Q157&lt;0,"LOSS","")</f>
        <v/>
      </c>
      <c r="Y157">
        <f>IFS(M157&gt;=0.15,"Deep Discount",M157&gt;=0.1,"Moderate",TRUE,"Standard")</f>
        <v/>
      </c>
    </row>
    <row r="158">
      <c r="A158">
        <f>Raw_Data!A158</f>
        <v/>
      </c>
      <c r="B158" s="29">
        <f>Raw_Data!B158</f>
        <v/>
      </c>
      <c r="C158">
        <f>YEAR(B158)</f>
        <v/>
      </c>
      <c r="D158">
        <f>MONTH(B158)</f>
        <v/>
      </c>
      <c r="E158">
        <f>TEXT(B158,"MMM-YYYY")</f>
        <v/>
      </c>
      <c r="F158">
        <f>Raw_Data!C158</f>
        <v/>
      </c>
      <c r="G158">
        <f>Raw_Data!D158</f>
        <v/>
      </c>
      <c r="H158">
        <f>Raw_Data!E158</f>
        <v/>
      </c>
      <c r="I158">
        <f>Raw_Data!F158</f>
        <v/>
      </c>
      <c r="J158">
        <f>Raw_Data!G158</f>
        <v/>
      </c>
      <c r="K158">
        <f>Raw_Data!H158</f>
        <v/>
      </c>
      <c r="L158" s="30">
        <f>Raw_Data!I158</f>
        <v/>
      </c>
      <c r="M158" s="31">
        <f>Raw_Data!J158</f>
        <v/>
      </c>
      <c r="N158" s="17">
        <f>K158*L158</f>
        <v/>
      </c>
      <c r="O158" s="17">
        <f>N158*(1-M158)</f>
        <v/>
      </c>
      <c r="P158" s="17">
        <f>Raw_Data!L158</f>
        <v/>
      </c>
      <c r="Q158" s="17">
        <f>O158-P158</f>
        <v/>
      </c>
      <c r="R158" s="31">
        <f>IF(O158=0,0,Q158/O158)</f>
        <v/>
      </c>
      <c r="S158">
        <f>XLOOKUP(F158,Lookups!$B$7:$B$11,Lookups!$C$7:$C$11,"Unknown")</f>
        <v/>
      </c>
      <c r="T158" s="31">
        <f>XLOOKUP(G158,Lookups!$E$7:$E$11,Lookups!$F$7:$F$11,0)</f>
        <v/>
      </c>
      <c r="U158" s="32">
        <f>R158-T158</f>
        <v/>
      </c>
      <c r="V158">
        <f>XLOOKUP(I158,Lookups!$H$7:$H$10,Lookups!$I$7:$I$10,"")</f>
        <v/>
      </c>
      <c r="W158">
        <f>IF(O158&gt;=50000,"HIGH VALUE","")</f>
        <v/>
      </c>
      <c r="X158">
        <f>IF(Q158&lt;0,"LOSS","")</f>
        <v/>
      </c>
      <c r="Y158">
        <f>IFS(M158&gt;=0.15,"Deep Discount",M158&gt;=0.1,"Moderate",TRUE,"Standard")</f>
        <v/>
      </c>
    </row>
    <row r="159">
      <c r="A159">
        <f>Raw_Data!A159</f>
        <v/>
      </c>
      <c r="B159" s="29">
        <f>Raw_Data!B159</f>
        <v/>
      </c>
      <c r="C159">
        <f>YEAR(B159)</f>
        <v/>
      </c>
      <c r="D159">
        <f>MONTH(B159)</f>
        <v/>
      </c>
      <c r="E159">
        <f>TEXT(B159,"MMM-YYYY")</f>
        <v/>
      </c>
      <c r="F159">
        <f>Raw_Data!C159</f>
        <v/>
      </c>
      <c r="G159">
        <f>Raw_Data!D159</f>
        <v/>
      </c>
      <c r="H159">
        <f>Raw_Data!E159</f>
        <v/>
      </c>
      <c r="I159">
        <f>Raw_Data!F159</f>
        <v/>
      </c>
      <c r="J159">
        <f>Raw_Data!G159</f>
        <v/>
      </c>
      <c r="K159">
        <f>Raw_Data!H159</f>
        <v/>
      </c>
      <c r="L159" s="30">
        <f>Raw_Data!I159</f>
        <v/>
      </c>
      <c r="M159" s="31">
        <f>Raw_Data!J159</f>
        <v/>
      </c>
      <c r="N159" s="17">
        <f>K159*L159</f>
        <v/>
      </c>
      <c r="O159" s="17">
        <f>N159*(1-M159)</f>
        <v/>
      </c>
      <c r="P159" s="17">
        <f>Raw_Data!L159</f>
        <v/>
      </c>
      <c r="Q159" s="17">
        <f>O159-P159</f>
        <v/>
      </c>
      <c r="R159" s="31">
        <f>IF(O159=0,0,Q159/O159)</f>
        <v/>
      </c>
      <c r="S159">
        <f>XLOOKUP(F159,Lookups!$B$7:$B$11,Lookups!$C$7:$C$11,"Unknown")</f>
        <v/>
      </c>
      <c r="T159" s="31">
        <f>XLOOKUP(G159,Lookups!$E$7:$E$11,Lookups!$F$7:$F$11,0)</f>
        <v/>
      </c>
      <c r="U159" s="32">
        <f>R159-T159</f>
        <v/>
      </c>
      <c r="V159">
        <f>XLOOKUP(I159,Lookups!$H$7:$H$10,Lookups!$I$7:$I$10,"")</f>
        <v/>
      </c>
      <c r="W159">
        <f>IF(O159&gt;=50000,"HIGH VALUE","")</f>
        <v/>
      </c>
      <c r="X159">
        <f>IF(Q159&lt;0,"LOSS","")</f>
        <v/>
      </c>
      <c r="Y159">
        <f>IFS(M159&gt;=0.15,"Deep Discount",M159&gt;=0.1,"Moderate",TRUE,"Standard")</f>
        <v/>
      </c>
    </row>
    <row r="160">
      <c r="A160">
        <f>Raw_Data!A160</f>
        <v/>
      </c>
      <c r="B160" s="29">
        <f>Raw_Data!B160</f>
        <v/>
      </c>
      <c r="C160">
        <f>YEAR(B160)</f>
        <v/>
      </c>
      <c r="D160">
        <f>MONTH(B160)</f>
        <v/>
      </c>
      <c r="E160">
        <f>TEXT(B160,"MMM-YYYY")</f>
        <v/>
      </c>
      <c r="F160">
        <f>Raw_Data!C160</f>
        <v/>
      </c>
      <c r="G160">
        <f>Raw_Data!D160</f>
        <v/>
      </c>
      <c r="H160">
        <f>Raw_Data!E160</f>
        <v/>
      </c>
      <c r="I160">
        <f>Raw_Data!F160</f>
        <v/>
      </c>
      <c r="J160">
        <f>Raw_Data!G160</f>
        <v/>
      </c>
      <c r="K160">
        <f>Raw_Data!H160</f>
        <v/>
      </c>
      <c r="L160" s="30">
        <f>Raw_Data!I160</f>
        <v/>
      </c>
      <c r="M160" s="31">
        <f>Raw_Data!J160</f>
        <v/>
      </c>
      <c r="N160" s="17">
        <f>K160*L160</f>
        <v/>
      </c>
      <c r="O160" s="17">
        <f>N160*(1-M160)</f>
        <v/>
      </c>
      <c r="P160" s="17">
        <f>Raw_Data!L160</f>
        <v/>
      </c>
      <c r="Q160" s="17">
        <f>O160-P160</f>
        <v/>
      </c>
      <c r="R160" s="31">
        <f>IF(O160=0,0,Q160/O160)</f>
        <v/>
      </c>
      <c r="S160">
        <f>XLOOKUP(F160,Lookups!$B$7:$B$11,Lookups!$C$7:$C$11,"Unknown")</f>
        <v/>
      </c>
      <c r="T160" s="31">
        <f>XLOOKUP(G160,Lookups!$E$7:$E$11,Lookups!$F$7:$F$11,0)</f>
        <v/>
      </c>
      <c r="U160" s="32">
        <f>R160-T160</f>
        <v/>
      </c>
      <c r="V160">
        <f>XLOOKUP(I160,Lookups!$H$7:$H$10,Lookups!$I$7:$I$10,"")</f>
        <v/>
      </c>
      <c r="W160">
        <f>IF(O160&gt;=50000,"HIGH VALUE","")</f>
        <v/>
      </c>
      <c r="X160">
        <f>IF(Q160&lt;0,"LOSS","")</f>
        <v/>
      </c>
      <c r="Y160">
        <f>IFS(M160&gt;=0.15,"Deep Discount",M160&gt;=0.1,"Moderate",TRUE,"Standard")</f>
        <v/>
      </c>
    </row>
    <row r="161">
      <c r="A161">
        <f>Raw_Data!A161</f>
        <v/>
      </c>
      <c r="B161" s="29">
        <f>Raw_Data!B161</f>
        <v/>
      </c>
      <c r="C161">
        <f>YEAR(B161)</f>
        <v/>
      </c>
      <c r="D161">
        <f>MONTH(B161)</f>
        <v/>
      </c>
      <c r="E161">
        <f>TEXT(B161,"MMM-YYYY")</f>
        <v/>
      </c>
      <c r="F161">
        <f>Raw_Data!C161</f>
        <v/>
      </c>
      <c r="G161">
        <f>Raw_Data!D161</f>
        <v/>
      </c>
      <c r="H161">
        <f>Raw_Data!E161</f>
        <v/>
      </c>
      <c r="I161">
        <f>Raw_Data!F161</f>
        <v/>
      </c>
      <c r="J161">
        <f>Raw_Data!G161</f>
        <v/>
      </c>
      <c r="K161">
        <f>Raw_Data!H161</f>
        <v/>
      </c>
      <c r="L161" s="30">
        <f>Raw_Data!I161</f>
        <v/>
      </c>
      <c r="M161" s="31">
        <f>Raw_Data!J161</f>
        <v/>
      </c>
      <c r="N161" s="17">
        <f>K161*L161</f>
        <v/>
      </c>
      <c r="O161" s="17">
        <f>N161*(1-M161)</f>
        <v/>
      </c>
      <c r="P161" s="17">
        <f>Raw_Data!L161</f>
        <v/>
      </c>
      <c r="Q161" s="17">
        <f>O161-P161</f>
        <v/>
      </c>
      <c r="R161" s="31">
        <f>IF(O161=0,0,Q161/O161)</f>
        <v/>
      </c>
      <c r="S161">
        <f>XLOOKUP(F161,Lookups!$B$7:$B$11,Lookups!$C$7:$C$11,"Unknown")</f>
        <v/>
      </c>
      <c r="T161" s="31">
        <f>XLOOKUP(G161,Lookups!$E$7:$E$11,Lookups!$F$7:$F$11,0)</f>
        <v/>
      </c>
      <c r="U161" s="32">
        <f>R161-T161</f>
        <v/>
      </c>
      <c r="V161">
        <f>XLOOKUP(I161,Lookups!$H$7:$H$10,Lookups!$I$7:$I$10,"")</f>
        <v/>
      </c>
      <c r="W161">
        <f>IF(O161&gt;=50000,"HIGH VALUE","")</f>
        <v/>
      </c>
      <c r="X161">
        <f>IF(Q161&lt;0,"LOSS","")</f>
        <v/>
      </c>
      <c r="Y161">
        <f>IFS(M161&gt;=0.15,"Deep Discount",M161&gt;=0.1,"Moderate",TRUE,"Standard")</f>
        <v/>
      </c>
    </row>
    <row r="162">
      <c r="A162">
        <f>Raw_Data!A162</f>
        <v/>
      </c>
      <c r="B162" s="29">
        <f>Raw_Data!B162</f>
        <v/>
      </c>
      <c r="C162">
        <f>YEAR(B162)</f>
        <v/>
      </c>
      <c r="D162">
        <f>MONTH(B162)</f>
        <v/>
      </c>
      <c r="E162">
        <f>TEXT(B162,"MMM-YYYY")</f>
        <v/>
      </c>
      <c r="F162">
        <f>Raw_Data!C162</f>
        <v/>
      </c>
      <c r="G162">
        <f>Raw_Data!D162</f>
        <v/>
      </c>
      <c r="H162">
        <f>Raw_Data!E162</f>
        <v/>
      </c>
      <c r="I162">
        <f>Raw_Data!F162</f>
        <v/>
      </c>
      <c r="J162">
        <f>Raw_Data!G162</f>
        <v/>
      </c>
      <c r="K162">
        <f>Raw_Data!H162</f>
        <v/>
      </c>
      <c r="L162" s="30">
        <f>Raw_Data!I162</f>
        <v/>
      </c>
      <c r="M162" s="31">
        <f>Raw_Data!J162</f>
        <v/>
      </c>
      <c r="N162" s="17">
        <f>K162*L162</f>
        <v/>
      </c>
      <c r="O162" s="17">
        <f>N162*(1-M162)</f>
        <v/>
      </c>
      <c r="P162" s="17">
        <f>Raw_Data!L162</f>
        <v/>
      </c>
      <c r="Q162" s="17">
        <f>O162-P162</f>
        <v/>
      </c>
      <c r="R162" s="31">
        <f>IF(O162=0,0,Q162/O162)</f>
        <v/>
      </c>
      <c r="S162">
        <f>XLOOKUP(F162,Lookups!$B$7:$B$11,Lookups!$C$7:$C$11,"Unknown")</f>
        <v/>
      </c>
      <c r="T162" s="31">
        <f>XLOOKUP(G162,Lookups!$E$7:$E$11,Lookups!$F$7:$F$11,0)</f>
        <v/>
      </c>
      <c r="U162" s="32">
        <f>R162-T162</f>
        <v/>
      </c>
      <c r="V162">
        <f>XLOOKUP(I162,Lookups!$H$7:$H$10,Lookups!$I$7:$I$10,"")</f>
        <v/>
      </c>
      <c r="W162">
        <f>IF(O162&gt;=50000,"HIGH VALUE","")</f>
        <v/>
      </c>
      <c r="X162">
        <f>IF(Q162&lt;0,"LOSS","")</f>
        <v/>
      </c>
      <c r="Y162">
        <f>IFS(M162&gt;=0.15,"Deep Discount",M162&gt;=0.1,"Moderate",TRUE,"Standard")</f>
        <v/>
      </c>
    </row>
    <row r="163">
      <c r="A163">
        <f>Raw_Data!A163</f>
        <v/>
      </c>
      <c r="B163" s="29">
        <f>Raw_Data!B163</f>
        <v/>
      </c>
      <c r="C163">
        <f>YEAR(B163)</f>
        <v/>
      </c>
      <c r="D163">
        <f>MONTH(B163)</f>
        <v/>
      </c>
      <c r="E163">
        <f>TEXT(B163,"MMM-YYYY")</f>
        <v/>
      </c>
      <c r="F163">
        <f>Raw_Data!C163</f>
        <v/>
      </c>
      <c r="G163">
        <f>Raw_Data!D163</f>
        <v/>
      </c>
      <c r="H163">
        <f>Raw_Data!E163</f>
        <v/>
      </c>
      <c r="I163">
        <f>Raw_Data!F163</f>
        <v/>
      </c>
      <c r="J163">
        <f>Raw_Data!G163</f>
        <v/>
      </c>
      <c r="K163">
        <f>Raw_Data!H163</f>
        <v/>
      </c>
      <c r="L163" s="30">
        <f>Raw_Data!I163</f>
        <v/>
      </c>
      <c r="M163" s="31">
        <f>Raw_Data!J163</f>
        <v/>
      </c>
      <c r="N163" s="17">
        <f>K163*L163</f>
        <v/>
      </c>
      <c r="O163" s="17">
        <f>N163*(1-M163)</f>
        <v/>
      </c>
      <c r="P163" s="17">
        <f>Raw_Data!L163</f>
        <v/>
      </c>
      <c r="Q163" s="17">
        <f>O163-P163</f>
        <v/>
      </c>
      <c r="R163" s="31">
        <f>IF(O163=0,0,Q163/O163)</f>
        <v/>
      </c>
      <c r="S163">
        <f>XLOOKUP(F163,Lookups!$B$7:$B$11,Lookups!$C$7:$C$11,"Unknown")</f>
        <v/>
      </c>
      <c r="T163" s="31">
        <f>XLOOKUP(G163,Lookups!$E$7:$E$11,Lookups!$F$7:$F$11,0)</f>
        <v/>
      </c>
      <c r="U163" s="32">
        <f>R163-T163</f>
        <v/>
      </c>
      <c r="V163">
        <f>XLOOKUP(I163,Lookups!$H$7:$H$10,Lookups!$I$7:$I$10,"")</f>
        <v/>
      </c>
      <c r="W163">
        <f>IF(O163&gt;=50000,"HIGH VALUE","")</f>
        <v/>
      </c>
      <c r="X163">
        <f>IF(Q163&lt;0,"LOSS","")</f>
        <v/>
      </c>
      <c r="Y163">
        <f>IFS(M163&gt;=0.15,"Deep Discount",M163&gt;=0.1,"Moderate",TRUE,"Standard")</f>
        <v/>
      </c>
    </row>
    <row r="164">
      <c r="A164">
        <f>Raw_Data!A164</f>
        <v/>
      </c>
      <c r="B164" s="29">
        <f>Raw_Data!B164</f>
        <v/>
      </c>
      <c r="C164">
        <f>YEAR(B164)</f>
        <v/>
      </c>
      <c r="D164">
        <f>MONTH(B164)</f>
        <v/>
      </c>
      <c r="E164">
        <f>TEXT(B164,"MMM-YYYY")</f>
        <v/>
      </c>
      <c r="F164">
        <f>Raw_Data!C164</f>
        <v/>
      </c>
      <c r="G164">
        <f>Raw_Data!D164</f>
        <v/>
      </c>
      <c r="H164">
        <f>Raw_Data!E164</f>
        <v/>
      </c>
      <c r="I164">
        <f>Raw_Data!F164</f>
        <v/>
      </c>
      <c r="J164">
        <f>Raw_Data!G164</f>
        <v/>
      </c>
      <c r="K164">
        <f>Raw_Data!H164</f>
        <v/>
      </c>
      <c r="L164" s="30">
        <f>Raw_Data!I164</f>
        <v/>
      </c>
      <c r="M164" s="31">
        <f>Raw_Data!J164</f>
        <v/>
      </c>
      <c r="N164" s="17">
        <f>K164*L164</f>
        <v/>
      </c>
      <c r="O164" s="17">
        <f>N164*(1-M164)</f>
        <v/>
      </c>
      <c r="P164" s="17">
        <f>Raw_Data!L164</f>
        <v/>
      </c>
      <c r="Q164" s="17">
        <f>O164-P164</f>
        <v/>
      </c>
      <c r="R164" s="31">
        <f>IF(O164=0,0,Q164/O164)</f>
        <v/>
      </c>
      <c r="S164">
        <f>XLOOKUP(F164,Lookups!$B$7:$B$11,Lookups!$C$7:$C$11,"Unknown")</f>
        <v/>
      </c>
      <c r="T164" s="31">
        <f>XLOOKUP(G164,Lookups!$E$7:$E$11,Lookups!$F$7:$F$11,0)</f>
        <v/>
      </c>
      <c r="U164" s="32">
        <f>R164-T164</f>
        <v/>
      </c>
      <c r="V164">
        <f>XLOOKUP(I164,Lookups!$H$7:$H$10,Lookups!$I$7:$I$10,"")</f>
        <v/>
      </c>
      <c r="W164">
        <f>IF(O164&gt;=50000,"HIGH VALUE","")</f>
        <v/>
      </c>
      <c r="X164">
        <f>IF(Q164&lt;0,"LOSS","")</f>
        <v/>
      </c>
      <c r="Y164">
        <f>IFS(M164&gt;=0.15,"Deep Discount",M164&gt;=0.1,"Moderate",TRUE,"Standard")</f>
        <v/>
      </c>
    </row>
    <row r="165">
      <c r="A165">
        <f>Raw_Data!A165</f>
        <v/>
      </c>
      <c r="B165" s="29">
        <f>Raw_Data!B165</f>
        <v/>
      </c>
      <c r="C165">
        <f>YEAR(B165)</f>
        <v/>
      </c>
      <c r="D165">
        <f>MONTH(B165)</f>
        <v/>
      </c>
      <c r="E165">
        <f>TEXT(B165,"MMM-YYYY")</f>
        <v/>
      </c>
      <c r="F165">
        <f>Raw_Data!C165</f>
        <v/>
      </c>
      <c r="G165">
        <f>Raw_Data!D165</f>
        <v/>
      </c>
      <c r="H165">
        <f>Raw_Data!E165</f>
        <v/>
      </c>
      <c r="I165">
        <f>Raw_Data!F165</f>
        <v/>
      </c>
      <c r="J165">
        <f>Raw_Data!G165</f>
        <v/>
      </c>
      <c r="K165">
        <f>Raw_Data!H165</f>
        <v/>
      </c>
      <c r="L165" s="30">
        <f>Raw_Data!I165</f>
        <v/>
      </c>
      <c r="M165" s="31">
        <f>Raw_Data!J165</f>
        <v/>
      </c>
      <c r="N165" s="17">
        <f>K165*L165</f>
        <v/>
      </c>
      <c r="O165" s="17">
        <f>N165*(1-M165)</f>
        <v/>
      </c>
      <c r="P165" s="17">
        <f>Raw_Data!L165</f>
        <v/>
      </c>
      <c r="Q165" s="17">
        <f>O165-P165</f>
        <v/>
      </c>
      <c r="R165" s="31">
        <f>IF(O165=0,0,Q165/O165)</f>
        <v/>
      </c>
      <c r="S165">
        <f>XLOOKUP(F165,Lookups!$B$7:$B$11,Lookups!$C$7:$C$11,"Unknown")</f>
        <v/>
      </c>
      <c r="T165" s="31">
        <f>XLOOKUP(G165,Lookups!$E$7:$E$11,Lookups!$F$7:$F$11,0)</f>
        <v/>
      </c>
      <c r="U165" s="32">
        <f>R165-T165</f>
        <v/>
      </c>
      <c r="V165">
        <f>XLOOKUP(I165,Lookups!$H$7:$H$10,Lookups!$I$7:$I$10,"")</f>
        <v/>
      </c>
      <c r="W165">
        <f>IF(O165&gt;=50000,"HIGH VALUE","")</f>
        <v/>
      </c>
      <c r="X165">
        <f>IF(Q165&lt;0,"LOSS","")</f>
        <v/>
      </c>
      <c r="Y165">
        <f>IFS(M165&gt;=0.15,"Deep Discount",M165&gt;=0.1,"Moderate",TRUE,"Standard")</f>
        <v/>
      </c>
    </row>
    <row r="166">
      <c r="A166">
        <f>Raw_Data!A166</f>
        <v/>
      </c>
      <c r="B166" s="29">
        <f>Raw_Data!B166</f>
        <v/>
      </c>
      <c r="C166">
        <f>YEAR(B166)</f>
        <v/>
      </c>
      <c r="D166">
        <f>MONTH(B166)</f>
        <v/>
      </c>
      <c r="E166">
        <f>TEXT(B166,"MMM-YYYY")</f>
        <v/>
      </c>
      <c r="F166">
        <f>Raw_Data!C166</f>
        <v/>
      </c>
      <c r="G166">
        <f>Raw_Data!D166</f>
        <v/>
      </c>
      <c r="H166">
        <f>Raw_Data!E166</f>
        <v/>
      </c>
      <c r="I166">
        <f>Raw_Data!F166</f>
        <v/>
      </c>
      <c r="J166">
        <f>Raw_Data!G166</f>
        <v/>
      </c>
      <c r="K166">
        <f>Raw_Data!H166</f>
        <v/>
      </c>
      <c r="L166" s="30">
        <f>Raw_Data!I166</f>
        <v/>
      </c>
      <c r="M166" s="31">
        <f>Raw_Data!J166</f>
        <v/>
      </c>
      <c r="N166" s="17">
        <f>K166*L166</f>
        <v/>
      </c>
      <c r="O166" s="17">
        <f>N166*(1-M166)</f>
        <v/>
      </c>
      <c r="P166" s="17">
        <f>Raw_Data!L166</f>
        <v/>
      </c>
      <c r="Q166" s="17">
        <f>O166-P166</f>
        <v/>
      </c>
      <c r="R166" s="31">
        <f>IF(O166=0,0,Q166/O166)</f>
        <v/>
      </c>
      <c r="S166">
        <f>XLOOKUP(F166,Lookups!$B$7:$B$11,Lookups!$C$7:$C$11,"Unknown")</f>
        <v/>
      </c>
      <c r="T166" s="31">
        <f>XLOOKUP(G166,Lookups!$E$7:$E$11,Lookups!$F$7:$F$11,0)</f>
        <v/>
      </c>
      <c r="U166" s="32">
        <f>R166-T166</f>
        <v/>
      </c>
      <c r="V166">
        <f>XLOOKUP(I166,Lookups!$H$7:$H$10,Lookups!$I$7:$I$10,"")</f>
        <v/>
      </c>
      <c r="W166">
        <f>IF(O166&gt;=50000,"HIGH VALUE","")</f>
        <v/>
      </c>
      <c r="X166">
        <f>IF(Q166&lt;0,"LOSS","")</f>
        <v/>
      </c>
      <c r="Y166">
        <f>IFS(M166&gt;=0.15,"Deep Discount",M166&gt;=0.1,"Moderate",TRUE,"Standard")</f>
        <v/>
      </c>
    </row>
    <row r="167">
      <c r="A167">
        <f>Raw_Data!A167</f>
        <v/>
      </c>
      <c r="B167" s="29">
        <f>Raw_Data!B167</f>
        <v/>
      </c>
      <c r="C167">
        <f>YEAR(B167)</f>
        <v/>
      </c>
      <c r="D167">
        <f>MONTH(B167)</f>
        <v/>
      </c>
      <c r="E167">
        <f>TEXT(B167,"MMM-YYYY")</f>
        <v/>
      </c>
      <c r="F167">
        <f>Raw_Data!C167</f>
        <v/>
      </c>
      <c r="G167">
        <f>Raw_Data!D167</f>
        <v/>
      </c>
      <c r="H167">
        <f>Raw_Data!E167</f>
        <v/>
      </c>
      <c r="I167">
        <f>Raw_Data!F167</f>
        <v/>
      </c>
      <c r="J167">
        <f>Raw_Data!G167</f>
        <v/>
      </c>
      <c r="K167">
        <f>Raw_Data!H167</f>
        <v/>
      </c>
      <c r="L167" s="30">
        <f>Raw_Data!I167</f>
        <v/>
      </c>
      <c r="M167" s="31">
        <f>Raw_Data!J167</f>
        <v/>
      </c>
      <c r="N167" s="17">
        <f>K167*L167</f>
        <v/>
      </c>
      <c r="O167" s="17">
        <f>N167*(1-M167)</f>
        <v/>
      </c>
      <c r="P167" s="17">
        <f>Raw_Data!L167</f>
        <v/>
      </c>
      <c r="Q167" s="17">
        <f>O167-P167</f>
        <v/>
      </c>
      <c r="R167" s="31">
        <f>IF(O167=0,0,Q167/O167)</f>
        <v/>
      </c>
      <c r="S167">
        <f>XLOOKUP(F167,Lookups!$B$7:$B$11,Lookups!$C$7:$C$11,"Unknown")</f>
        <v/>
      </c>
      <c r="T167" s="31">
        <f>XLOOKUP(G167,Lookups!$E$7:$E$11,Lookups!$F$7:$F$11,0)</f>
        <v/>
      </c>
      <c r="U167" s="32">
        <f>R167-T167</f>
        <v/>
      </c>
      <c r="V167">
        <f>XLOOKUP(I167,Lookups!$H$7:$H$10,Lookups!$I$7:$I$10,"")</f>
        <v/>
      </c>
      <c r="W167">
        <f>IF(O167&gt;=50000,"HIGH VALUE","")</f>
        <v/>
      </c>
      <c r="X167">
        <f>IF(Q167&lt;0,"LOSS","")</f>
        <v/>
      </c>
      <c r="Y167">
        <f>IFS(M167&gt;=0.15,"Deep Discount",M167&gt;=0.1,"Moderate",TRUE,"Standard")</f>
        <v/>
      </c>
    </row>
    <row r="168">
      <c r="A168">
        <f>Raw_Data!A168</f>
        <v/>
      </c>
      <c r="B168" s="29">
        <f>Raw_Data!B168</f>
        <v/>
      </c>
      <c r="C168">
        <f>YEAR(B168)</f>
        <v/>
      </c>
      <c r="D168">
        <f>MONTH(B168)</f>
        <v/>
      </c>
      <c r="E168">
        <f>TEXT(B168,"MMM-YYYY")</f>
        <v/>
      </c>
      <c r="F168">
        <f>Raw_Data!C168</f>
        <v/>
      </c>
      <c r="G168">
        <f>Raw_Data!D168</f>
        <v/>
      </c>
      <c r="H168">
        <f>Raw_Data!E168</f>
        <v/>
      </c>
      <c r="I168">
        <f>Raw_Data!F168</f>
        <v/>
      </c>
      <c r="J168">
        <f>Raw_Data!G168</f>
        <v/>
      </c>
      <c r="K168">
        <f>Raw_Data!H168</f>
        <v/>
      </c>
      <c r="L168" s="30">
        <f>Raw_Data!I168</f>
        <v/>
      </c>
      <c r="M168" s="31">
        <f>Raw_Data!J168</f>
        <v/>
      </c>
      <c r="N168" s="17">
        <f>K168*L168</f>
        <v/>
      </c>
      <c r="O168" s="17">
        <f>N168*(1-M168)</f>
        <v/>
      </c>
      <c r="P168" s="17">
        <f>Raw_Data!L168</f>
        <v/>
      </c>
      <c r="Q168" s="17">
        <f>O168-P168</f>
        <v/>
      </c>
      <c r="R168" s="31">
        <f>IF(O168=0,0,Q168/O168)</f>
        <v/>
      </c>
      <c r="S168">
        <f>XLOOKUP(F168,Lookups!$B$7:$B$11,Lookups!$C$7:$C$11,"Unknown")</f>
        <v/>
      </c>
      <c r="T168" s="31">
        <f>XLOOKUP(G168,Lookups!$E$7:$E$11,Lookups!$F$7:$F$11,0)</f>
        <v/>
      </c>
      <c r="U168" s="32">
        <f>R168-T168</f>
        <v/>
      </c>
      <c r="V168">
        <f>XLOOKUP(I168,Lookups!$H$7:$H$10,Lookups!$I$7:$I$10,"")</f>
        <v/>
      </c>
      <c r="W168">
        <f>IF(O168&gt;=50000,"HIGH VALUE","")</f>
        <v/>
      </c>
      <c r="X168">
        <f>IF(Q168&lt;0,"LOSS","")</f>
        <v/>
      </c>
      <c r="Y168">
        <f>IFS(M168&gt;=0.15,"Deep Discount",M168&gt;=0.1,"Moderate",TRUE,"Standard")</f>
        <v/>
      </c>
    </row>
    <row r="169">
      <c r="A169">
        <f>Raw_Data!A169</f>
        <v/>
      </c>
      <c r="B169" s="29">
        <f>Raw_Data!B169</f>
        <v/>
      </c>
      <c r="C169">
        <f>YEAR(B169)</f>
        <v/>
      </c>
      <c r="D169">
        <f>MONTH(B169)</f>
        <v/>
      </c>
      <c r="E169">
        <f>TEXT(B169,"MMM-YYYY")</f>
        <v/>
      </c>
      <c r="F169">
        <f>Raw_Data!C169</f>
        <v/>
      </c>
      <c r="G169">
        <f>Raw_Data!D169</f>
        <v/>
      </c>
      <c r="H169">
        <f>Raw_Data!E169</f>
        <v/>
      </c>
      <c r="I169">
        <f>Raw_Data!F169</f>
        <v/>
      </c>
      <c r="J169">
        <f>Raw_Data!G169</f>
        <v/>
      </c>
      <c r="K169">
        <f>Raw_Data!H169</f>
        <v/>
      </c>
      <c r="L169" s="30">
        <f>Raw_Data!I169</f>
        <v/>
      </c>
      <c r="M169" s="31">
        <f>Raw_Data!J169</f>
        <v/>
      </c>
      <c r="N169" s="17">
        <f>K169*L169</f>
        <v/>
      </c>
      <c r="O169" s="17">
        <f>N169*(1-M169)</f>
        <v/>
      </c>
      <c r="P169" s="17">
        <f>Raw_Data!L169</f>
        <v/>
      </c>
      <c r="Q169" s="17">
        <f>O169-P169</f>
        <v/>
      </c>
      <c r="R169" s="31">
        <f>IF(O169=0,0,Q169/O169)</f>
        <v/>
      </c>
      <c r="S169">
        <f>XLOOKUP(F169,Lookups!$B$7:$B$11,Lookups!$C$7:$C$11,"Unknown")</f>
        <v/>
      </c>
      <c r="T169" s="31">
        <f>XLOOKUP(G169,Lookups!$E$7:$E$11,Lookups!$F$7:$F$11,0)</f>
        <v/>
      </c>
      <c r="U169" s="32">
        <f>R169-T169</f>
        <v/>
      </c>
      <c r="V169">
        <f>XLOOKUP(I169,Lookups!$H$7:$H$10,Lookups!$I$7:$I$10,"")</f>
        <v/>
      </c>
      <c r="W169">
        <f>IF(O169&gt;=50000,"HIGH VALUE","")</f>
        <v/>
      </c>
      <c r="X169">
        <f>IF(Q169&lt;0,"LOSS","")</f>
        <v/>
      </c>
      <c r="Y169">
        <f>IFS(M169&gt;=0.15,"Deep Discount",M169&gt;=0.1,"Moderate",TRUE,"Standard")</f>
        <v/>
      </c>
    </row>
    <row r="170">
      <c r="A170">
        <f>Raw_Data!A170</f>
        <v/>
      </c>
      <c r="B170" s="29">
        <f>Raw_Data!B170</f>
        <v/>
      </c>
      <c r="C170">
        <f>YEAR(B170)</f>
        <v/>
      </c>
      <c r="D170">
        <f>MONTH(B170)</f>
        <v/>
      </c>
      <c r="E170">
        <f>TEXT(B170,"MMM-YYYY")</f>
        <v/>
      </c>
      <c r="F170">
        <f>Raw_Data!C170</f>
        <v/>
      </c>
      <c r="G170">
        <f>Raw_Data!D170</f>
        <v/>
      </c>
      <c r="H170">
        <f>Raw_Data!E170</f>
        <v/>
      </c>
      <c r="I170">
        <f>Raw_Data!F170</f>
        <v/>
      </c>
      <c r="J170">
        <f>Raw_Data!G170</f>
        <v/>
      </c>
      <c r="K170">
        <f>Raw_Data!H170</f>
        <v/>
      </c>
      <c r="L170" s="30">
        <f>Raw_Data!I170</f>
        <v/>
      </c>
      <c r="M170" s="31">
        <f>Raw_Data!J170</f>
        <v/>
      </c>
      <c r="N170" s="17">
        <f>K170*L170</f>
        <v/>
      </c>
      <c r="O170" s="17">
        <f>N170*(1-M170)</f>
        <v/>
      </c>
      <c r="P170" s="17">
        <f>Raw_Data!L170</f>
        <v/>
      </c>
      <c r="Q170" s="17">
        <f>O170-P170</f>
        <v/>
      </c>
      <c r="R170" s="31">
        <f>IF(O170=0,0,Q170/O170)</f>
        <v/>
      </c>
      <c r="S170">
        <f>XLOOKUP(F170,Lookups!$B$7:$B$11,Lookups!$C$7:$C$11,"Unknown")</f>
        <v/>
      </c>
      <c r="T170" s="31">
        <f>XLOOKUP(G170,Lookups!$E$7:$E$11,Lookups!$F$7:$F$11,0)</f>
        <v/>
      </c>
      <c r="U170" s="32">
        <f>R170-T170</f>
        <v/>
      </c>
      <c r="V170">
        <f>XLOOKUP(I170,Lookups!$H$7:$H$10,Lookups!$I$7:$I$10,"")</f>
        <v/>
      </c>
      <c r="W170">
        <f>IF(O170&gt;=50000,"HIGH VALUE","")</f>
        <v/>
      </c>
      <c r="X170">
        <f>IF(Q170&lt;0,"LOSS","")</f>
        <v/>
      </c>
      <c r="Y170">
        <f>IFS(M170&gt;=0.15,"Deep Discount",M170&gt;=0.1,"Moderate",TRUE,"Standard")</f>
        <v/>
      </c>
    </row>
    <row r="171">
      <c r="A171">
        <f>Raw_Data!A171</f>
        <v/>
      </c>
      <c r="B171" s="29">
        <f>Raw_Data!B171</f>
        <v/>
      </c>
      <c r="C171">
        <f>YEAR(B171)</f>
        <v/>
      </c>
      <c r="D171">
        <f>MONTH(B171)</f>
        <v/>
      </c>
      <c r="E171">
        <f>TEXT(B171,"MMM-YYYY")</f>
        <v/>
      </c>
      <c r="F171">
        <f>Raw_Data!C171</f>
        <v/>
      </c>
      <c r="G171">
        <f>Raw_Data!D171</f>
        <v/>
      </c>
      <c r="H171">
        <f>Raw_Data!E171</f>
        <v/>
      </c>
      <c r="I171">
        <f>Raw_Data!F171</f>
        <v/>
      </c>
      <c r="J171">
        <f>Raw_Data!G171</f>
        <v/>
      </c>
      <c r="K171">
        <f>Raw_Data!H171</f>
        <v/>
      </c>
      <c r="L171" s="30">
        <f>Raw_Data!I171</f>
        <v/>
      </c>
      <c r="M171" s="31">
        <f>Raw_Data!J171</f>
        <v/>
      </c>
      <c r="N171" s="17">
        <f>K171*L171</f>
        <v/>
      </c>
      <c r="O171" s="17">
        <f>N171*(1-M171)</f>
        <v/>
      </c>
      <c r="P171" s="17">
        <f>Raw_Data!L171</f>
        <v/>
      </c>
      <c r="Q171" s="17">
        <f>O171-P171</f>
        <v/>
      </c>
      <c r="R171" s="31">
        <f>IF(O171=0,0,Q171/O171)</f>
        <v/>
      </c>
      <c r="S171">
        <f>XLOOKUP(F171,Lookups!$B$7:$B$11,Lookups!$C$7:$C$11,"Unknown")</f>
        <v/>
      </c>
      <c r="T171" s="31">
        <f>XLOOKUP(G171,Lookups!$E$7:$E$11,Lookups!$F$7:$F$11,0)</f>
        <v/>
      </c>
      <c r="U171" s="32">
        <f>R171-T171</f>
        <v/>
      </c>
      <c r="V171">
        <f>XLOOKUP(I171,Lookups!$H$7:$H$10,Lookups!$I$7:$I$10,"")</f>
        <v/>
      </c>
      <c r="W171">
        <f>IF(O171&gt;=50000,"HIGH VALUE","")</f>
        <v/>
      </c>
      <c r="X171">
        <f>IF(Q171&lt;0,"LOSS","")</f>
        <v/>
      </c>
      <c r="Y171">
        <f>IFS(M171&gt;=0.15,"Deep Discount",M171&gt;=0.1,"Moderate",TRUE,"Standard")</f>
        <v/>
      </c>
    </row>
    <row r="172">
      <c r="A172">
        <f>Raw_Data!A172</f>
        <v/>
      </c>
      <c r="B172" s="29">
        <f>Raw_Data!B172</f>
        <v/>
      </c>
      <c r="C172">
        <f>YEAR(B172)</f>
        <v/>
      </c>
      <c r="D172">
        <f>MONTH(B172)</f>
        <v/>
      </c>
      <c r="E172">
        <f>TEXT(B172,"MMM-YYYY")</f>
        <v/>
      </c>
      <c r="F172">
        <f>Raw_Data!C172</f>
        <v/>
      </c>
      <c r="G172">
        <f>Raw_Data!D172</f>
        <v/>
      </c>
      <c r="H172">
        <f>Raw_Data!E172</f>
        <v/>
      </c>
      <c r="I172">
        <f>Raw_Data!F172</f>
        <v/>
      </c>
      <c r="J172">
        <f>Raw_Data!G172</f>
        <v/>
      </c>
      <c r="K172">
        <f>Raw_Data!H172</f>
        <v/>
      </c>
      <c r="L172" s="30">
        <f>Raw_Data!I172</f>
        <v/>
      </c>
      <c r="M172" s="31">
        <f>Raw_Data!J172</f>
        <v/>
      </c>
      <c r="N172" s="17">
        <f>K172*L172</f>
        <v/>
      </c>
      <c r="O172" s="17">
        <f>N172*(1-M172)</f>
        <v/>
      </c>
      <c r="P172" s="17">
        <f>Raw_Data!L172</f>
        <v/>
      </c>
      <c r="Q172" s="17">
        <f>O172-P172</f>
        <v/>
      </c>
      <c r="R172" s="31">
        <f>IF(O172=0,0,Q172/O172)</f>
        <v/>
      </c>
      <c r="S172">
        <f>XLOOKUP(F172,Lookups!$B$7:$B$11,Lookups!$C$7:$C$11,"Unknown")</f>
        <v/>
      </c>
      <c r="T172" s="31">
        <f>XLOOKUP(G172,Lookups!$E$7:$E$11,Lookups!$F$7:$F$11,0)</f>
        <v/>
      </c>
      <c r="U172" s="32">
        <f>R172-T172</f>
        <v/>
      </c>
      <c r="V172">
        <f>XLOOKUP(I172,Lookups!$H$7:$H$10,Lookups!$I$7:$I$10,"")</f>
        <v/>
      </c>
      <c r="W172">
        <f>IF(O172&gt;=50000,"HIGH VALUE","")</f>
        <v/>
      </c>
      <c r="X172">
        <f>IF(Q172&lt;0,"LOSS","")</f>
        <v/>
      </c>
      <c r="Y172">
        <f>IFS(M172&gt;=0.15,"Deep Discount",M172&gt;=0.1,"Moderate",TRUE,"Standard")</f>
        <v/>
      </c>
    </row>
    <row r="173">
      <c r="A173">
        <f>Raw_Data!A173</f>
        <v/>
      </c>
      <c r="B173" s="29">
        <f>Raw_Data!B173</f>
        <v/>
      </c>
      <c r="C173">
        <f>YEAR(B173)</f>
        <v/>
      </c>
      <c r="D173">
        <f>MONTH(B173)</f>
        <v/>
      </c>
      <c r="E173">
        <f>TEXT(B173,"MMM-YYYY")</f>
        <v/>
      </c>
      <c r="F173">
        <f>Raw_Data!C173</f>
        <v/>
      </c>
      <c r="G173">
        <f>Raw_Data!D173</f>
        <v/>
      </c>
      <c r="H173">
        <f>Raw_Data!E173</f>
        <v/>
      </c>
      <c r="I173">
        <f>Raw_Data!F173</f>
        <v/>
      </c>
      <c r="J173">
        <f>Raw_Data!G173</f>
        <v/>
      </c>
      <c r="K173">
        <f>Raw_Data!H173</f>
        <v/>
      </c>
      <c r="L173" s="30">
        <f>Raw_Data!I173</f>
        <v/>
      </c>
      <c r="M173" s="31">
        <f>Raw_Data!J173</f>
        <v/>
      </c>
      <c r="N173" s="17">
        <f>K173*L173</f>
        <v/>
      </c>
      <c r="O173" s="17">
        <f>N173*(1-M173)</f>
        <v/>
      </c>
      <c r="P173" s="17">
        <f>Raw_Data!L173</f>
        <v/>
      </c>
      <c r="Q173" s="17">
        <f>O173-P173</f>
        <v/>
      </c>
      <c r="R173" s="31">
        <f>IF(O173=0,0,Q173/O173)</f>
        <v/>
      </c>
      <c r="S173">
        <f>XLOOKUP(F173,Lookups!$B$7:$B$11,Lookups!$C$7:$C$11,"Unknown")</f>
        <v/>
      </c>
      <c r="T173" s="31">
        <f>XLOOKUP(G173,Lookups!$E$7:$E$11,Lookups!$F$7:$F$11,0)</f>
        <v/>
      </c>
      <c r="U173" s="32">
        <f>R173-T173</f>
        <v/>
      </c>
      <c r="V173">
        <f>XLOOKUP(I173,Lookups!$H$7:$H$10,Lookups!$I$7:$I$10,"")</f>
        <v/>
      </c>
      <c r="W173">
        <f>IF(O173&gt;=50000,"HIGH VALUE","")</f>
        <v/>
      </c>
      <c r="X173">
        <f>IF(Q173&lt;0,"LOSS","")</f>
        <v/>
      </c>
      <c r="Y173">
        <f>IFS(M173&gt;=0.15,"Deep Discount",M173&gt;=0.1,"Moderate",TRUE,"Standard")</f>
        <v/>
      </c>
    </row>
    <row r="174">
      <c r="A174">
        <f>Raw_Data!A174</f>
        <v/>
      </c>
      <c r="B174" s="29">
        <f>Raw_Data!B174</f>
        <v/>
      </c>
      <c r="C174">
        <f>YEAR(B174)</f>
        <v/>
      </c>
      <c r="D174">
        <f>MONTH(B174)</f>
        <v/>
      </c>
      <c r="E174">
        <f>TEXT(B174,"MMM-YYYY")</f>
        <v/>
      </c>
      <c r="F174">
        <f>Raw_Data!C174</f>
        <v/>
      </c>
      <c r="G174">
        <f>Raw_Data!D174</f>
        <v/>
      </c>
      <c r="H174">
        <f>Raw_Data!E174</f>
        <v/>
      </c>
      <c r="I174">
        <f>Raw_Data!F174</f>
        <v/>
      </c>
      <c r="J174">
        <f>Raw_Data!G174</f>
        <v/>
      </c>
      <c r="K174">
        <f>Raw_Data!H174</f>
        <v/>
      </c>
      <c r="L174" s="30">
        <f>Raw_Data!I174</f>
        <v/>
      </c>
      <c r="M174" s="31">
        <f>Raw_Data!J174</f>
        <v/>
      </c>
      <c r="N174" s="17">
        <f>K174*L174</f>
        <v/>
      </c>
      <c r="O174" s="17">
        <f>N174*(1-M174)</f>
        <v/>
      </c>
      <c r="P174" s="17">
        <f>Raw_Data!L174</f>
        <v/>
      </c>
      <c r="Q174" s="17">
        <f>O174-P174</f>
        <v/>
      </c>
      <c r="R174" s="31">
        <f>IF(O174=0,0,Q174/O174)</f>
        <v/>
      </c>
      <c r="S174">
        <f>XLOOKUP(F174,Lookups!$B$7:$B$11,Lookups!$C$7:$C$11,"Unknown")</f>
        <v/>
      </c>
      <c r="T174" s="31">
        <f>XLOOKUP(G174,Lookups!$E$7:$E$11,Lookups!$F$7:$F$11,0)</f>
        <v/>
      </c>
      <c r="U174" s="32">
        <f>R174-T174</f>
        <v/>
      </c>
      <c r="V174">
        <f>XLOOKUP(I174,Lookups!$H$7:$H$10,Lookups!$I$7:$I$10,"")</f>
        <v/>
      </c>
      <c r="W174">
        <f>IF(O174&gt;=50000,"HIGH VALUE","")</f>
        <v/>
      </c>
      <c r="X174">
        <f>IF(Q174&lt;0,"LOSS","")</f>
        <v/>
      </c>
      <c r="Y174">
        <f>IFS(M174&gt;=0.15,"Deep Discount",M174&gt;=0.1,"Moderate",TRUE,"Standard")</f>
        <v/>
      </c>
    </row>
    <row r="175">
      <c r="A175">
        <f>Raw_Data!A175</f>
        <v/>
      </c>
      <c r="B175" s="29">
        <f>Raw_Data!B175</f>
        <v/>
      </c>
      <c r="C175">
        <f>YEAR(B175)</f>
        <v/>
      </c>
      <c r="D175">
        <f>MONTH(B175)</f>
        <v/>
      </c>
      <c r="E175">
        <f>TEXT(B175,"MMM-YYYY")</f>
        <v/>
      </c>
      <c r="F175">
        <f>Raw_Data!C175</f>
        <v/>
      </c>
      <c r="G175">
        <f>Raw_Data!D175</f>
        <v/>
      </c>
      <c r="H175">
        <f>Raw_Data!E175</f>
        <v/>
      </c>
      <c r="I175">
        <f>Raw_Data!F175</f>
        <v/>
      </c>
      <c r="J175">
        <f>Raw_Data!G175</f>
        <v/>
      </c>
      <c r="K175">
        <f>Raw_Data!H175</f>
        <v/>
      </c>
      <c r="L175" s="30">
        <f>Raw_Data!I175</f>
        <v/>
      </c>
      <c r="M175" s="31">
        <f>Raw_Data!J175</f>
        <v/>
      </c>
      <c r="N175" s="17">
        <f>K175*L175</f>
        <v/>
      </c>
      <c r="O175" s="17">
        <f>N175*(1-M175)</f>
        <v/>
      </c>
      <c r="P175" s="17">
        <f>Raw_Data!L175</f>
        <v/>
      </c>
      <c r="Q175" s="17">
        <f>O175-P175</f>
        <v/>
      </c>
      <c r="R175" s="31">
        <f>IF(O175=0,0,Q175/O175)</f>
        <v/>
      </c>
      <c r="S175">
        <f>XLOOKUP(F175,Lookups!$B$7:$B$11,Lookups!$C$7:$C$11,"Unknown")</f>
        <v/>
      </c>
      <c r="T175" s="31">
        <f>XLOOKUP(G175,Lookups!$E$7:$E$11,Lookups!$F$7:$F$11,0)</f>
        <v/>
      </c>
      <c r="U175" s="32">
        <f>R175-T175</f>
        <v/>
      </c>
      <c r="V175">
        <f>XLOOKUP(I175,Lookups!$H$7:$H$10,Lookups!$I$7:$I$10,"")</f>
        <v/>
      </c>
      <c r="W175">
        <f>IF(O175&gt;=50000,"HIGH VALUE","")</f>
        <v/>
      </c>
      <c r="X175">
        <f>IF(Q175&lt;0,"LOSS","")</f>
        <v/>
      </c>
      <c r="Y175">
        <f>IFS(M175&gt;=0.15,"Deep Discount",M175&gt;=0.1,"Moderate",TRUE,"Standard")</f>
        <v/>
      </c>
    </row>
    <row r="176">
      <c r="A176">
        <f>Raw_Data!A176</f>
        <v/>
      </c>
      <c r="B176" s="29">
        <f>Raw_Data!B176</f>
        <v/>
      </c>
      <c r="C176">
        <f>YEAR(B176)</f>
        <v/>
      </c>
      <c r="D176">
        <f>MONTH(B176)</f>
        <v/>
      </c>
      <c r="E176">
        <f>TEXT(B176,"MMM-YYYY")</f>
        <v/>
      </c>
      <c r="F176">
        <f>Raw_Data!C176</f>
        <v/>
      </c>
      <c r="G176">
        <f>Raw_Data!D176</f>
        <v/>
      </c>
      <c r="H176">
        <f>Raw_Data!E176</f>
        <v/>
      </c>
      <c r="I176">
        <f>Raw_Data!F176</f>
        <v/>
      </c>
      <c r="J176">
        <f>Raw_Data!G176</f>
        <v/>
      </c>
      <c r="K176">
        <f>Raw_Data!H176</f>
        <v/>
      </c>
      <c r="L176" s="30">
        <f>Raw_Data!I176</f>
        <v/>
      </c>
      <c r="M176" s="31">
        <f>Raw_Data!J176</f>
        <v/>
      </c>
      <c r="N176" s="17">
        <f>K176*L176</f>
        <v/>
      </c>
      <c r="O176" s="17">
        <f>N176*(1-M176)</f>
        <v/>
      </c>
      <c r="P176" s="17">
        <f>Raw_Data!L176</f>
        <v/>
      </c>
      <c r="Q176" s="17">
        <f>O176-P176</f>
        <v/>
      </c>
      <c r="R176" s="31">
        <f>IF(O176=0,0,Q176/O176)</f>
        <v/>
      </c>
      <c r="S176">
        <f>XLOOKUP(F176,Lookups!$B$7:$B$11,Lookups!$C$7:$C$11,"Unknown")</f>
        <v/>
      </c>
      <c r="T176" s="31">
        <f>XLOOKUP(G176,Lookups!$E$7:$E$11,Lookups!$F$7:$F$11,0)</f>
        <v/>
      </c>
      <c r="U176" s="32">
        <f>R176-T176</f>
        <v/>
      </c>
      <c r="V176">
        <f>XLOOKUP(I176,Lookups!$H$7:$H$10,Lookups!$I$7:$I$10,"")</f>
        <v/>
      </c>
      <c r="W176">
        <f>IF(O176&gt;=50000,"HIGH VALUE","")</f>
        <v/>
      </c>
      <c r="X176">
        <f>IF(Q176&lt;0,"LOSS","")</f>
        <v/>
      </c>
      <c r="Y176">
        <f>IFS(M176&gt;=0.15,"Deep Discount",M176&gt;=0.1,"Moderate",TRUE,"Standard")</f>
        <v/>
      </c>
    </row>
    <row r="177">
      <c r="A177">
        <f>Raw_Data!A177</f>
        <v/>
      </c>
      <c r="B177" s="29">
        <f>Raw_Data!B177</f>
        <v/>
      </c>
      <c r="C177">
        <f>YEAR(B177)</f>
        <v/>
      </c>
      <c r="D177">
        <f>MONTH(B177)</f>
        <v/>
      </c>
      <c r="E177">
        <f>TEXT(B177,"MMM-YYYY")</f>
        <v/>
      </c>
      <c r="F177">
        <f>Raw_Data!C177</f>
        <v/>
      </c>
      <c r="G177">
        <f>Raw_Data!D177</f>
        <v/>
      </c>
      <c r="H177">
        <f>Raw_Data!E177</f>
        <v/>
      </c>
      <c r="I177">
        <f>Raw_Data!F177</f>
        <v/>
      </c>
      <c r="J177">
        <f>Raw_Data!G177</f>
        <v/>
      </c>
      <c r="K177">
        <f>Raw_Data!H177</f>
        <v/>
      </c>
      <c r="L177" s="30">
        <f>Raw_Data!I177</f>
        <v/>
      </c>
      <c r="M177" s="31">
        <f>Raw_Data!J177</f>
        <v/>
      </c>
      <c r="N177" s="17">
        <f>K177*L177</f>
        <v/>
      </c>
      <c r="O177" s="17">
        <f>N177*(1-M177)</f>
        <v/>
      </c>
      <c r="P177" s="17">
        <f>Raw_Data!L177</f>
        <v/>
      </c>
      <c r="Q177" s="17">
        <f>O177-P177</f>
        <v/>
      </c>
      <c r="R177" s="31">
        <f>IF(O177=0,0,Q177/O177)</f>
        <v/>
      </c>
      <c r="S177">
        <f>XLOOKUP(F177,Lookups!$B$7:$B$11,Lookups!$C$7:$C$11,"Unknown")</f>
        <v/>
      </c>
      <c r="T177" s="31">
        <f>XLOOKUP(G177,Lookups!$E$7:$E$11,Lookups!$F$7:$F$11,0)</f>
        <v/>
      </c>
      <c r="U177" s="32">
        <f>R177-T177</f>
        <v/>
      </c>
      <c r="V177">
        <f>XLOOKUP(I177,Lookups!$H$7:$H$10,Lookups!$I$7:$I$10,"")</f>
        <v/>
      </c>
      <c r="W177">
        <f>IF(O177&gt;=50000,"HIGH VALUE","")</f>
        <v/>
      </c>
      <c r="X177">
        <f>IF(Q177&lt;0,"LOSS","")</f>
        <v/>
      </c>
      <c r="Y177">
        <f>IFS(M177&gt;=0.15,"Deep Discount",M177&gt;=0.1,"Moderate",TRUE,"Standard")</f>
        <v/>
      </c>
    </row>
    <row r="178">
      <c r="A178">
        <f>Raw_Data!A178</f>
        <v/>
      </c>
      <c r="B178" s="29">
        <f>Raw_Data!B178</f>
        <v/>
      </c>
      <c r="C178">
        <f>YEAR(B178)</f>
        <v/>
      </c>
      <c r="D178">
        <f>MONTH(B178)</f>
        <v/>
      </c>
      <c r="E178">
        <f>TEXT(B178,"MMM-YYYY")</f>
        <v/>
      </c>
      <c r="F178">
        <f>Raw_Data!C178</f>
        <v/>
      </c>
      <c r="G178">
        <f>Raw_Data!D178</f>
        <v/>
      </c>
      <c r="H178">
        <f>Raw_Data!E178</f>
        <v/>
      </c>
      <c r="I178">
        <f>Raw_Data!F178</f>
        <v/>
      </c>
      <c r="J178">
        <f>Raw_Data!G178</f>
        <v/>
      </c>
      <c r="K178">
        <f>Raw_Data!H178</f>
        <v/>
      </c>
      <c r="L178" s="30">
        <f>Raw_Data!I178</f>
        <v/>
      </c>
      <c r="M178" s="31">
        <f>Raw_Data!J178</f>
        <v/>
      </c>
      <c r="N178" s="17">
        <f>K178*L178</f>
        <v/>
      </c>
      <c r="O178" s="17">
        <f>N178*(1-M178)</f>
        <v/>
      </c>
      <c r="P178" s="17">
        <f>Raw_Data!L178</f>
        <v/>
      </c>
      <c r="Q178" s="17">
        <f>O178-P178</f>
        <v/>
      </c>
      <c r="R178" s="31">
        <f>IF(O178=0,0,Q178/O178)</f>
        <v/>
      </c>
      <c r="S178">
        <f>XLOOKUP(F178,Lookups!$B$7:$B$11,Lookups!$C$7:$C$11,"Unknown")</f>
        <v/>
      </c>
      <c r="T178" s="31">
        <f>XLOOKUP(G178,Lookups!$E$7:$E$11,Lookups!$F$7:$F$11,0)</f>
        <v/>
      </c>
      <c r="U178" s="32">
        <f>R178-T178</f>
        <v/>
      </c>
      <c r="V178">
        <f>XLOOKUP(I178,Lookups!$H$7:$H$10,Lookups!$I$7:$I$10,"")</f>
        <v/>
      </c>
      <c r="W178">
        <f>IF(O178&gt;=50000,"HIGH VALUE","")</f>
        <v/>
      </c>
      <c r="X178">
        <f>IF(Q178&lt;0,"LOSS","")</f>
        <v/>
      </c>
      <c r="Y178">
        <f>IFS(M178&gt;=0.15,"Deep Discount",M178&gt;=0.1,"Moderate",TRUE,"Standard")</f>
        <v/>
      </c>
    </row>
    <row r="179">
      <c r="A179">
        <f>Raw_Data!A179</f>
        <v/>
      </c>
      <c r="B179" s="29">
        <f>Raw_Data!B179</f>
        <v/>
      </c>
      <c r="C179">
        <f>YEAR(B179)</f>
        <v/>
      </c>
      <c r="D179">
        <f>MONTH(B179)</f>
        <v/>
      </c>
      <c r="E179">
        <f>TEXT(B179,"MMM-YYYY")</f>
        <v/>
      </c>
      <c r="F179">
        <f>Raw_Data!C179</f>
        <v/>
      </c>
      <c r="G179">
        <f>Raw_Data!D179</f>
        <v/>
      </c>
      <c r="H179">
        <f>Raw_Data!E179</f>
        <v/>
      </c>
      <c r="I179">
        <f>Raw_Data!F179</f>
        <v/>
      </c>
      <c r="J179">
        <f>Raw_Data!G179</f>
        <v/>
      </c>
      <c r="K179">
        <f>Raw_Data!H179</f>
        <v/>
      </c>
      <c r="L179" s="30">
        <f>Raw_Data!I179</f>
        <v/>
      </c>
      <c r="M179" s="31">
        <f>Raw_Data!J179</f>
        <v/>
      </c>
      <c r="N179" s="17">
        <f>K179*L179</f>
        <v/>
      </c>
      <c r="O179" s="17">
        <f>N179*(1-M179)</f>
        <v/>
      </c>
      <c r="P179" s="17">
        <f>Raw_Data!L179</f>
        <v/>
      </c>
      <c r="Q179" s="17">
        <f>O179-P179</f>
        <v/>
      </c>
      <c r="R179" s="31">
        <f>IF(O179=0,0,Q179/O179)</f>
        <v/>
      </c>
      <c r="S179">
        <f>XLOOKUP(F179,Lookups!$B$7:$B$11,Lookups!$C$7:$C$11,"Unknown")</f>
        <v/>
      </c>
      <c r="T179" s="31">
        <f>XLOOKUP(G179,Lookups!$E$7:$E$11,Lookups!$F$7:$F$11,0)</f>
        <v/>
      </c>
      <c r="U179" s="32">
        <f>R179-T179</f>
        <v/>
      </c>
      <c r="V179">
        <f>XLOOKUP(I179,Lookups!$H$7:$H$10,Lookups!$I$7:$I$10,"")</f>
        <v/>
      </c>
      <c r="W179">
        <f>IF(O179&gt;=50000,"HIGH VALUE","")</f>
        <v/>
      </c>
      <c r="X179">
        <f>IF(Q179&lt;0,"LOSS","")</f>
        <v/>
      </c>
      <c r="Y179">
        <f>IFS(M179&gt;=0.15,"Deep Discount",M179&gt;=0.1,"Moderate",TRUE,"Standard")</f>
        <v/>
      </c>
    </row>
    <row r="180">
      <c r="A180">
        <f>Raw_Data!A180</f>
        <v/>
      </c>
      <c r="B180" s="29">
        <f>Raw_Data!B180</f>
        <v/>
      </c>
      <c r="C180">
        <f>YEAR(B180)</f>
        <v/>
      </c>
      <c r="D180">
        <f>MONTH(B180)</f>
        <v/>
      </c>
      <c r="E180">
        <f>TEXT(B180,"MMM-YYYY")</f>
        <v/>
      </c>
      <c r="F180">
        <f>Raw_Data!C180</f>
        <v/>
      </c>
      <c r="G180">
        <f>Raw_Data!D180</f>
        <v/>
      </c>
      <c r="H180">
        <f>Raw_Data!E180</f>
        <v/>
      </c>
      <c r="I180">
        <f>Raw_Data!F180</f>
        <v/>
      </c>
      <c r="J180">
        <f>Raw_Data!G180</f>
        <v/>
      </c>
      <c r="K180">
        <f>Raw_Data!H180</f>
        <v/>
      </c>
      <c r="L180" s="30">
        <f>Raw_Data!I180</f>
        <v/>
      </c>
      <c r="M180" s="31">
        <f>Raw_Data!J180</f>
        <v/>
      </c>
      <c r="N180" s="17">
        <f>K180*L180</f>
        <v/>
      </c>
      <c r="O180" s="17">
        <f>N180*(1-M180)</f>
        <v/>
      </c>
      <c r="P180" s="17">
        <f>Raw_Data!L180</f>
        <v/>
      </c>
      <c r="Q180" s="17">
        <f>O180-P180</f>
        <v/>
      </c>
      <c r="R180" s="31">
        <f>IF(O180=0,0,Q180/O180)</f>
        <v/>
      </c>
      <c r="S180">
        <f>XLOOKUP(F180,Lookups!$B$7:$B$11,Lookups!$C$7:$C$11,"Unknown")</f>
        <v/>
      </c>
      <c r="T180" s="31">
        <f>XLOOKUP(G180,Lookups!$E$7:$E$11,Lookups!$F$7:$F$11,0)</f>
        <v/>
      </c>
      <c r="U180" s="32">
        <f>R180-T180</f>
        <v/>
      </c>
      <c r="V180">
        <f>XLOOKUP(I180,Lookups!$H$7:$H$10,Lookups!$I$7:$I$10,"")</f>
        <v/>
      </c>
      <c r="W180">
        <f>IF(O180&gt;=50000,"HIGH VALUE","")</f>
        <v/>
      </c>
      <c r="X180">
        <f>IF(Q180&lt;0,"LOSS","")</f>
        <v/>
      </c>
      <c r="Y180">
        <f>IFS(M180&gt;=0.15,"Deep Discount",M180&gt;=0.1,"Moderate",TRUE,"Standard")</f>
        <v/>
      </c>
    </row>
    <row r="181">
      <c r="A181">
        <f>Raw_Data!A181</f>
        <v/>
      </c>
      <c r="B181" s="29">
        <f>Raw_Data!B181</f>
        <v/>
      </c>
      <c r="C181">
        <f>YEAR(B181)</f>
        <v/>
      </c>
      <c r="D181">
        <f>MONTH(B181)</f>
        <v/>
      </c>
      <c r="E181">
        <f>TEXT(B181,"MMM-YYYY")</f>
        <v/>
      </c>
      <c r="F181">
        <f>Raw_Data!C181</f>
        <v/>
      </c>
      <c r="G181">
        <f>Raw_Data!D181</f>
        <v/>
      </c>
      <c r="H181">
        <f>Raw_Data!E181</f>
        <v/>
      </c>
      <c r="I181">
        <f>Raw_Data!F181</f>
        <v/>
      </c>
      <c r="J181">
        <f>Raw_Data!G181</f>
        <v/>
      </c>
      <c r="K181">
        <f>Raw_Data!H181</f>
        <v/>
      </c>
      <c r="L181" s="30">
        <f>Raw_Data!I181</f>
        <v/>
      </c>
      <c r="M181" s="31">
        <f>Raw_Data!J181</f>
        <v/>
      </c>
      <c r="N181" s="17">
        <f>K181*L181</f>
        <v/>
      </c>
      <c r="O181" s="17">
        <f>N181*(1-M181)</f>
        <v/>
      </c>
      <c r="P181" s="17">
        <f>Raw_Data!L181</f>
        <v/>
      </c>
      <c r="Q181" s="17">
        <f>O181-P181</f>
        <v/>
      </c>
      <c r="R181" s="31">
        <f>IF(O181=0,0,Q181/O181)</f>
        <v/>
      </c>
      <c r="S181">
        <f>XLOOKUP(F181,Lookups!$B$7:$B$11,Lookups!$C$7:$C$11,"Unknown")</f>
        <v/>
      </c>
      <c r="T181" s="31">
        <f>XLOOKUP(G181,Lookups!$E$7:$E$11,Lookups!$F$7:$F$11,0)</f>
        <v/>
      </c>
      <c r="U181" s="32">
        <f>R181-T181</f>
        <v/>
      </c>
      <c r="V181">
        <f>XLOOKUP(I181,Lookups!$H$7:$H$10,Lookups!$I$7:$I$10,"")</f>
        <v/>
      </c>
      <c r="W181">
        <f>IF(O181&gt;=50000,"HIGH VALUE","")</f>
        <v/>
      </c>
      <c r="X181">
        <f>IF(Q181&lt;0,"LOSS","")</f>
        <v/>
      </c>
      <c r="Y181">
        <f>IFS(M181&gt;=0.15,"Deep Discount",M181&gt;=0.1,"Moderate",TRUE,"Standard")</f>
        <v/>
      </c>
    </row>
    <row r="182">
      <c r="A182">
        <f>Raw_Data!A182</f>
        <v/>
      </c>
      <c r="B182" s="29">
        <f>Raw_Data!B182</f>
        <v/>
      </c>
      <c r="C182">
        <f>YEAR(B182)</f>
        <v/>
      </c>
      <c r="D182">
        <f>MONTH(B182)</f>
        <v/>
      </c>
      <c r="E182">
        <f>TEXT(B182,"MMM-YYYY")</f>
        <v/>
      </c>
      <c r="F182">
        <f>Raw_Data!C182</f>
        <v/>
      </c>
      <c r="G182">
        <f>Raw_Data!D182</f>
        <v/>
      </c>
      <c r="H182">
        <f>Raw_Data!E182</f>
        <v/>
      </c>
      <c r="I182">
        <f>Raw_Data!F182</f>
        <v/>
      </c>
      <c r="J182">
        <f>Raw_Data!G182</f>
        <v/>
      </c>
      <c r="K182">
        <f>Raw_Data!H182</f>
        <v/>
      </c>
      <c r="L182" s="30">
        <f>Raw_Data!I182</f>
        <v/>
      </c>
      <c r="M182" s="31">
        <f>Raw_Data!J182</f>
        <v/>
      </c>
      <c r="N182" s="17">
        <f>K182*L182</f>
        <v/>
      </c>
      <c r="O182" s="17">
        <f>N182*(1-M182)</f>
        <v/>
      </c>
      <c r="P182" s="17">
        <f>Raw_Data!L182</f>
        <v/>
      </c>
      <c r="Q182" s="17">
        <f>O182-P182</f>
        <v/>
      </c>
      <c r="R182" s="31">
        <f>IF(O182=0,0,Q182/O182)</f>
        <v/>
      </c>
      <c r="S182">
        <f>XLOOKUP(F182,Lookups!$B$7:$B$11,Lookups!$C$7:$C$11,"Unknown")</f>
        <v/>
      </c>
      <c r="T182" s="31">
        <f>XLOOKUP(G182,Lookups!$E$7:$E$11,Lookups!$F$7:$F$11,0)</f>
        <v/>
      </c>
      <c r="U182" s="32">
        <f>R182-T182</f>
        <v/>
      </c>
      <c r="V182">
        <f>XLOOKUP(I182,Lookups!$H$7:$H$10,Lookups!$I$7:$I$10,"")</f>
        <v/>
      </c>
      <c r="W182">
        <f>IF(O182&gt;=50000,"HIGH VALUE","")</f>
        <v/>
      </c>
      <c r="X182">
        <f>IF(Q182&lt;0,"LOSS","")</f>
        <v/>
      </c>
      <c r="Y182">
        <f>IFS(M182&gt;=0.15,"Deep Discount",M182&gt;=0.1,"Moderate",TRUE,"Standard")</f>
        <v/>
      </c>
    </row>
    <row r="183">
      <c r="A183">
        <f>Raw_Data!A183</f>
        <v/>
      </c>
      <c r="B183" s="29">
        <f>Raw_Data!B183</f>
        <v/>
      </c>
      <c r="C183">
        <f>YEAR(B183)</f>
        <v/>
      </c>
      <c r="D183">
        <f>MONTH(B183)</f>
        <v/>
      </c>
      <c r="E183">
        <f>TEXT(B183,"MMM-YYYY")</f>
        <v/>
      </c>
      <c r="F183">
        <f>Raw_Data!C183</f>
        <v/>
      </c>
      <c r="G183">
        <f>Raw_Data!D183</f>
        <v/>
      </c>
      <c r="H183">
        <f>Raw_Data!E183</f>
        <v/>
      </c>
      <c r="I183">
        <f>Raw_Data!F183</f>
        <v/>
      </c>
      <c r="J183">
        <f>Raw_Data!G183</f>
        <v/>
      </c>
      <c r="K183">
        <f>Raw_Data!H183</f>
        <v/>
      </c>
      <c r="L183" s="30">
        <f>Raw_Data!I183</f>
        <v/>
      </c>
      <c r="M183" s="31">
        <f>Raw_Data!J183</f>
        <v/>
      </c>
      <c r="N183" s="17">
        <f>K183*L183</f>
        <v/>
      </c>
      <c r="O183" s="17">
        <f>N183*(1-M183)</f>
        <v/>
      </c>
      <c r="P183" s="17">
        <f>Raw_Data!L183</f>
        <v/>
      </c>
      <c r="Q183" s="17">
        <f>O183-P183</f>
        <v/>
      </c>
      <c r="R183" s="31">
        <f>IF(O183=0,0,Q183/O183)</f>
        <v/>
      </c>
      <c r="S183">
        <f>XLOOKUP(F183,Lookups!$B$7:$B$11,Lookups!$C$7:$C$11,"Unknown")</f>
        <v/>
      </c>
      <c r="T183" s="31">
        <f>XLOOKUP(G183,Lookups!$E$7:$E$11,Lookups!$F$7:$F$11,0)</f>
        <v/>
      </c>
      <c r="U183" s="32">
        <f>R183-T183</f>
        <v/>
      </c>
      <c r="V183">
        <f>XLOOKUP(I183,Lookups!$H$7:$H$10,Lookups!$I$7:$I$10,"")</f>
        <v/>
      </c>
      <c r="W183">
        <f>IF(O183&gt;=50000,"HIGH VALUE","")</f>
        <v/>
      </c>
      <c r="X183">
        <f>IF(Q183&lt;0,"LOSS","")</f>
        <v/>
      </c>
      <c r="Y183">
        <f>IFS(M183&gt;=0.15,"Deep Discount",M183&gt;=0.1,"Moderate",TRUE,"Standard")</f>
        <v/>
      </c>
    </row>
    <row r="184">
      <c r="A184">
        <f>Raw_Data!A184</f>
        <v/>
      </c>
      <c r="B184" s="29">
        <f>Raw_Data!B184</f>
        <v/>
      </c>
      <c r="C184">
        <f>YEAR(B184)</f>
        <v/>
      </c>
      <c r="D184">
        <f>MONTH(B184)</f>
        <v/>
      </c>
      <c r="E184">
        <f>TEXT(B184,"MMM-YYYY")</f>
        <v/>
      </c>
      <c r="F184">
        <f>Raw_Data!C184</f>
        <v/>
      </c>
      <c r="G184">
        <f>Raw_Data!D184</f>
        <v/>
      </c>
      <c r="H184">
        <f>Raw_Data!E184</f>
        <v/>
      </c>
      <c r="I184">
        <f>Raw_Data!F184</f>
        <v/>
      </c>
      <c r="J184">
        <f>Raw_Data!G184</f>
        <v/>
      </c>
      <c r="K184">
        <f>Raw_Data!H184</f>
        <v/>
      </c>
      <c r="L184" s="30">
        <f>Raw_Data!I184</f>
        <v/>
      </c>
      <c r="M184" s="31">
        <f>Raw_Data!J184</f>
        <v/>
      </c>
      <c r="N184" s="17">
        <f>K184*L184</f>
        <v/>
      </c>
      <c r="O184" s="17">
        <f>N184*(1-M184)</f>
        <v/>
      </c>
      <c r="P184" s="17">
        <f>Raw_Data!L184</f>
        <v/>
      </c>
      <c r="Q184" s="17">
        <f>O184-P184</f>
        <v/>
      </c>
      <c r="R184" s="31">
        <f>IF(O184=0,0,Q184/O184)</f>
        <v/>
      </c>
      <c r="S184">
        <f>XLOOKUP(F184,Lookups!$B$7:$B$11,Lookups!$C$7:$C$11,"Unknown")</f>
        <v/>
      </c>
      <c r="T184" s="31">
        <f>XLOOKUP(G184,Lookups!$E$7:$E$11,Lookups!$F$7:$F$11,0)</f>
        <v/>
      </c>
      <c r="U184" s="32">
        <f>R184-T184</f>
        <v/>
      </c>
      <c r="V184">
        <f>XLOOKUP(I184,Lookups!$H$7:$H$10,Lookups!$I$7:$I$10,"")</f>
        <v/>
      </c>
      <c r="W184">
        <f>IF(O184&gt;=50000,"HIGH VALUE","")</f>
        <v/>
      </c>
      <c r="X184">
        <f>IF(Q184&lt;0,"LOSS","")</f>
        <v/>
      </c>
      <c r="Y184">
        <f>IFS(M184&gt;=0.15,"Deep Discount",M184&gt;=0.1,"Moderate",TRUE,"Standard")</f>
        <v/>
      </c>
    </row>
    <row r="185">
      <c r="A185">
        <f>Raw_Data!A185</f>
        <v/>
      </c>
      <c r="B185" s="29">
        <f>Raw_Data!B185</f>
        <v/>
      </c>
      <c r="C185">
        <f>YEAR(B185)</f>
        <v/>
      </c>
      <c r="D185">
        <f>MONTH(B185)</f>
        <v/>
      </c>
      <c r="E185">
        <f>TEXT(B185,"MMM-YYYY")</f>
        <v/>
      </c>
      <c r="F185">
        <f>Raw_Data!C185</f>
        <v/>
      </c>
      <c r="G185">
        <f>Raw_Data!D185</f>
        <v/>
      </c>
      <c r="H185">
        <f>Raw_Data!E185</f>
        <v/>
      </c>
      <c r="I185">
        <f>Raw_Data!F185</f>
        <v/>
      </c>
      <c r="J185">
        <f>Raw_Data!G185</f>
        <v/>
      </c>
      <c r="K185">
        <f>Raw_Data!H185</f>
        <v/>
      </c>
      <c r="L185" s="30">
        <f>Raw_Data!I185</f>
        <v/>
      </c>
      <c r="M185" s="31">
        <f>Raw_Data!J185</f>
        <v/>
      </c>
      <c r="N185" s="17">
        <f>K185*L185</f>
        <v/>
      </c>
      <c r="O185" s="17">
        <f>N185*(1-M185)</f>
        <v/>
      </c>
      <c r="P185" s="17">
        <f>Raw_Data!L185</f>
        <v/>
      </c>
      <c r="Q185" s="17">
        <f>O185-P185</f>
        <v/>
      </c>
      <c r="R185" s="31">
        <f>IF(O185=0,0,Q185/O185)</f>
        <v/>
      </c>
      <c r="S185">
        <f>XLOOKUP(F185,Lookups!$B$7:$B$11,Lookups!$C$7:$C$11,"Unknown")</f>
        <v/>
      </c>
      <c r="T185" s="31">
        <f>XLOOKUP(G185,Lookups!$E$7:$E$11,Lookups!$F$7:$F$11,0)</f>
        <v/>
      </c>
      <c r="U185" s="32">
        <f>R185-T185</f>
        <v/>
      </c>
      <c r="V185">
        <f>XLOOKUP(I185,Lookups!$H$7:$H$10,Lookups!$I$7:$I$10,"")</f>
        <v/>
      </c>
      <c r="W185">
        <f>IF(O185&gt;=50000,"HIGH VALUE","")</f>
        <v/>
      </c>
      <c r="X185">
        <f>IF(Q185&lt;0,"LOSS","")</f>
        <v/>
      </c>
      <c r="Y185">
        <f>IFS(M185&gt;=0.15,"Deep Discount",M185&gt;=0.1,"Moderate",TRUE,"Standard")</f>
        <v/>
      </c>
    </row>
    <row r="186">
      <c r="A186">
        <f>Raw_Data!A186</f>
        <v/>
      </c>
      <c r="B186" s="29">
        <f>Raw_Data!B186</f>
        <v/>
      </c>
      <c r="C186">
        <f>YEAR(B186)</f>
        <v/>
      </c>
      <c r="D186">
        <f>MONTH(B186)</f>
        <v/>
      </c>
      <c r="E186">
        <f>TEXT(B186,"MMM-YYYY")</f>
        <v/>
      </c>
      <c r="F186">
        <f>Raw_Data!C186</f>
        <v/>
      </c>
      <c r="G186">
        <f>Raw_Data!D186</f>
        <v/>
      </c>
      <c r="H186">
        <f>Raw_Data!E186</f>
        <v/>
      </c>
      <c r="I186">
        <f>Raw_Data!F186</f>
        <v/>
      </c>
      <c r="J186">
        <f>Raw_Data!G186</f>
        <v/>
      </c>
      <c r="K186">
        <f>Raw_Data!H186</f>
        <v/>
      </c>
      <c r="L186" s="30">
        <f>Raw_Data!I186</f>
        <v/>
      </c>
      <c r="M186" s="31">
        <f>Raw_Data!J186</f>
        <v/>
      </c>
      <c r="N186" s="17">
        <f>K186*L186</f>
        <v/>
      </c>
      <c r="O186" s="17">
        <f>N186*(1-M186)</f>
        <v/>
      </c>
      <c r="P186" s="17">
        <f>Raw_Data!L186</f>
        <v/>
      </c>
      <c r="Q186" s="17">
        <f>O186-P186</f>
        <v/>
      </c>
      <c r="R186" s="31">
        <f>IF(O186=0,0,Q186/O186)</f>
        <v/>
      </c>
      <c r="S186">
        <f>XLOOKUP(F186,Lookups!$B$7:$B$11,Lookups!$C$7:$C$11,"Unknown")</f>
        <v/>
      </c>
      <c r="T186" s="31">
        <f>XLOOKUP(G186,Lookups!$E$7:$E$11,Lookups!$F$7:$F$11,0)</f>
        <v/>
      </c>
      <c r="U186" s="32">
        <f>R186-T186</f>
        <v/>
      </c>
      <c r="V186">
        <f>XLOOKUP(I186,Lookups!$H$7:$H$10,Lookups!$I$7:$I$10,"")</f>
        <v/>
      </c>
      <c r="W186">
        <f>IF(O186&gt;=50000,"HIGH VALUE","")</f>
        <v/>
      </c>
      <c r="X186">
        <f>IF(Q186&lt;0,"LOSS","")</f>
        <v/>
      </c>
      <c r="Y186">
        <f>IFS(M186&gt;=0.15,"Deep Discount",M186&gt;=0.1,"Moderate",TRUE,"Standard")</f>
        <v/>
      </c>
    </row>
    <row r="187">
      <c r="A187">
        <f>Raw_Data!A187</f>
        <v/>
      </c>
      <c r="B187" s="29">
        <f>Raw_Data!B187</f>
        <v/>
      </c>
      <c r="C187">
        <f>YEAR(B187)</f>
        <v/>
      </c>
      <c r="D187">
        <f>MONTH(B187)</f>
        <v/>
      </c>
      <c r="E187">
        <f>TEXT(B187,"MMM-YYYY")</f>
        <v/>
      </c>
      <c r="F187">
        <f>Raw_Data!C187</f>
        <v/>
      </c>
      <c r="G187">
        <f>Raw_Data!D187</f>
        <v/>
      </c>
      <c r="H187">
        <f>Raw_Data!E187</f>
        <v/>
      </c>
      <c r="I187">
        <f>Raw_Data!F187</f>
        <v/>
      </c>
      <c r="J187">
        <f>Raw_Data!G187</f>
        <v/>
      </c>
      <c r="K187">
        <f>Raw_Data!H187</f>
        <v/>
      </c>
      <c r="L187" s="30">
        <f>Raw_Data!I187</f>
        <v/>
      </c>
      <c r="M187" s="31">
        <f>Raw_Data!J187</f>
        <v/>
      </c>
      <c r="N187" s="17">
        <f>K187*L187</f>
        <v/>
      </c>
      <c r="O187" s="17">
        <f>N187*(1-M187)</f>
        <v/>
      </c>
      <c r="P187" s="17">
        <f>Raw_Data!L187</f>
        <v/>
      </c>
      <c r="Q187" s="17">
        <f>O187-P187</f>
        <v/>
      </c>
      <c r="R187" s="31">
        <f>IF(O187=0,0,Q187/O187)</f>
        <v/>
      </c>
      <c r="S187">
        <f>XLOOKUP(F187,Lookups!$B$7:$B$11,Lookups!$C$7:$C$11,"Unknown")</f>
        <v/>
      </c>
      <c r="T187" s="31">
        <f>XLOOKUP(G187,Lookups!$E$7:$E$11,Lookups!$F$7:$F$11,0)</f>
        <v/>
      </c>
      <c r="U187" s="32">
        <f>R187-T187</f>
        <v/>
      </c>
      <c r="V187">
        <f>XLOOKUP(I187,Lookups!$H$7:$H$10,Lookups!$I$7:$I$10,"")</f>
        <v/>
      </c>
      <c r="W187">
        <f>IF(O187&gt;=50000,"HIGH VALUE","")</f>
        <v/>
      </c>
      <c r="X187">
        <f>IF(Q187&lt;0,"LOSS","")</f>
        <v/>
      </c>
      <c r="Y187">
        <f>IFS(M187&gt;=0.15,"Deep Discount",M187&gt;=0.1,"Moderate",TRUE,"Standard")</f>
        <v/>
      </c>
    </row>
    <row r="188">
      <c r="A188">
        <f>Raw_Data!A188</f>
        <v/>
      </c>
      <c r="B188" s="29">
        <f>Raw_Data!B188</f>
        <v/>
      </c>
      <c r="C188">
        <f>YEAR(B188)</f>
        <v/>
      </c>
      <c r="D188">
        <f>MONTH(B188)</f>
        <v/>
      </c>
      <c r="E188">
        <f>TEXT(B188,"MMM-YYYY")</f>
        <v/>
      </c>
      <c r="F188">
        <f>Raw_Data!C188</f>
        <v/>
      </c>
      <c r="G188">
        <f>Raw_Data!D188</f>
        <v/>
      </c>
      <c r="H188">
        <f>Raw_Data!E188</f>
        <v/>
      </c>
      <c r="I188">
        <f>Raw_Data!F188</f>
        <v/>
      </c>
      <c r="J188">
        <f>Raw_Data!G188</f>
        <v/>
      </c>
      <c r="K188">
        <f>Raw_Data!H188</f>
        <v/>
      </c>
      <c r="L188" s="30">
        <f>Raw_Data!I188</f>
        <v/>
      </c>
      <c r="M188" s="31">
        <f>Raw_Data!J188</f>
        <v/>
      </c>
      <c r="N188" s="17">
        <f>K188*L188</f>
        <v/>
      </c>
      <c r="O188" s="17">
        <f>N188*(1-M188)</f>
        <v/>
      </c>
      <c r="P188" s="17">
        <f>Raw_Data!L188</f>
        <v/>
      </c>
      <c r="Q188" s="17">
        <f>O188-P188</f>
        <v/>
      </c>
      <c r="R188" s="31">
        <f>IF(O188=0,0,Q188/O188)</f>
        <v/>
      </c>
      <c r="S188">
        <f>XLOOKUP(F188,Lookups!$B$7:$B$11,Lookups!$C$7:$C$11,"Unknown")</f>
        <v/>
      </c>
      <c r="T188" s="31">
        <f>XLOOKUP(G188,Lookups!$E$7:$E$11,Lookups!$F$7:$F$11,0)</f>
        <v/>
      </c>
      <c r="U188" s="32">
        <f>R188-T188</f>
        <v/>
      </c>
      <c r="V188">
        <f>XLOOKUP(I188,Lookups!$H$7:$H$10,Lookups!$I$7:$I$10,"")</f>
        <v/>
      </c>
      <c r="W188">
        <f>IF(O188&gt;=50000,"HIGH VALUE","")</f>
        <v/>
      </c>
      <c r="X188">
        <f>IF(Q188&lt;0,"LOSS","")</f>
        <v/>
      </c>
      <c r="Y188">
        <f>IFS(M188&gt;=0.15,"Deep Discount",M188&gt;=0.1,"Moderate",TRUE,"Standard")</f>
        <v/>
      </c>
    </row>
    <row r="189">
      <c r="A189">
        <f>Raw_Data!A189</f>
        <v/>
      </c>
      <c r="B189" s="29">
        <f>Raw_Data!B189</f>
        <v/>
      </c>
      <c r="C189">
        <f>YEAR(B189)</f>
        <v/>
      </c>
      <c r="D189">
        <f>MONTH(B189)</f>
        <v/>
      </c>
      <c r="E189">
        <f>TEXT(B189,"MMM-YYYY")</f>
        <v/>
      </c>
      <c r="F189">
        <f>Raw_Data!C189</f>
        <v/>
      </c>
      <c r="G189">
        <f>Raw_Data!D189</f>
        <v/>
      </c>
      <c r="H189">
        <f>Raw_Data!E189</f>
        <v/>
      </c>
      <c r="I189">
        <f>Raw_Data!F189</f>
        <v/>
      </c>
      <c r="J189">
        <f>Raw_Data!G189</f>
        <v/>
      </c>
      <c r="K189">
        <f>Raw_Data!H189</f>
        <v/>
      </c>
      <c r="L189" s="30">
        <f>Raw_Data!I189</f>
        <v/>
      </c>
      <c r="M189" s="31">
        <f>Raw_Data!J189</f>
        <v/>
      </c>
      <c r="N189" s="17">
        <f>K189*L189</f>
        <v/>
      </c>
      <c r="O189" s="17">
        <f>N189*(1-M189)</f>
        <v/>
      </c>
      <c r="P189" s="17">
        <f>Raw_Data!L189</f>
        <v/>
      </c>
      <c r="Q189" s="17">
        <f>O189-P189</f>
        <v/>
      </c>
      <c r="R189" s="31">
        <f>IF(O189=0,0,Q189/O189)</f>
        <v/>
      </c>
      <c r="S189">
        <f>XLOOKUP(F189,Lookups!$B$7:$B$11,Lookups!$C$7:$C$11,"Unknown")</f>
        <v/>
      </c>
      <c r="T189" s="31">
        <f>XLOOKUP(G189,Lookups!$E$7:$E$11,Lookups!$F$7:$F$11,0)</f>
        <v/>
      </c>
      <c r="U189" s="32">
        <f>R189-T189</f>
        <v/>
      </c>
      <c r="V189">
        <f>XLOOKUP(I189,Lookups!$H$7:$H$10,Lookups!$I$7:$I$10,"")</f>
        <v/>
      </c>
      <c r="W189">
        <f>IF(O189&gt;=50000,"HIGH VALUE","")</f>
        <v/>
      </c>
      <c r="X189">
        <f>IF(Q189&lt;0,"LOSS","")</f>
        <v/>
      </c>
      <c r="Y189">
        <f>IFS(M189&gt;=0.15,"Deep Discount",M189&gt;=0.1,"Moderate",TRUE,"Standard")</f>
        <v/>
      </c>
    </row>
    <row r="190">
      <c r="A190">
        <f>Raw_Data!A190</f>
        <v/>
      </c>
      <c r="B190" s="29">
        <f>Raw_Data!B190</f>
        <v/>
      </c>
      <c r="C190">
        <f>YEAR(B190)</f>
        <v/>
      </c>
      <c r="D190">
        <f>MONTH(B190)</f>
        <v/>
      </c>
      <c r="E190">
        <f>TEXT(B190,"MMM-YYYY")</f>
        <v/>
      </c>
      <c r="F190">
        <f>Raw_Data!C190</f>
        <v/>
      </c>
      <c r="G190">
        <f>Raw_Data!D190</f>
        <v/>
      </c>
      <c r="H190">
        <f>Raw_Data!E190</f>
        <v/>
      </c>
      <c r="I190">
        <f>Raw_Data!F190</f>
        <v/>
      </c>
      <c r="J190">
        <f>Raw_Data!G190</f>
        <v/>
      </c>
      <c r="K190">
        <f>Raw_Data!H190</f>
        <v/>
      </c>
      <c r="L190" s="30">
        <f>Raw_Data!I190</f>
        <v/>
      </c>
      <c r="M190" s="31">
        <f>Raw_Data!J190</f>
        <v/>
      </c>
      <c r="N190" s="17">
        <f>K190*L190</f>
        <v/>
      </c>
      <c r="O190" s="17">
        <f>N190*(1-M190)</f>
        <v/>
      </c>
      <c r="P190" s="17">
        <f>Raw_Data!L190</f>
        <v/>
      </c>
      <c r="Q190" s="17">
        <f>O190-P190</f>
        <v/>
      </c>
      <c r="R190" s="31">
        <f>IF(O190=0,0,Q190/O190)</f>
        <v/>
      </c>
      <c r="S190">
        <f>XLOOKUP(F190,Lookups!$B$7:$B$11,Lookups!$C$7:$C$11,"Unknown")</f>
        <v/>
      </c>
      <c r="T190" s="31">
        <f>XLOOKUP(G190,Lookups!$E$7:$E$11,Lookups!$F$7:$F$11,0)</f>
        <v/>
      </c>
      <c r="U190" s="32">
        <f>R190-T190</f>
        <v/>
      </c>
      <c r="V190">
        <f>XLOOKUP(I190,Lookups!$H$7:$H$10,Lookups!$I$7:$I$10,"")</f>
        <v/>
      </c>
      <c r="W190">
        <f>IF(O190&gt;=50000,"HIGH VALUE","")</f>
        <v/>
      </c>
      <c r="X190">
        <f>IF(Q190&lt;0,"LOSS","")</f>
        <v/>
      </c>
      <c r="Y190">
        <f>IFS(M190&gt;=0.15,"Deep Discount",M190&gt;=0.1,"Moderate",TRUE,"Standard")</f>
        <v/>
      </c>
    </row>
    <row r="191">
      <c r="A191">
        <f>Raw_Data!A191</f>
        <v/>
      </c>
      <c r="B191" s="29">
        <f>Raw_Data!B191</f>
        <v/>
      </c>
      <c r="C191">
        <f>YEAR(B191)</f>
        <v/>
      </c>
      <c r="D191">
        <f>MONTH(B191)</f>
        <v/>
      </c>
      <c r="E191">
        <f>TEXT(B191,"MMM-YYYY")</f>
        <v/>
      </c>
      <c r="F191">
        <f>Raw_Data!C191</f>
        <v/>
      </c>
      <c r="G191">
        <f>Raw_Data!D191</f>
        <v/>
      </c>
      <c r="H191">
        <f>Raw_Data!E191</f>
        <v/>
      </c>
      <c r="I191">
        <f>Raw_Data!F191</f>
        <v/>
      </c>
      <c r="J191">
        <f>Raw_Data!G191</f>
        <v/>
      </c>
      <c r="K191">
        <f>Raw_Data!H191</f>
        <v/>
      </c>
      <c r="L191" s="30">
        <f>Raw_Data!I191</f>
        <v/>
      </c>
      <c r="M191" s="31">
        <f>Raw_Data!J191</f>
        <v/>
      </c>
      <c r="N191" s="17">
        <f>K191*L191</f>
        <v/>
      </c>
      <c r="O191" s="17">
        <f>N191*(1-M191)</f>
        <v/>
      </c>
      <c r="P191" s="17">
        <f>Raw_Data!L191</f>
        <v/>
      </c>
      <c r="Q191" s="17">
        <f>O191-P191</f>
        <v/>
      </c>
      <c r="R191" s="31">
        <f>IF(O191=0,0,Q191/O191)</f>
        <v/>
      </c>
      <c r="S191">
        <f>XLOOKUP(F191,Lookups!$B$7:$B$11,Lookups!$C$7:$C$11,"Unknown")</f>
        <v/>
      </c>
      <c r="T191" s="31">
        <f>XLOOKUP(G191,Lookups!$E$7:$E$11,Lookups!$F$7:$F$11,0)</f>
        <v/>
      </c>
      <c r="U191" s="32">
        <f>R191-T191</f>
        <v/>
      </c>
      <c r="V191">
        <f>XLOOKUP(I191,Lookups!$H$7:$H$10,Lookups!$I$7:$I$10,"")</f>
        <v/>
      </c>
      <c r="W191">
        <f>IF(O191&gt;=50000,"HIGH VALUE","")</f>
        <v/>
      </c>
      <c r="X191">
        <f>IF(Q191&lt;0,"LOSS","")</f>
        <v/>
      </c>
      <c r="Y191">
        <f>IFS(M191&gt;=0.15,"Deep Discount",M191&gt;=0.1,"Moderate",TRUE,"Standard")</f>
        <v/>
      </c>
    </row>
    <row r="192">
      <c r="A192">
        <f>Raw_Data!A192</f>
        <v/>
      </c>
      <c r="B192" s="29">
        <f>Raw_Data!B192</f>
        <v/>
      </c>
      <c r="C192">
        <f>YEAR(B192)</f>
        <v/>
      </c>
      <c r="D192">
        <f>MONTH(B192)</f>
        <v/>
      </c>
      <c r="E192">
        <f>TEXT(B192,"MMM-YYYY")</f>
        <v/>
      </c>
      <c r="F192">
        <f>Raw_Data!C192</f>
        <v/>
      </c>
      <c r="G192">
        <f>Raw_Data!D192</f>
        <v/>
      </c>
      <c r="H192">
        <f>Raw_Data!E192</f>
        <v/>
      </c>
      <c r="I192">
        <f>Raw_Data!F192</f>
        <v/>
      </c>
      <c r="J192">
        <f>Raw_Data!G192</f>
        <v/>
      </c>
      <c r="K192">
        <f>Raw_Data!H192</f>
        <v/>
      </c>
      <c r="L192" s="30">
        <f>Raw_Data!I192</f>
        <v/>
      </c>
      <c r="M192" s="31">
        <f>Raw_Data!J192</f>
        <v/>
      </c>
      <c r="N192" s="17">
        <f>K192*L192</f>
        <v/>
      </c>
      <c r="O192" s="17">
        <f>N192*(1-M192)</f>
        <v/>
      </c>
      <c r="P192" s="17">
        <f>Raw_Data!L192</f>
        <v/>
      </c>
      <c r="Q192" s="17">
        <f>O192-P192</f>
        <v/>
      </c>
      <c r="R192" s="31">
        <f>IF(O192=0,0,Q192/O192)</f>
        <v/>
      </c>
      <c r="S192">
        <f>XLOOKUP(F192,Lookups!$B$7:$B$11,Lookups!$C$7:$C$11,"Unknown")</f>
        <v/>
      </c>
      <c r="T192" s="31">
        <f>XLOOKUP(G192,Lookups!$E$7:$E$11,Lookups!$F$7:$F$11,0)</f>
        <v/>
      </c>
      <c r="U192" s="32">
        <f>R192-T192</f>
        <v/>
      </c>
      <c r="V192">
        <f>XLOOKUP(I192,Lookups!$H$7:$H$10,Lookups!$I$7:$I$10,"")</f>
        <v/>
      </c>
      <c r="W192">
        <f>IF(O192&gt;=50000,"HIGH VALUE","")</f>
        <v/>
      </c>
      <c r="X192">
        <f>IF(Q192&lt;0,"LOSS","")</f>
        <v/>
      </c>
      <c r="Y192">
        <f>IFS(M192&gt;=0.15,"Deep Discount",M192&gt;=0.1,"Moderate",TRUE,"Standard")</f>
        <v/>
      </c>
    </row>
    <row r="193">
      <c r="A193">
        <f>Raw_Data!A193</f>
        <v/>
      </c>
      <c r="B193" s="29">
        <f>Raw_Data!B193</f>
        <v/>
      </c>
      <c r="C193">
        <f>YEAR(B193)</f>
        <v/>
      </c>
      <c r="D193">
        <f>MONTH(B193)</f>
        <v/>
      </c>
      <c r="E193">
        <f>TEXT(B193,"MMM-YYYY")</f>
        <v/>
      </c>
      <c r="F193">
        <f>Raw_Data!C193</f>
        <v/>
      </c>
      <c r="G193">
        <f>Raw_Data!D193</f>
        <v/>
      </c>
      <c r="H193">
        <f>Raw_Data!E193</f>
        <v/>
      </c>
      <c r="I193">
        <f>Raw_Data!F193</f>
        <v/>
      </c>
      <c r="J193">
        <f>Raw_Data!G193</f>
        <v/>
      </c>
      <c r="K193">
        <f>Raw_Data!H193</f>
        <v/>
      </c>
      <c r="L193" s="30">
        <f>Raw_Data!I193</f>
        <v/>
      </c>
      <c r="M193" s="31">
        <f>Raw_Data!J193</f>
        <v/>
      </c>
      <c r="N193" s="17">
        <f>K193*L193</f>
        <v/>
      </c>
      <c r="O193" s="17">
        <f>N193*(1-M193)</f>
        <v/>
      </c>
      <c r="P193" s="17">
        <f>Raw_Data!L193</f>
        <v/>
      </c>
      <c r="Q193" s="17">
        <f>O193-P193</f>
        <v/>
      </c>
      <c r="R193" s="31">
        <f>IF(O193=0,0,Q193/O193)</f>
        <v/>
      </c>
      <c r="S193">
        <f>XLOOKUP(F193,Lookups!$B$7:$B$11,Lookups!$C$7:$C$11,"Unknown")</f>
        <v/>
      </c>
      <c r="T193" s="31">
        <f>XLOOKUP(G193,Lookups!$E$7:$E$11,Lookups!$F$7:$F$11,0)</f>
        <v/>
      </c>
      <c r="U193" s="32">
        <f>R193-T193</f>
        <v/>
      </c>
      <c r="V193">
        <f>XLOOKUP(I193,Lookups!$H$7:$H$10,Lookups!$I$7:$I$10,"")</f>
        <v/>
      </c>
      <c r="W193">
        <f>IF(O193&gt;=50000,"HIGH VALUE","")</f>
        <v/>
      </c>
      <c r="X193">
        <f>IF(Q193&lt;0,"LOSS","")</f>
        <v/>
      </c>
      <c r="Y193">
        <f>IFS(M193&gt;=0.15,"Deep Discount",M193&gt;=0.1,"Moderate",TRUE,"Standard")</f>
        <v/>
      </c>
    </row>
    <row r="194">
      <c r="A194">
        <f>Raw_Data!A194</f>
        <v/>
      </c>
      <c r="B194" s="29">
        <f>Raw_Data!B194</f>
        <v/>
      </c>
      <c r="C194">
        <f>YEAR(B194)</f>
        <v/>
      </c>
      <c r="D194">
        <f>MONTH(B194)</f>
        <v/>
      </c>
      <c r="E194">
        <f>TEXT(B194,"MMM-YYYY")</f>
        <v/>
      </c>
      <c r="F194">
        <f>Raw_Data!C194</f>
        <v/>
      </c>
      <c r="G194">
        <f>Raw_Data!D194</f>
        <v/>
      </c>
      <c r="H194">
        <f>Raw_Data!E194</f>
        <v/>
      </c>
      <c r="I194">
        <f>Raw_Data!F194</f>
        <v/>
      </c>
      <c r="J194">
        <f>Raw_Data!G194</f>
        <v/>
      </c>
      <c r="K194">
        <f>Raw_Data!H194</f>
        <v/>
      </c>
      <c r="L194" s="30">
        <f>Raw_Data!I194</f>
        <v/>
      </c>
      <c r="M194" s="31">
        <f>Raw_Data!J194</f>
        <v/>
      </c>
      <c r="N194" s="17">
        <f>K194*L194</f>
        <v/>
      </c>
      <c r="O194" s="17">
        <f>N194*(1-M194)</f>
        <v/>
      </c>
      <c r="P194" s="17">
        <f>Raw_Data!L194</f>
        <v/>
      </c>
      <c r="Q194" s="17">
        <f>O194-P194</f>
        <v/>
      </c>
      <c r="R194" s="31">
        <f>IF(O194=0,0,Q194/O194)</f>
        <v/>
      </c>
      <c r="S194">
        <f>XLOOKUP(F194,Lookups!$B$7:$B$11,Lookups!$C$7:$C$11,"Unknown")</f>
        <v/>
      </c>
      <c r="T194" s="31">
        <f>XLOOKUP(G194,Lookups!$E$7:$E$11,Lookups!$F$7:$F$11,0)</f>
        <v/>
      </c>
      <c r="U194" s="32">
        <f>R194-T194</f>
        <v/>
      </c>
      <c r="V194">
        <f>XLOOKUP(I194,Lookups!$H$7:$H$10,Lookups!$I$7:$I$10,"")</f>
        <v/>
      </c>
      <c r="W194">
        <f>IF(O194&gt;=50000,"HIGH VALUE","")</f>
        <v/>
      </c>
      <c r="X194">
        <f>IF(Q194&lt;0,"LOSS","")</f>
        <v/>
      </c>
      <c r="Y194">
        <f>IFS(M194&gt;=0.15,"Deep Discount",M194&gt;=0.1,"Moderate",TRUE,"Standard")</f>
        <v/>
      </c>
    </row>
    <row r="195">
      <c r="A195">
        <f>Raw_Data!A195</f>
        <v/>
      </c>
      <c r="B195" s="29">
        <f>Raw_Data!B195</f>
        <v/>
      </c>
      <c r="C195">
        <f>YEAR(B195)</f>
        <v/>
      </c>
      <c r="D195">
        <f>MONTH(B195)</f>
        <v/>
      </c>
      <c r="E195">
        <f>TEXT(B195,"MMM-YYYY")</f>
        <v/>
      </c>
      <c r="F195">
        <f>Raw_Data!C195</f>
        <v/>
      </c>
      <c r="G195">
        <f>Raw_Data!D195</f>
        <v/>
      </c>
      <c r="H195">
        <f>Raw_Data!E195</f>
        <v/>
      </c>
      <c r="I195">
        <f>Raw_Data!F195</f>
        <v/>
      </c>
      <c r="J195">
        <f>Raw_Data!G195</f>
        <v/>
      </c>
      <c r="K195">
        <f>Raw_Data!H195</f>
        <v/>
      </c>
      <c r="L195" s="30">
        <f>Raw_Data!I195</f>
        <v/>
      </c>
      <c r="M195" s="31">
        <f>Raw_Data!J195</f>
        <v/>
      </c>
      <c r="N195" s="17">
        <f>K195*L195</f>
        <v/>
      </c>
      <c r="O195" s="17">
        <f>N195*(1-M195)</f>
        <v/>
      </c>
      <c r="P195" s="17">
        <f>Raw_Data!L195</f>
        <v/>
      </c>
      <c r="Q195" s="17">
        <f>O195-P195</f>
        <v/>
      </c>
      <c r="R195" s="31">
        <f>IF(O195=0,0,Q195/O195)</f>
        <v/>
      </c>
      <c r="S195">
        <f>XLOOKUP(F195,Lookups!$B$7:$B$11,Lookups!$C$7:$C$11,"Unknown")</f>
        <v/>
      </c>
      <c r="T195" s="31">
        <f>XLOOKUP(G195,Lookups!$E$7:$E$11,Lookups!$F$7:$F$11,0)</f>
        <v/>
      </c>
      <c r="U195" s="32">
        <f>R195-T195</f>
        <v/>
      </c>
      <c r="V195">
        <f>XLOOKUP(I195,Lookups!$H$7:$H$10,Lookups!$I$7:$I$10,"")</f>
        <v/>
      </c>
      <c r="W195">
        <f>IF(O195&gt;=50000,"HIGH VALUE","")</f>
        <v/>
      </c>
      <c r="X195">
        <f>IF(Q195&lt;0,"LOSS","")</f>
        <v/>
      </c>
      <c r="Y195">
        <f>IFS(M195&gt;=0.15,"Deep Discount",M195&gt;=0.1,"Moderate",TRUE,"Standard")</f>
        <v/>
      </c>
    </row>
    <row r="196">
      <c r="A196">
        <f>Raw_Data!A196</f>
        <v/>
      </c>
      <c r="B196" s="29">
        <f>Raw_Data!B196</f>
        <v/>
      </c>
      <c r="C196">
        <f>YEAR(B196)</f>
        <v/>
      </c>
      <c r="D196">
        <f>MONTH(B196)</f>
        <v/>
      </c>
      <c r="E196">
        <f>TEXT(B196,"MMM-YYYY")</f>
        <v/>
      </c>
      <c r="F196">
        <f>Raw_Data!C196</f>
        <v/>
      </c>
      <c r="G196">
        <f>Raw_Data!D196</f>
        <v/>
      </c>
      <c r="H196">
        <f>Raw_Data!E196</f>
        <v/>
      </c>
      <c r="I196">
        <f>Raw_Data!F196</f>
        <v/>
      </c>
      <c r="J196">
        <f>Raw_Data!G196</f>
        <v/>
      </c>
      <c r="K196">
        <f>Raw_Data!H196</f>
        <v/>
      </c>
      <c r="L196" s="30">
        <f>Raw_Data!I196</f>
        <v/>
      </c>
      <c r="M196" s="31">
        <f>Raw_Data!J196</f>
        <v/>
      </c>
      <c r="N196" s="17">
        <f>K196*L196</f>
        <v/>
      </c>
      <c r="O196" s="17">
        <f>N196*(1-M196)</f>
        <v/>
      </c>
      <c r="P196" s="17">
        <f>Raw_Data!L196</f>
        <v/>
      </c>
      <c r="Q196" s="17">
        <f>O196-P196</f>
        <v/>
      </c>
      <c r="R196" s="31">
        <f>IF(O196=0,0,Q196/O196)</f>
        <v/>
      </c>
      <c r="S196">
        <f>XLOOKUP(F196,Lookups!$B$7:$B$11,Lookups!$C$7:$C$11,"Unknown")</f>
        <v/>
      </c>
      <c r="T196" s="31">
        <f>XLOOKUP(G196,Lookups!$E$7:$E$11,Lookups!$F$7:$F$11,0)</f>
        <v/>
      </c>
      <c r="U196" s="32">
        <f>R196-T196</f>
        <v/>
      </c>
      <c r="V196">
        <f>XLOOKUP(I196,Lookups!$H$7:$H$10,Lookups!$I$7:$I$10,"")</f>
        <v/>
      </c>
      <c r="W196">
        <f>IF(O196&gt;=50000,"HIGH VALUE","")</f>
        <v/>
      </c>
      <c r="X196">
        <f>IF(Q196&lt;0,"LOSS","")</f>
        <v/>
      </c>
      <c r="Y196">
        <f>IFS(M196&gt;=0.15,"Deep Discount",M196&gt;=0.1,"Moderate",TRUE,"Standard")</f>
        <v/>
      </c>
    </row>
    <row r="197">
      <c r="A197">
        <f>Raw_Data!A197</f>
        <v/>
      </c>
      <c r="B197" s="29">
        <f>Raw_Data!B197</f>
        <v/>
      </c>
      <c r="C197">
        <f>YEAR(B197)</f>
        <v/>
      </c>
      <c r="D197">
        <f>MONTH(B197)</f>
        <v/>
      </c>
      <c r="E197">
        <f>TEXT(B197,"MMM-YYYY")</f>
        <v/>
      </c>
      <c r="F197">
        <f>Raw_Data!C197</f>
        <v/>
      </c>
      <c r="G197">
        <f>Raw_Data!D197</f>
        <v/>
      </c>
      <c r="H197">
        <f>Raw_Data!E197</f>
        <v/>
      </c>
      <c r="I197">
        <f>Raw_Data!F197</f>
        <v/>
      </c>
      <c r="J197">
        <f>Raw_Data!G197</f>
        <v/>
      </c>
      <c r="K197">
        <f>Raw_Data!H197</f>
        <v/>
      </c>
      <c r="L197" s="30">
        <f>Raw_Data!I197</f>
        <v/>
      </c>
      <c r="M197" s="31">
        <f>Raw_Data!J197</f>
        <v/>
      </c>
      <c r="N197" s="17">
        <f>K197*L197</f>
        <v/>
      </c>
      <c r="O197" s="17">
        <f>N197*(1-M197)</f>
        <v/>
      </c>
      <c r="P197" s="17">
        <f>Raw_Data!L197</f>
        <v/>
      </c>
      <c r="Q197" s="17">
        <f>O197-P197</f>
        <v/>
      </c>
      <c r="R197" s="31">
        <f>IF(O197=0,0,Q197/O197)</f>
        <v/>
      </c>
      <c r="S197">
        <f>XLOOKUP(F197,Lookups!$B$7:$B$11,Lookups!$C$7:$C$11,"Unknown")</f>
        <v/>
      </c>
      <c r="T197" s="31">
        <f>XLOOKUP(G197,Lookups!$E$7:$E$11,Lookups!$F$7:$F$11,0)</f>
        <v/>
      </c>
      <c r="U197" s="32">
        <f>R197-T197</f>
        <v/>
      </c>
      <c r="V197">
        <f>XLOOKUP(I197,Lookups!$H$7:$H$10,Lookups!$I$7:$I$10,"")</f>
        <v/>
      </c>
      <c r="W197">
        <f>IF(O197&gt;=50000,"HIGH VALUE","")</f>
        <v/>
      </c>
      <c r="X197">
        <f>IF(Q197&lt;0,"LOSS","")</f>
        <v/>
      </c>
      <c r="Y197">
        <f>IFS(M197&gt;=0.15,"Deep Discount",M197&gt;=0.1,"Moderate",TRUE,"Standard")</f>
        <v/>
      </c>
    </row>
    <row r="198">
      <c r="A198">
        <f>Raw_Data!A198</f>
        <v/>
      </c>
      <c r="B198" s="29">
        <f>Raw_Data!B198</f>
        <v/>
      </c>
      <c r="C198">
        <f>YEAR(B198)</f>
        <v/>
      </c>
      <c r="D198">
        <f>MONTH(B198)</f>
        <v/>
      </c>
      <c r="E198">
        <f>TEXT(B198,"MMM-YYYY")</f>
        <v/>
      </c>
      <c r="F198">
        <f>Raw_Data!C198</f>
        <v/>
      </c>
      <c r="G198">
        <f>Raw_Data!D198</f>
        <v/>
      </c>
      <c r="H198">
        <f>Raw_Data!E198</f>
        <v/>
      </c>
      <c r="I198">
        <f>Raw_Data!F198</f>
        <v/>
      </c>
      <c r="J198">
        <f>Raw_Data!G198</f>
        <v/>
      </c>
      <c r="K198">
        <f>Raw_Data!H198</f>
        <v/>
      </c>
      <c r="L198" s="30">
        <f>Raw_Data!I198</f>
        <v/>
      </c>
      <c r="M198" s="31">
        <f>Raw_Data!J198</f>
        <v/>
      </c>
      <c r="N198" s="17">
        <f>K198*L198</f>
        <v/>
      </c>
      <c r="O198" s="17">
        <f>N198*(1-M198)</f>
        <v/>
      </c>
      <c r="P198" s="17">
        <f>Raw_Data!L198</f>
        <v/>
      </c>
      <c r="Q198" s="17">
        <f>O198-P198</f>
        <v/>
      </c>
      <c r="R198" s="31">
        <f>IF(O198=0,0,Q198/O198)</f>
        <v/>
      </c>
      <c r="S198">
        <f>XLOOKUP(F198,Lookups!$B$7:$B$11,Lookups!$C$7:$C$11,"Unknown")</f>
        <v/>
      </c>
      <c r="T198" s="31">
        <f>XLOOKUP(G198,Lookups!$E$7:$E$11,Lookups!$F$7:$F$11,0)</f>
        <v/>
      </c>
      <c r="U198" s="32">
        <f>R198-T198</f>
        <v/>
      </c>
      <c r="V198">
        <f>XLOOKUP(I198,Lookups!$H$7:$H$10,Lookups!$I$7:$I$10,"")</f>
        <v/>
      </c>
      <c r="W198">
        <f>IF(O198&gt;=50000,"HIGH VALUE","")</f>
        <v/>
      </c>
      <c r="X198">
        <f>IF(Q198&lt;0,"LOSS","")</f>
        <v/>
      </c>
      <c r="Y198">
        <f>IFS(M198&gt;=0.15,"Deep Discount",M198&gt;=0.1,"Moderate",TRUE,"Standard")</f>
        <v/>
      </c>
    </row>
    <row r="199">
      <c r="A199">
        <f>Raw_Data!A199</f>
        <v/>
      </c>
      <c r="B199" s="29">
        <f>Raw_Data!B199</f>
        <v/>
      </c>
      <c r="C199">
        <f>YEAR(B199)</f>
        <v/>
      </c>
      <c r="D199">
        <f>MONTH(B199)</f>
        <v/>
      </c>
      <c r="E199">
        <f>TEXT(B199,"MMM-YYYY")</f>
        <v/>
      </c>
      <c r="F199">
        <f>Raw_Data!C199</f>
        <v/>
      </c>
      <c r="G199">
        <f>Raw_Data!D199</f>
        <v/>
      </c>
      <c r="H199">
        <f>Raw_Data!E199</f>
        <v/>
      </c>
      <c r="I199">
        <f>Raw_Data!F199</f>
        <v/>
      </c>
      <c r="J199">
        <f>Raw_Data!G199</f>
        <v/>
      </c>
      <c r="K199">
        <f>Raw_Data!H199</f>
        <v/>
      </c>
      <c r="L199" s="30">
        <f>Raw_Data!I199</f>
        <v/>
      </c>
      <c r="M199" s="31">
        <f>Raw_Data!J199</f>
        <v/>
      </c>
      <c r="N199" s="17">
        <f>K199*L199</f>
        <v/>
      </c>
      <c r="O199" s="17">
        <f>N199*(1-M199)</f>
        <v/>
      </c>
      <c r="P199" s="17">
        <f>Raw_Data!L199</f>
        <v/>
      </c>
      <c r="Q199" s="17">
        <f>O199-P199</f>
        <v/>
      </c>
      <c r="R199" s="31">
        <f>IF(O199=0,0,Q199/O199)</f>
        <v/>
      </c>
      <c r="S199">
        <f>XLOOKUP(F199,Lookups!$B$7:$B$11,Lookups!$C$7:$C$11,"Unknown")</f>
        <v/>
      </c>
      <c r="T199" s="31">
        <f>XLOOKUP(G199,Lookups!$E$7:$E$11,Lookups!$F$7:$F$11,0)</f>
        <v/>
      </c>
      <c r="U199" s="32">
        <f>R199-T199</f>
        <v/>
      </c>
      <c r="V199">
        <f>XLOOKUP(I199,Lookups!$H$7:$H$10,Lookups!$I$7:$I$10,"")</f>
        <v/>
      </c>
      <c r="W199">
        <f>IF(O199&gt;=50000,"HIGH VALUE","")</f>
        <v/>
      </c>
      <c r="X199">
        <f>IF(Q199&lt;0,"LOSS","")</f>
        <v/>
      </c>
      <c r="Y199">
        <f>IFS(M199&gt;=0.15,"Deep Discount",M199&gt;=0.1,"Moderate",TRUE,"Standard")</f>
        <v/>
      </c>
    </row>
    <row r="200">
      <c r="A200">
        <f>Raw_Data!A200</f>
        <v/>
      </c>
      <c r="B200" s="29">
        <f>Raw_Data!B200</f>
        <v/>
      </c>
      <c r="C200">
        <f>YEAR(B200)</f>
        <v/>
      </c>
      <c r="D200">
        <f>MONTH(B200)</f>
        <v/>
      </c>
      <c r="E200">
        <f>TEXT(B200,"MMM-YYYY")</f>
        <v/>
      </c>
      <c r="F200">
        <f>Raw_Data!C200</f>
        <v/>
      </c>
      <c r="G200">
        <f>Raw_Data!D200</f>
        <v/>
      </c>
      <c r="H200">
        <f>Raw_Data!E200</f>
        <v/>
      </c>
      <c r="I200">
        <f>Raw_Data!F200</f>
        <v/>
      </c>
      <c r="J200">
        <f>Raw_Data!G200</f>
        <v/>
      </c>
      <c r="K200">
        <f>Raw_Data!H200</f>
        <v/>
      </c>
      <c r="L200" s="30">
        <f>Raw_Data!I200</f>
        <v/>
      </c>
      <c r="M200" s="31">
        <f>Raw_Data!J200</f>
        <v/>
      </c>
      <c r="N200" s="17">
        <f>K200*L200</f>
        <v/>
      </c>
      <c r="O200" s="17">
        <f>N200*(1-M200)</f>
        <v/>
      </c>
      <c r="P200" s="17">
        <f>Raw_Data!L200</f>
        <v/>
      </c>
      <c r="Q200" s="17">
        <f>O200-P200</f>
        <v/>
      </c>
      <c r="R200" s="31">
        <f>IF(O200=0,0,Q200/O200)</f>
        <v/>
      </c>
      <c r="S200">
        <f>XLOOKUP(F200,Lookups!$B$7:$B$11,Lookups!$C$7:$C$11,"Unknown")</f>
        <v/>
      </c>
      <c r="T200" s="31">
        <f>XLOOKUP(G200,Lookups!$E$7:$E$11,Lookups!$F$7:$F$11,0)</f>
        <v/>
      </c>
      <c r="U200" s="32">
        <f>R200-T200</f>
        <v/>
      </c>
      <c r="V200">
        <f>XLOOKUP(I200,Lookups!$H$7:$H$10,Lookups!$I$7:$I$10,"")</f>
        <v/>
      </c>
      <c r="W200">
        <f>IF(O200&gt;=50000,"HIGH VALUE","")</f>
        <v/>
      </c>
      <c r="X200">
        <f>IF(Q200&lt;0,"LOSS","")</f>
        <v/>
      </c>
      <c r="Y200">
        <f>IFS(M200&gt;=0.15,"Deep Discount",M200&gt;=0.1,"Moderate",TRUE,"Standard")</f>
        <v/>
      </c>
    </row>
    <row r="201">
      <c r="A201">
        <f>Raw_Data!A201</f>
        <v/>
      </c>
      <c r="B201" s="29">
        <f>Raw_Data!B201</f>
        <v/>
      </c>
      <c r="C201">
        <f>YEAR(B201)</f>
        <v/>
      </c>
      <c r="D201">
        <f>MONTH(B201)</f>
        <v/>
      </c>
      <c r="E201">
        <f>TEXT(B201,"MMM-YYYY")</f>
        <v/>
      </c>
      <c r="F201">
        <f>Raw_Data!C201</f>
        <v/>
      </c>
      <c r="G201">
        <f>Raw_Data!D201</f>
        <v/>
      </c>
      <c r="H201">
        <f>Raw_Data!E201</f>
        <v/>
      </c>
      <c r="I201">
        <f>Raw_Data!F201</f>
        <v/>
      </c>
      <c r="J201">
        <f>Raw_Data!G201</f>
        <v/>
      </c>
      <c r="K201">
        <f>Raw_Data!H201</f>
        <v/>
      </c>
      <c r="L201" s="30">
        <f>Raw_Data!I201</f>
        <v/>
      </c>
      <c r="M201" s="31">
        <f>Raw_Data!J201</f>
        <v/>
      </c>
      <c r="N201" s="17">
        <f>K201*L201</f>
        <v/>
      </c>
      <c r="O201" s="17">
        <f>N201*(1-M201)</f>
        <v/>
      </c>
      <c r="P201" s="17">
        <f>Raw_Data!L201</f>
        <v/>
      </c>
      <c r="Q201" s="17">
        <f>O201-P201</f>
        <v/>
      </c>
      <c r="R201" s="31">
        <f>IF(O201=0,0,Q201/O201)</f>
        <v/>
      </c>
      <c r="S201">
        <f>XLOOKUP(F201,Lookups!$B$7:$B$11,Lookups!$C$7:$C$11,"Unknown")</f>
        <v/>
      </c>
      <c r="T201" s="31">
        <f>XLOOKUP(G201,Lookups!$E$7:$E$11,Lookups!$F$7:$F$11,0)</f>
        <v/>
      </c>
      <c r="U201" s="32">
        <f>R201-T201</f>
        <v/>
      </c>
      <c r="V201">
        <f>XLOOKUP(I201,Lookups!$H$7:$H$10,Lookups!$I$7:$I$10,"")</f>
        <v/>
      </c>
      <c r="W201">
        <f>IF(O201&gt;=50000,"HIGH VALUE","")</f>
        <v/>
      </c>
      <c r="X201">
        <f>IF(Q201&lt;0,"LOSS","")</f>
        <v/>
      </c>
      <c r="Y201">
        <f>IFS(M201&gt;=0.15,"Deep Discount",M201&gt;=0.1,"Moderate",TRUE,"Standard")</f>
        <v/>
      </c>
    </row>
    <row r="202">
      <c r="A202">
        <f>Raw_Data!A202</f>
        <v/>
      </c>
      <c r="B202" s="29">
        <f>Raw_Data!B202</f>
        <v/>
      </c>
      <c r="C202">
        <f>YEAR(B202)</f>
        <v/>
      </c>
      <c r="D202">
        <f>MONTH(B202)</f>
        <v/>
      </c>
      <c r="E202">
        <f>TEXT(B202,"MMM-YYYY")</f>
        <v/>
      </c>
      <c r="F202">
        <f>Raw_Data!C202</f>
        <v/>
      </c>
      <c r="G202">
        <f>Raw_Data!D202</f>
        <v/>
      </c>
      <c r="H202">
        <f>Raw_Data!E202</f>
        <v/>
      </c>
      <c r="I202">
        <f>Raw_Data!F202</f>
        <v/>
      </c>
      <c r="J202">
        <f>Raw_Data!G202</f>
        <v/>
      </c>
      <c r="K202">
        <f>Raw_Data!H202</f>
        <v/>
      </c>
      <c r="L202" s="30">
        <f>Raw_Data!I202</f>
        <v/>
      </c>
      <c r="M202" s="31">
        <f>Raw_Data!J202</f>
        <v/>
      </c>
      <c r="N202" s="17">
        <f>K202*L202</f>
        <v/>
      </c>
      <c r="O202" s="17">
        <f>N202*(1-M202)</f>
        <v/>
      </c>
      <c r="P202" s="17">
        <f>Raw_Data!L202</f>
        <v/>
      </c>
      <c r="Q202" s="17">
        <f>O202-P202</f>
        <v/>
      </c>
      <c r="R202" s="31">
        <f>IF(O202=0,0,Q202/O202)</f>
        <v/>
      </c>
      <c r="S202">
        <f>XLOOKUP(F202,Lookups!$B$7:$B$11,Lookups!$C$7:$C$11,"Unknown")</f>
        <v/>
      </c>
      <c r="T202" s="31">
        <f>XLOOKUP(G202,Lookups!$E$7:$E$11,Lookups!$F$7:$F$11,0)</f>
        <v/>
      </c>
      <c r="U202" s="32">
        <f>R202-T202</f>
        <v/>
      </c>
      <c r="V202">
        <f>XLOOKUP(I202,Lookups!$H$7:$H$10,Lookups!$I$7:$I$10,"")</f>
        <v/>
      </c>
      <c r="W202">
        <f>IF(O202&gt;=50000,"HIGH VALUE","")</f>
        <v/>
      </c>
      <c r="X202">
        <f>IF(Q202&lt;0,"LOSS","")</f>
        <v/>
      </c>
      <c r="Y202">
        <f>IFS(M202&gt;=0.15,"Deep Discount",M202&gt;=0.1,"Moderate",TRUE,"Standard")</f>
        <v/>
      </c>
    </row>
    <row r="203">
      <c r="A203">
        <f>Raw_Data!A203</f>
        <v/>
      </c>
      <c r="B203" s="29">
        <f>Raw_Data!B203</f>
        <v/>
      </c>
      <c r="C203">
        <f>YEAR(B203)</f>
        <v/>
      </c>
      <c r="D203">
        <f>MONTH(B203)</f>
        <v/>
      </c>
      <c r="E203">
        <f>TEXT(B203,"MMM-YYYY")</f>
        <v/>
      </c>
      <c r="F203">
        <f>Raw_Data!C203</f>
        <v/>
      </c>
      <c r="G203">
        <f>Raw_Data!D203</f>
        <v/>
      </c>
      <c r="H203">
        <f>Raw_Data!E203</f>
        <v/>
      </c>
      <c r="I203">
        <f>Raw_Data!F203</f>
        <v/>
      </c>
      <c r="J203">
        <f>Raw_Data!G203</f>
        <v/>
      </c>
      <c r="K203">
        <f>Raw_Data!H203</f>
        <v/>
      </c>
      <c r="L203" s="30">
        <f>Raw_Data!I203</f>
        <v/>
      </c>
      <c r="M203" s="31">
        <f>Raw_Data!J203</f>
        <v/>
      </c>
      <c r="N203" s="17">
        <f>K203*L203</f>
        <v/>
      </c>
      <c r="O203" s="17">
        <f>N203*(1-M203)</f>
        <v/>
      </c>
      <c r="P203" s="17">
        <f>Raw_Data!L203</f>
        <v/>
      </c>
      <c r="Q203" s="17">
        <f>O203-P203</f>
        <v/>
      </c>
      <c r="R203" s="31">
        <f>IF(O203=0,0,Q203/O203)</f>
        <v/>
      </c>
      <c r="S203">
        <f>XLOOKUP(F203,Lookups!$B$7:$B$11,Lookups!$C$7:$C$11,"Unknown")</f>
        <v/>
      </c>
      <c r="T203" s="31">
        <f>XLOOKUP(G203,Lookups!$E$7:$E$11,Lookups!$F$7:$F$11,0)</f>
        <v/>
      </c>
      <c r="U203" s="32">
        <f>R203-T203</f>
        <v/>
      </c>
      <c r="V203">
        <f>XLOOKUP(I203,Lookups!$H$7:$H$10,Lookups!$I$7:$I$10,"")</f>
        <v/>
      </c>
      <c r="W203">
        <f>IF(O203&gt;=50000,"HIGH VALUE","")</f>
        <v/>
      </c>
      <c r="X203">
        <f>IF(Q203&lt;0,"LOSS","")</f>
        <v/>
      </c>
      <c r="Y203">
        <f>IFS(M203&gt;=0.15,"Deep Discount",M203&gt;=0.1,"Moderate",TRUE,"Standard")</f>
        <v/>
      </c>
    </row>
    <row r="204">
      <c r="A204">
        <f>Raw_Data!A204</f>
        <v/>
      </c>
      <c r="B204" s="29">
        <f>Raw_Data!B204</f>
        <v/>
      </c>
      <c r="C204">
        <f>YEAR(B204)</f>
        <v/>
      </c>
      <c r="D204">
        <f>MONTH(B204)</f>
        <v/>
      </c>
      <c r="E204">
        <f>TEXT(B204,"MMM-YYYY")</f>
        <v/>
      </c>
      <c r="F204">
        <f>Raw_Data!C204</f>
        <v/>
      </c>
      <c r="G204">
        <f>Raw_Data!D204</f>
        <v/>
      </c>
      <c r="H204">
        <f>Raw_Data!E204</f>
        <v/>
      </c>
      <c r="I204">
        <f>Raw_Data!F204</f>
        <v/>
      </c>
      <c r="J204">
        <f>Raw_Data!G204</f>
        <v/>
      </c>
      <c r="K204">
        <f>Raw_Data!H204</f>
        <v/>
      </c>
      <c r="L204" s="30">
        <f>Raw_Data!I204</f>
        <v/>
      </c>
      <c r="M204" s="31">
        <f>Raw_Data!J204</f>
        <v/>
      </c>
      <c r="N204" s="17">
        <f>K204*L204</f>
        <v/>
      </c>
      <c r="O204" s="17">
        <f>N204*(1-M204)</f>
        <v/>
      </c>
      <c r="P204" s="17">
        <f>Raw_Data!L204</f>
        <v/>
      </c>
      <c r="Q204" s="17">
        <f>O204-P204</f>
        <v/>
      </c>
      <c r="R204" s="31">
        <f>IF(O204=0,0,Q204/O204)</f>
        <v/>
      </c>
      <c r="S204">
        <f>XLOOKUP(F204,Lookups!$B$7:$B$11,Lookups!$C$7:$C$11,"Unknown")</f>
        <v/>
      </c>
      <c r="T204" s="31">
        <f>XLOOKUP(G204,Lookups!$E$7:$E$11,Lookups!$F$7:$F$11,0)</f>
        <v/>
      </c>
      <c r="U204" s="32">
        <f>R204-T204</f>
        <v/>
      </c>
      <c r="V204">
        <f>XLOOKUP(I204,Lookups!$H$7:$H$10,Lookups!$I$7:$I$10,"")</f>
        <v/>
      </c>
      <c r="W204">
        <f>IF(O204&gt;=50000,"HIGH VALUE","")</f>
        <v/>
      </c>
      <c r="X204">
        <f>IF(Q204&lt;0,"LOSS","")</f>
        <v/>
      </c>
      <c r="Y204">
        <f>IFS(M204&gt;=0.15,"Deep Discount",M204&gt;=0.1,"Moderate",TRUE,"Standard")</f>
        <v/>
      </c>
    </row>
    <row r="205">
      <c r="A205">
        <f>Raw_Data!A205</f>
        <v/>
      </c>
      <c r="B205" s="29">
        <f>Raw_Data!B205</f>
        <v/>
      </c>
      <c r="C205">
        <f>YEAR(B205)</f>
        <v/>
      </c>
      <c r="D205">
        <f>MONTH(B205)</f>
        <v/>
      </c>
      <c r="E205">
        <f>TEXT(B205,"MMM-YYYY")</f>
        <v/>
      </c>
      <c r="F205">
        <f>Raw_Data!C205</f>
        <v/>
      </c>
      <c r="G205">
        <f>Raw_Data!D205</f>
        <v/>
      </c>
      <c r="H205">
        <f>Raw_Data!E205</f>
        <v/>
      </c>
      <c r="I205">
        <f>Raw_Data!F205</f>
        <v/>
      </c>
      <c r="J205">
        <f>Raw_Data!G205</f>
        <v/>
      </c>
      <c r="K205">
        <f>Raw_Data!H205</f>
        <v/>
      </c>
      <c r="L205" s="30">
        <f>Raw_Data!I205</f>
        <v/>
      </c>
      <c r="M205" s="31">
        <f>Raw_Data!J205</f>
        <v/>
      </c>
      <c r="N205" s="17">
        <f>K205*L205</f>
        <v/>
      </c>
      <c r="O205" s="17">
        <f>N205*(1-M205)</f>
        <v/>
      </c>
      <c r="P205" s="17">
        <f>Raw_Data!L205</f>
        <v/>
      </c>
      <c r="Q205" s="17">
        <f>O205-P205</f>
        <v/>
      </c>
      <c r="R205" s="31">
        <f>IF(O205=0,0,Q205/O205)</f>
        <v/>
      </c>
      <c r="S205">
        <f>XLOOKUP(F205,Lookups!$B$7:$B$11,Lookups!$C$7:$C$11,"Unknown")</f>
        <v/>
      </c>
      <c r="T205" s="31">
        <f>XLOOKUP(G205,Lookups!$E$7:$E$11,Lookups!$F$7:$F$11,0)</f>
        <v/>
      </c>
      <c r="U205" s="32">
        <f>R205-T205</f>
        <v/>
      </c>
      <c r="V205">
        <f>XLOOKUP(I205,Lookups!$H$7:$H$10,Lookups!$I$7:$I$10,"")</f>
        <v/>
      </c>
      <c r="W205">
        <f>IF(O205&gt;=50000,"HIGH VALUE","")</f>
        <v/>
      </c>
      <c r="X205">
        <f>IF(Q205&lt;0,"LOSS","")</f>
        <v/>
      </c>
      <c r="Y205">
        <f>IFS(M205&gt;=0.15,"Deep Discount",M205&gt;=0.1,"Moderate",TRUE,"Standard")</f>
        <v/>
      </c>
    </row>
    <row r="206">
      <c r="A206">
        <f>Raw_Data!A206</f>
        <v/>
      </c>
      <c r="B206" s="29">
        <f>Raw_Data!B206</f>
        <v/>
      </c>
      <c r="C206">
        <f>YEAR(B206)</f>
        <v/>
      </c>
      <c r="D206">
        <f>MONTH(B206)</f>
        <v/>
      </c>
      <c r="E206">
        <f>TEXT(B206,"MMM-YYYY")</f>
        <v/>
      </c>
      <c r="F206">
        <f>Raw_Data!C206</f>
        <v/>
      </c>
      <c r="G206">
        <f>Raw_Data!D206</f>
        <v/>
      </c>
      <c r="H206">
        <f>Raw_Data!E206</f>
        <v/>
      </c>
      <c r="I206">
        <f>Raw_Data!F206</f>
        <v/>
      </c>
      <c r="J206">
        <f>Raw_Data!G206</f>
        <v/>
      </c>
      <c r="K206">
        <f>Raw_Data!H206</f>
        <v/>
      </c>
      <c r="L206" s="30">
        <f>Raw_Data!I206</f>
        <v/>
      </c>
      <c r="M206" s="31">
        <f>Raw_Data!J206</f>
        <v/>
      </c>
      <c r="N206" s="17">
        <f>K206*L206</f>
        <v/>
      </c>
      <c r="O206" s="17">
        <f>N206*(1-M206)</f>
        <v/>
      </c>
      <c r="P206" s="17">
        <f>Raw_Data!L206</f>
        <v/>
      </c>
      <c r="Q206" s="17">
        <f>O206-P206</f>
        <v/>
      </c>
      <c r="R206" s="31">
        <f>IF(O206=0,0,Q206/O206)</f>
        <v/>
      </c>
      <c r="S206">
        <f>XLOOKUP(F206,Lookups!$B$7:$B$11,Lookups!$C$7:$C$11,"Unknown")</f>
        <v/>
      </c>
      <c r="T206" s="31">
        <f>XLOOKUP(G206,Lookups!$E$7:$E$11,Lookups!$F$7:$F$11,0)</f>
        <v/>
      </c>
      <c r="U206" s="32">
        <f>R206-T206</f>
        <v/>
      </c>
      <c r="V206">
        <f>XLOOKUP(I206,Lookups!$H$7:$H$10,Lookups!$I$7:$I$10,"")</f>
        <v/>
      </c>
      <c r="W206">
        <f>IF(O206&gt;=50000,"HIGH VALUE","")</f>
        <v/>
      </c>
      <c r="X206">
        <f>IF(Q206&lt;0,"LOSS","")</f>
        <v/>
      </c>
      <c r="Y206">
        <f>IFS(M206&gt;=0.15,"Deep Discount",M206&gt;=0.1,"Moderate",TRUE,"Standard")</f>
        <v/>
      </c>
    </row>
    <row r="207">
      <c r="A207">
        <f>Raw_Data!A207</f>
        <v/>
      </c>
      <c r="B207" s="29">
        <f>Raw_Data!B207</f>
        <v/>
      </c>
      <c r="C207">
        <f>YEAR(B207)</f>
        <v/>
      </c>
      <c r="D207">
        <f>MONTH(B207)</f>
        <v/>
      </c>
      <c r="E207">
        <f>TEXT(B207,"MMM-YYYY")</f>
        <v/>
      </c>
      <c r="F207">
        <f>Raw_Data!C207</f>
        <v/>
      </c>
      <c r="G207">
        <f>Raw_Data!D207</f>
        <v/>
      </c>
      <c r="H207">
        <f>Raw_Data!E207</f>
        <v/>
      </c>
      <c r="I207">
        <f>Raw_Data!F207</f>
        <v/>
      </c>
      <c r="J207">
        <f>Raw_Data!G207</f>
        <v/>
      </c>
      <c r="K207">
        <f>Raw_Data!H207</f>
        <v/>
      </c>
      <c r="L207" s="30">
        <f>Raw_Data!I207</f>
        <v/>
      </c>
      <c r="M207" s="31">
        <f>Raw_Data!J207</f>
        <v/>
      </c>
      <c r="N207" s="17">
        <f>K207*L207</f>
        <v/>
      </c>
      <c r="O207" s="17">
        <f>N207*(1-M207)</f>
        <v/>
      </c>
      <c r="P207" s="17">
        <f>Raw_Data!L207</f>
        <v/>
      </c>
      <c r="Q207" s="17">
        <f>O207-P207</f>
        <v/>
      </c>
      <c r="R207" s="31">
        <f>IF(O207=0,0,Q207/O207)</f>
        <v/>
      </c>
      <c r="S207">
        <f>XLOOKUP(F207,Lookups!$B$7:$B$11,Lookups!$C$7:$C$11,"Unknown")</f>
        <v/>
      </c>
      <c r="T207" s="31">
        <f>XLOOKUP(G207,Lookups!$E$7:$E$11,Lookups!$F$7:$F$11,0)</f>
        <v/>
      </c>
      <c r="U207" s="32">
        <f>R207-T207</f>
        <v/>
      </c>
      <c r="V207">
        <f>XLOOKUP(I207,Lookups!$H$7:$H$10,Lookups!$I$7:$I$10,"")</f>
        <v/>
      </c>
      <c r="W207">
        <f>IF(O207&gt;=50000,"HIGH VALUE","")</f>
        <v/>
      </c>
      <c r="X207">
        <f>IF(Q207&lt;0,"LOSS","")</f>
        <v/>
      </c>
      <c r="Y207">
        <f>IFS(M207&gt;=0.15,"Deep Discount",M207&gt;=0.1,"Moderate",TRUE,"Standard")</f>
        <v/>
      </c>
    </row>
    <row r="208">
      <c r="A208">
        <f>Raw_Data!A208</f>
        <v/>
      </c>
      <c r="B208" s="29">
        <f>Raw_Data!B208</f>
        <v/>
      </c>
      <c r="C208">
        <f>YEAR(B208)</f>
        <v/>
      </c>
      <c r="D208">
        <f>MONTH(B208)</f>
        <v/>
      </c>
      <c r="E208">
        <f>TEXT(B208,"MMM-YYYY")</f>
        <v/>
      </c>
      <c r="F208">
        <f>Raw_Data!C208</f>
        <v/>
      </c>
      <c r="G208">
        <f>Raw_Data!D208</f>
        <v/>
      </c>
      <c r="H208">
        <f>Raw_Data!E208</f>
        <v/>
      </c>
      <c r="I208">
        <f>Raw_Data!F208</f>
        <v/>
      </c>
      <c r="J208">
        <f>Raw_Data!G208</f>
        <v/>
      </c>
      <c r="K208">
        <f>Raw_Data!H208</f>
        <v/>
      </c>
      <c r="L208" s="30">
        <f>Raw_Data!I208</f>
        <v/>
      </c>
      <c r="M208" s="31">
        <f>Raw_Data!J208</f>
        <v/>
      </c>
      <c r="N208" s="17">
        <f>K208*L208</f>
        <v/>
      </c>
      <c r="O208" s="17">
        <f>N208*(1-M208)</f>
        <v/>
      </c>
      <c r="P208" s="17">
        <f>Raw_Data!L208</f>
        <v/>
      </c>
      <c r="Q208" s="17">
        <f>O208-P208</f>
        <v/>
      </c>
      <c r="R208" s="31">
        <f>IF(O208=0,0,Q208/O208)</f>
        <v/>
      </c>
      <c r="S208">
        <f>XLOOKUP(F208,Lookups!$B$7:$B$11,Lookups!$C$7:$C$11,"Unknown")</f>
        <v/>
      </c>
      <c r="T208" s="31">
        <f>XLOOKUP(G208,Lookups!$E$7:$E$11,Lookups!$F$7:$F$11,0)</f>
        <v/>
      </c>
      <c r="U208" s="32">
        <f>R208-T208</f>
        <v/>
      </c>
      <c r="V208">
        <f>XLOOKUP(I208,Lookups!$H$7:$H$10,Lookups!$I$7:$I$10,"")</f>
        <v/>
      </c>
      <c r="W208">
        <f>IF(O208&gt;=50000,"HIGH VALUE","")</f>
        <v/>
      </c>
      <c r="X208">
        <f>IF(Q208&lt;0,"LOSS","")</f>
        <v/>
      </c>
      <c r="Y208">
        <f>IFS(M208&gt;=0.15,"Deep Discount",M208&gt;=0.1,"Moderate",TRUE,"Standard")</f>
        <v/>
      </c>
    </row>
    <row r="209">
      <c r="A209">
        <f>Raw_Data!A209</f>
        <v/>
      </c>
      <c r="B209" s="29">
        <f>Raw_Data!B209</f>
        <v/>
      </c>
      <c r="C209">
        <f>YEAR(B209)</f>
        <v/>
      </c>
      <c r="D209">
        <f>MONTH(B209)</f>
        <v/>
      </c>
      <c r="E209">
        <f>TEXT(B209,"MMM-YYYY")</f>
        <v/>
      </c>
      <c r="F209">
        <f>Raw_Data!C209</f>
        <v/>
      </c>
      <c r="G209">
        <f>Raw_Data!D209</f>
        <v/>
      </c>
      <c r="H209">
        <f>Raw_Data!E209</f>
        <v/>
      </c>
      <c r="I209">
        <f>Raw_Data!F209</f>
        <v/>
      </c>
      <c r="J209">
        <f>Raw_Data!G209</f>
        <v/>
      </c>
      <c r="K209">
        <f>Raw_Data!H209</f>
        <v/>
      </c>
      <c r="L209" s="30">
        <f>Raw_Data!I209</f>
        <v/>
      </c>
      <c r="M209" s="31">
        <f>Raw_Data!J209</f>
        <v/>
      </c>
      <c r="N209" s="17">
        <f>K209*L209</f>
        <v/>
      </c>
      <c r="O209" s="17">
        <f>N209*(1-M209)</f>
        <v/>
      </c>
      <c r="P209" s="17">
        <f>Raw_Data!L209</f>
        <v/>
      </c>
      <c r="Q209" s="17">
        <f>O209-P209</f>
        <v/>
      </c>
      <c r="R209" s="31">
        <f>IF(O209=0,0,Q209/O209)</f>
        <v/>
      </c>
      <c r="S209">
        <f>XLOOKUP(F209,Lookups!$B$7:$B$11,Lookups!$C$7:$C$11,"Unknown")</f>
        <v/>
      </c>
      <c r="T209" s="31">
        <f>XLOOKUP(G209,Lookups!$E$7:$E$11,Lookups!$F$7:$F$11,0)</f>
        <v/>
      </c>
      <c r="U209" s="32">
        <f>R209-T209</f>
        <v/>
      </c>
      <c r="V209">
        <f>XLOOKUP(I209,Lookups!$H$7:$H$10,Lookups!$I$7:$I$10,"")</f>
        <v/>
      </c>
      <c r="W209">
        <f>IF(O209&gt;=50000,"HIGH VALUE","")</f>
        <v/>
      </c>
      <c r="X209">
        <f>IF(Q209&lt;0,"LOSS","")</f>
        <v/>
      </c>
      <c r="Y209">
        <f>IFS(M209&gt;=0.15,"Deep Discount",M209&gt;=0.1,"Moderate",TRUE,"Standard")</f>
        <v/>
      </c>
    </row>
    <row r="210">
      <c r="A210">
        <f>Raw_Data!A210</f>
        <v/>
      </c>
      <c r="B210" s="29">
        <f>Raw_Data!B210</f>
        <v/>
      </c>
      <c r="C210">
        <f>YEAR(B210)</f>
        <v/>
      </c>
      <c r="D210">
        <f>MONTH(B210)</f>
        <v/>
      </c>
      <c r="E210">
        <f>TEXT(B210,"MMM-YYYY")</f>
        <v/>
      </c>
      <c r="F210">
        <f>Raw_Data!C210</f>
        <v/>
      </c>
      <c r="G210">
        <f>Raw_Data!D210</f>
        <v/>
      </c>
      <c r="H210">
        <f>Raw_Data!E210</f>
        <v/>
      </c>
      <c r="I210">
        <f>Raw_Data!F210</f>
        <v/>
      </c>
      <c r="J210">
        <f>Raw_Data!G210</f>
        <v/>
      </c>
      <c r="K210">
        <f>Raw_Data!H210</f>
        <v/>
      </c>
      <c r="L210" s="30">
        <f>Raw_Data!I210</f>
        <v/>
      </c>
      <c r="M210" s="31">
        <f>Raw_Data!J210</f>
        <v/>
      </c>
      <c r="N210" s="17">
        <f>K210*L210</f>
        <v/>
      </c>
      <c r="O210" s="17">
        <f>N210*(1-M210)</f>
        <v/>
      </c>
      <c r="P210" s="17">
        <f>Raw_Data!L210</f>
        <v/>
      </c>
      <c r="Q210" s="17">
        <f>O210-P210</f>
        <v/>
      </c>
      <c r="R210" s="31">
        <f>IF(O210=0,0,Q210/O210)</f>
        <v/>
      </c>
      <c r="S210">
        <f>XLOOKUP(F210,Lookups!$B$7:$B$11,Lookups!$C$7:$C$11,"Unknown")</f>
        <v/>
      </c>
      <c r="T210" s="31">
        <f>XLOOKUP(G210,Lookups!$E$7:$E$11,Lookups!$F$7:$F$11,0)</f>
        <v/>
      </c>
      <c r="U210" s="32">
        <f>R210-T210</f>
        <v/>
      </c>
      <c r="V210">
        <f>XLOOKUP(I210,Lookups!$H$7:$H$10,Lookups!$I$7:$I$10,"")</f>
        <v/>
      </c>
      <c r="W210">
        <f>IF(O210&gt;=50000,"HIGH VALUE","")</f>
        <v/>
      </c>
      <c r="X210">
        <f>IF(Q210&lt;0,"LOSS","")</f>
        <v/>
      </c>
      <c r="Y210">
        <f>IFS(M210&gt;=0.15,"Deep Discount",M210&gt;=0.1,"Moderate",TRUE,"Standard")</f>
        <v/>
      </c>
    </row>
    <row r="211">
      <c r="A211">
        <f>Raw_Data!A211</f>
        <v/>
      </c>
      <c r="B211" s="29">
        <f>Raw_Data!B211</f>
        <v/>
      </c>
      <c r="C211">
        <f>YEAR(B211)</f>
        <v/>
      </c>
      <c r="D211">
        <f>MONTH(B211)</f>
        <v/>
      </c>
      <c r="E211">
        <f>TEXT(B211,"MMM-YYYY")</f>
        <v/>
      </c>
      <c r="F211">
        <f>Raw_Data!C211</f>
        <v/>
      </c>
      <c r="G211">
        <f>Raw_Data!D211</f>
        <v/>
      </c>
      <c r="H211">
        <f>Raw_Data!E211</f>
        <v/>
      </c>
      <c r="I211">
        <f>Raw_Data!F211</f>
        <v/>
      </c>
      <c r="J211">
        <f>Raw_Data!G211</f>
        <v/>
      </c>
      <c r="K211">
        <f>Raw_Data!H211</f>
        <v/>
      </c>
      <c r="L211" s="30">
        <f>Raw_Data!I211</f>
        <v/>
      </c>
      <c r="M211" s="31">
        <f>Raw_Data!J211</f>
        <v/>
      </c>
      <c r="N211" s="17">
        <f>K211*L211</f>
        <v/>
      </c>
      <c r="O211" s="17">
        <f>N211*(1-M211)</f>
        <v/>
      </c>
      <c r="P211" s="17">
        <f>Raw_Data!L211</f>
        <v/>
      </c>
      <c r="Q211" s="17">
        <f>O211-P211</f>
        <v/>
      </c>
      <c r="R211" s="31">
        <f>IF(O211=0,0,Q211/O211)</f>
        <v/>
      </c>
      <c r="S211">
        <f>XLOOKUP(F211,Lookups!$B$7:$B$11,Lookups!$C$7:$C$11,"Unknown")</f>
        <v/>
      </c>
      <c r="T211" s="31">
        <f>XLOOKUP(G211,Lookups!$E$7:$E$11,Lookups!$F$7:$F$11,0)</f>
        <v/>
      </c>
      <c r="U211" s="32">
        <f>R211-T211</f>
        <v/>
      </c>
      <c r="V211">
        <f>XLOOKUP(I211,Lookups!$H$7:$H$10,Lookups!$I$7:$I$10,"")</f>
        <v/>
      </c>
      <c r="W211">
        <f>IF(O211&gt;=50000,"HIGH VALUE","")</f>
        <v/>
      </c>
      <c r="X211">
        <f>IF(Q211&lt;0,"LOSS","")</f>
        <v/>
      </c>
      <c r="Y211">
        <f>IFS(M211&gt;=0.15,"Deep Discount",M211&gt;=0.1,"Moderate",TRUE,"Standard")</f>
        <v/>
      </c>
    </row>
    <row r="212">
      <c r="A212">
        <f>Raw_Data!A212</f>
        <v/>
      </c>
      <c r="B212" s="29">
        <f>Raw_Data!B212</f>
        <v/>
      </c>
      <c r="C212">
        <f>YEAR(B212)</f>
        <v/>
      </c>
      <c r="D212">
        <f>MONTH(B212)</f>
        <v/>
      </c>
      <c r="E212">
        <f>TEXT(B212,"MMM-YYYY")</f>
        <v/>
      </c>
      <c r="F212">
        <f>Raw_Data!C212</f>
        <v/>
      </c>
      <c r="G212">
        <f>Raw_Data!D212</f>
        <v/>
      </c>
      <c r="H212">
        <f>Raw_Data!E212</f>
        <v/>
      </c>
      <c r="I212">
        <f>Raw_Data!F212</f>
        <v/>
      </c>
      <c r="J212">
        <f>Raw_Data!G212</f>
        <v/>
      </c>
      <c r="K212">
        <f>Raw_Data!H212</f>
        <v/>
      </c>
      <c r="L212" s="30">
        <f>Raw_Data!I212</f>
        <v/>
      </c>
      <c r="M212" s="31">
        <f>Raw_Data!J212</f>
        <v/>
      </c>
      <c r="N212" s="17">
        <f>K212*L212</f>
        <v/>
      </c>
      <c r="O212" s="17">
        <f>N212*(1-M212)</f>
        <v/>
      </c>
      <c r="P212" s="17">
        <f>Raw_Data!L212</f>
        <v/>
      </c>
      <c r="Q212" s="17">
        <f>O212-P212</f>
        <v/>
      </c>
      <c r="R212" s="31">
        <f>IF(O212=0,0,Q212/O212)</f>
        <v/>
      </c>
      <c r="S212">
        <f>XLOOKUP(F212,Lookups!$B$7:$B$11,Lookups!$C$7:$C$11,"Unknown")</f>
        <v/>
      </c>
      <c r="T212" s="31">
        <f>XLOOKUP(G212,Lookups!$E$7:$E$11,Lookups!$F$7:$F$11,0)</f>
        <v/>
      </c>
      <c r="U212" s="32">
        <f>R212-T212</f>
        <v/>
      </c>
      <c r="V212">
        <f>XLOOKUP(I212,Lookups!$H$7:$H$10,Lookups!$I$7:$I$10,"")</f>
        <v/>
      </c>
      <c r="W212">
        <f>IF(O212&gt;=50000,"HIGH VALUE","")</f>
        <v/>
      </c>
      <c r="X212">
        <f>IF(Q212&lt;0,"LOSS","")</f>
        <v/>
      </c>
      <c r="Y212">
        <f>IFS(M212&gt;=0.15,"Deep Discount",M212&gt;=0.1,"Moderate",TRUE,"Standard")</f>
        <v/>
      </c>
    </row>
    <row r="213">
      <c r="A213">
        <f>Raw_Data!A213</f>
        <v/>
      </c>
      <c r="B213" s="29">
        <f>Raw_Data!B213</f>
        <v/>
      </c>
      <c r="C213">
        <f>YEAR(B213)</f>
        <v/>
      </c>
      <c r="D213">
        <f>MONTH(B213)</f>
        <v/>
      </c>
      <c r="E213">
        <f>TEXT(B213,"MMM-YYYY")</f>
        <v/>
      </c>
      <c r="F213">
        <f>Raw_Data!C213</f>
        <v/>
      </c>
      <c r="G213">
        <f>Raw_Data!D213</f>
        <v/>
      </c>
      <c r="H213">
        <f>Raw_Data!E213</f>
        <v/>
      </c>
      <c r="I213">
        <f>Raw_Data!F213</f>
        <v/>
      </c>
      <c r="J213">
        <f>Raw_Data!G213</f>
        <v/>
      </c>
      <c r="K213">
        <f>Raw_Data!H213</f>
        <v/>
      </c>
      <c r="L213" s="30">
        <f>Raw_Data!I213</f>
        <v/>
      </c>
      <c r="M213" s="31">
        <f>Raw_Data!J213</f>
        <v/>
      </c>
      <c r="N213" s="17">
        <f>K213*L213</f>
        <v/>
      </c>
      <c r="O213" s="17">
        <f>N213*(1-M213)</f>
        <v/>
      </c>
      <c r="P213" s="17">
        <f>Raw_Data!L213</f>
        <v/>
      </c>
      <c r="Q213" s="17">
        <f>O213-P213</f>
        <v/>
      </c>
      <c r="R213" s="31">
        <f>IF(O213=0,0,Q213/O213)</f>
        <v/>
      </c>
      <c r="S213">
        <f>XLOOKUP(F213,Lookups!$B$7:$B$11,Lookups!$C$7:$C$11,"Unknown")</f>
        <v/>
      </c>
      <c r="T213" s="31">
        <f>XLOOKUP(G213,Lookups!$E$7:$E$11,Lookups!$F$7:$F$11,0)</f>
        <v/>
      </c>
      <c r="U213" s="32">
        <f>R213-T213</f>
        <v/>
      </c>
      <c r="V213">
        <f>XLOOKUP(I213,Lookups!$H$7:$H$10,Lookups!$I$7:$I$10,"")</f>
        <v/>
      </c>
      <c r="W213">
        <f>IF(O213&gt;=50000,"HIGH VALUE","")</f>
        <v/>
      </c>
      <c r="X213">
        <f>IF(Q213&lt;0,"LOSS","")</f>
        <v/>
      </c>
      <c r="Y213">
        <f>IFS(M213&gt;=0.15,"Deep Discount",M213&gt;=0.1,"Moderate",TRUE,"Standard")</f>
        <v/>
      </c>
    </row>
    <row r="214">
      <c r="A214">
        <f>Raw_Data!A214</f>
        <v/>
      </c>
      <c r="B214" s="29">
        <f>Raw_Data!B214</f>
        <v/>
      </c>
      <c r="C214">
        <f>YEAR(B214)</f>
        <v/>
      </c>
      <c r="D214">
        <f>MONTH(B214)</f>
        <v/>
      </c>
      <c r="E214">
        <f>TEXT(B214,"MMM-YYYY")</f>
        <v/>
      </c>
      <c r="F214">
        <f>Raw_Data!C214</f>
        <v/>
      </c>
      <c r="G214">
        <f>Raw_Data!D214</f>
        <v/>
      </c>
      <c r="H214">
        <f>Raw_Data!E214</f>
        <v/>
      </c>
      <c r="I214">
        <f>Raw_Data!F214</f>
        <v/>
      </c>
      <c r="J214">
        <f>Raw_Data!G214</f>
        <v/>
      </c>
      <c r="K214">
        <f>Raw_Data!H214</f>
        <v/>
      </c>
      <c r="L214" s="30">
        <f>Raw_Data!I214</f>
        <v/>
      </c>
      <c r="M214" s="31">
        <f>Raw_Data!J214</f>
        <v/>
      </c>
      <c r="N214" s="17">
        <f>K214*L214</f>
        <v/>
      </c>
      <c r="O214" s="17">
        <f>N214*(1-M214)</f>
        <v/>
      </c>
      <c r="P214" s="17">
        <f>Raw_Data!L214</f>
        <v/>
      </c>
      <c r="Q214" s="17">
        <f>O214-P214</f>
        <v/>
      </c>
      <c r="R214" s="31">
        <f>IF(O214=0,0,Q214/O214)</f>
        <v/>
      </c>
      <c r="S214">
        <f>XLOOKUP(F214,Lookups!$B$7:$B$11,Lookups!$C$7:$C$11,"Unknown")</f>
        <v/>
      </c>
      <c r="T214" s="31">
        <f>XLOOKUP(G214,Lookups!$E$7:$E$11,Lookups!$F$7:$F$11,0)</f>
        <v/>
      </c>
      <c r="U214" s="32">
        <f>R214-T214</f>
        <v/>
      </c>
      <c r="V214">
        <f>XLOOKUP(I214,Lookups!$H$7:$H$10,Lookups!$I$7:$I$10,"")</f>
        <v/>
      </c>
      <c r="W214">
        <f>IF(O214&gt;=50000,"HIGH VALUE","")</f>
        <v/>
      </c>
      <c r="X214">
        <f>IF(Q214&lt;0,"LOSS","")</f>
        <v/>
      </c>
      <c r="Y214">
        <f>IFS(M214&gt;=0.15,"Deep Discount",M214&gt;=0.1,"Moderate",TRUE,"Standard")</f>
        <v/>
      </c>
    </row>
    <row r="215">
      <c r="A215">
        <f>Raw_Data!A215</f>
        <v/>
      </c>
      <c r="B215" s="29">
        <f>Raw_Data!B215</f>
        <v/>
      </c>
      <c r="C215">
        <f>YEAR(B215)</f>
        <v/>
      </c>
      <c r="D215">
        <f>MONTH(B215)</f>
        <v/>
      </c>
      <c r="E215">
        <f>TEXT(B215,"MMM-YYYY")</f>
        <v/>
      </c>
      <c r="F215">
        <f>Raw_Data!C215</f>
        <v/>
      </c>
      <c r="G215">
        <f>Raw_Data!D215</f>
        <v/>
      </c>
      <c r="H215">
        <f>Raw_Data!E215</f>
        <v/>
      </c>
      <c r="I215">
        <f>Raw_Data!F215</f>
        <v/>
      </c>
      <c r="J215">
        <f>Raw_Data!G215</f>
        <v/>
      </c>
      <c r="K215">
        <f>Raw_Data!H215</f>
        <v/>
      </c>
      <c r="L215" s="30">
        <f>Raw_Data!I215</f>
        <v/>
      </c>
      <c r="M215" s="31">
        <f>Raw_Data!J215</f>
        <v/>
      </c>
      <c r="N215" s="17">
        <f>K215*L215</f>
        <v/>
      </c>
      <c r="O215" s="17">
        <f>N215*(1-M215)</f>
        <v/>
      </c>
      <c r="P215" s="17">
        <f>Raw_Data!L215</f>
        <v/>
      </c>
      <c r="Q215" s="17">
        <f>O215-P215</f>
        <v/>
      </c>
      <c r="R215" s="31">
        <f>IF(O215=0,0,Q215/O215)</f>
        <v/>
      </c>
      <c r="S215">
        <f>XLOOKUP(F215,Lookups!$B$7:$B$11,Lookups!$C$7:$C$11,"Unknown")</f>
        <v/>
      </c>
      <c r="T215" s="31">
        <f>XLOOKUP(G215,Lookups!$E$7:$E$11,Lookups!$F$7:$F$11,0)</f>
        <v/>
      </c>
      <c r="U215" s="32">
        <f>R215-T215</f>
        <v/>
      </c>
      <c r="V215">
        <f>XLOOKUP(I215,Lookups!$H$7:$H$10,Lookups!$I$7:$I$10,"")</f>
        <v/>
      </c>
      <c r="W215">
        <f>IF(O215&gt;=50000,"HIGH VALUE","")</f>
        <v/>
      </c>
      <c r="X215">
        <f>IF(Q215&lt;0,"LOSS","")</f>
        <v/>
      </c>
      <c r="Y215">
        <f>IFS(M215&gt;=0.15,"Deep Discount",M215&gt;=0.1,"Moderate",TRUE,"Standard")</f>
        <v/>
      </c>
    </row>
    <row r="216">
      <c r="A216">
        <f>Raw_Data!A216</f>
        <v/>
      </c>
      <c r="B216" s="29">
        <f>Raw_Data!B216</f>
        <v/>
      </c>
      <c r="C216">
        <f>YEAR(B216)</f>
        <v/>
      </c>
      <c r="D216">
        <f>MONTH(B216)</f>
        <v/>
      </c>
      <c r="E216">
        <f>TEXT(B216,"MMM-YYYY")</f>
        <v/>
      </c>
      <c r="F216">
        <f>Raw_Data!C216</f>
        <v/>
      </c>
      <c r="G216">
        <f>Raw_Data!D216</f>
        <v/>
      </c>
      <c r="H216">
        <f>Raw_Data!E216</f>
        <v/>
      </c>
      <c r="I216">
        <f>Raw_Data!F216</f>
        <v/>
      </c>
      <c r="J216">
        <f>Raw_Data!G216</f>
        <v/>
      </c>
      <c r="K216">
        <f>Raw_Data!H216</f>
        <v/>
      </c>
      <c r="L216" s="30">
        <f>Raw_Data!I216</f>
        <v/>
      </c>
      <c r="M216" s="31">
        <f>Raw_Data!J216</f>
        <v/>
      </c>
      <c r="N216" s="17">
        <f>K216*L216</f>
        <v/>
      </c>
      <c r="O216" s="17">
        <f>N216*(1-M216)</f>
        <v/>
      </c>
      <c r="P216" s="17">
        <f>Raw_Data!L216</f>
        <v/>
      </c>
      <c r="Q216" s="17">
        <f>O216-P216</f>
        <v/>
      </c>
      <c r="R216" s="31">
        <f>IF(O216=0,0,Q216/O216)</f>
        <v/>
      </c>
      <c r="S216">
        <f>XLOOKUP(F216,Lookups!$B$7:$B$11,Lookups!$C$7:$C$11,"Unknown")</f>
        <v/>
      </c>
      <c r="T216" s="31">
        <f>XLOOKUP(G216,Lookups!$E$7:$E$11,Lookups!$F$7:$F$11,0)</f>
        <v/>
      </c>
      <c r="U216" s="32">
        <f>R216-T216</f>
        <v/>
      </c>
      <c r="V216">
        <f>XLOOKUP(I216,Lookups!$H$7:$H$10,Lookups!$I$7:$I$10,"")</f>
        <v/>
      </c>
      <c r="W216">
        <f>IF(O216&gt;=50000,"HIGH VALUE","")</f>
        <v/>
      </c>
      <c r="X216">
        <f>IF(Q216&lt;0,"LOSS","")</f>
        <v/>
      </c>
      <c r="Y216">
        <f>IFS(M216&gt;=0.15,"Deep Discount",M216&gt;=0.1,"Moderate",TRUE,"Standard")</f>
        <v/>
      </c>
    </row>
    <row r="217">
      <c r="A217">
        <f>Raw_Data!A217</f>
        <v/>
      </c>
      <c r="B217" s="29">
        <f>Raw_Data!B217</f>
        <v/>
      </c>
      <c r="C217">
        <f>YEAR(B217)</f>
        <v/>
      </c>
      <c r="D217">
        <f>MONTH(B217)</f>
        <v/>
      </c>
      <c r="E217">
        <f>TEXT(B217,"MMM-YYYY")</f>
        <v/>
      </c>
      <c r="F217">
        <f>Raw_Data!C217</f>
        <v/>
      </c>
      <c r="G217">
        <f>Raw_Data!D217</f>
        <v/>
      </c>
      <c r="H217">
        <f>Raw_Data!E217</f>
        <v/>
      </c>
      <c r="I217">
        <f>Raw_Data!F217</f>
        <v/>
      </c>
      <c r="J217">
        <f>Raw_Data!G217</f>
        <v/>
      </c>
      <c r="K217">
        <f>Raw_Data!H217</f>
        <v/>
      </c>
      <c r="L217" s="30">
        <f>Raw_Data!I217</f>
        <v/>
      </c>
      <c r="M217" s="31">
        <f>Raw_Data!J217</f>
        <v/>
      </c>
      <c r="N217" s="17">
        <f>K217*L217</f>
        <v/>
      </c>
      <c r="O217" s="17">
        <f>N217*(1-M217)</f>
        <v/>
      </c>
      <c r="P217" s="17">
        <f>Raw_Data!L217</f>
        <v/>
      </c>
      <c r="Q217" s="17">
        <f>O217-P217</f>
        <v/>
      </c>
      <c r="R217" s="31">
        <f>IF(O217=0,0,Q217/O217)</f>
        <v/>
      </c>
      <c r="S217">
        <f>XLOOKUP(F217,Lookups!$B$7:$B$11,Lookups!$C$7:$C$11,"Unknown")</f>
        <v/>
      </c>
      <c r="T217" s="31">
        <f>XLOOKUP(G217,Lookups!$E$7:$E$11,Lookups!$F$7:$F$11,0)</f>
        <v/>
      </c>
      <c r="U217" s="32">
        <f>R217-T217</f>
        <v/>
      </c>
      <c r="V217">
        <f>XLOOKUP(I217,Lookups!$H$7:$H$10,Lookups!$I$7:$I$10,"")</f>
        <v/>
      </c>
      <c r="W217">
        <f>IF(O217&gt;=50000,"HIGH VALUE","")</f>
        <v/>
      </c>
      <c r="X217">
        <f>IF(Q217&lt;0,"LOSS","")</f>
        <v/>
      </c>
      <c r="Y217">
        <f>IFS(M217&gt;=0.15,"Deep Discount",M217&gt;=0.1,"Moderate",TRUE,"Standard")</f>
        <v/>
      </c>
    </row>
    <row r="218">
      <c r="A218">
        <f>Raw_Data!A218</f>
        <v/>
      </c>
      <c r="B218" s="29">
        <f>Raw_Data!B218</f>
        <v/>
      </c>
      <c r="C218">
        <f>YEAR(B218)</f>
        <v/>
      </c>
      <c r="D218">
        <f>MONTH(B218)</f>
        <v/>
      </c>
      <c r="E218">
        <f>TEXT(B218,"MMM-YYYY")</f>
        <v/>
      </c>
      <c r="F218">
        <f>Raw_Data!C218</f>
        <v/>
      </c>
      <c r="G218">
        <f>Raw_Data!D218</f>
        <v/>
      </c>
      <c r="H218">
        <f>Raw_Data!E218</f>
        <v/>
      </c>
      <c r="I218">
        <f>Raw_Data!F218</f>
        <v/>
      </c>
      <c r="J218">
        <f>Raw_Data!G218</f>
        <v/>
      </c>
      <c r="K218">
        <f>Raw_Data!H218</f>
        <v/>
      </c>
      <c r="L218" s="30">
        <f>Raw_Data!I218</f>
        <v/>
      </c>
      <c r="M218" s="31">
        <f>Raw_Data!J218</f>
        <v/>
      </c>
      <c r="N218" s="17">
        <f>K218*L218</f>
        <v/>
      </c>
      <c r="O218" s="17">
        <f>N218*(1-M218)</f>
        <v/>
      </c>
      <c r="P218" s="17">
        <f>Raw_Data!L218</f>
        <v/>
      </c>
      <c r="Q218" s="17">
        <f>O218-P218</f>
        <v/>
      </c>
      <c r="R218" s="31">
        <f>IF(O218=0,0,Q218/O218)</f>
        <v/>
      </c>
      <c r="S218">
        <f>XLOOKUP(F218,Lookups!$B$7:$B$11,Lookups!$C$7:$C$11,"Unknown")</f>
        <v/>
      </c>
      <c r="T218" s="31">
        <f>XLOOKUP(G218,Lookups!$E$7:$E$11,Lookups!$F$7:$F$11,0)</f>
        <v/>
      </c>
      <c r="U218" s="32">
        <f>R218-T218</f>
        <v/>
      </c>
      <c r="V218">
        <f>XLOOKUP(I218,Lookups!$H$7:$H$10,Lookups!$I$7:$I$10,"")</f>
        <v/>
      </c>
      <c r="W218">
        <f>IF(O218&gt;=50000,"HIGH VALUE","")</f>
        <v/>
      </c>
      <c r="X218">
        <f>IF(Q218&lt;0,"LOSS","")</f>
        <v/>
      </c>
      <c r="Y218">
        <f>IFS(M218&gt;=0.15,"Deep Discount",M218&gt;=0.1,"Moderate",TRUE,"Standard")</f>
        <v/>
      </c>
    </row>
    <row r="219">
      <c r="A219">
        <f>Raw_Data!A219</f>
        <v/>
      </c>
      <c r="B219" s="29">
        <f>Raw_Data!B219</f>
        <v/>
      </c>
      <c r="C219">
        <f>YEAR(B219)</f>
        <v/>
      </c>
      <c r="D219">
        <f>MONTH(B219)</f>
        <v/>
      </c>
      <c r="E219">
        <f>TEXT(B219,"MMM-YYYY")</f>
        <v/>
      </c>
      <c r="F219">
        <f>Raw_Data!C219</f>
        <v/>
      </c>
      <c r="G219">
        <f>Raw_Data!D219</f>
        <v/>
      </c>
      <c r="H219">
        <f>Raw_Data!E219</f>
        <v/>
      </c>
      <c r="I219">
        <f>Raw_Data!F219</f>
        <v/>
      </c>
      <c r="J219">
        <f>Raw_Data!G219</f>
        <v/>
      </c>
      <c r="K219">
        <f>Raw_Data!H219</f>
        <v/>
      </c>
      <c r="L219" s="30">
        <f>Raw_Data!I219</f>
        <v/>
      </c>
      <c r="M219" s="31">
        <f>Raw_Data!J219</f>
        <v/>
      </c>
      <c r="N219" s="17">
        <f>K219*L219</f>
        <v/>
      </c>
      <c r="O219" s="17">
        <f>N219*(1-M219)</f>
        <v/>
      </c>
      <c r="P219" s="17">
        <f>Raw_Data!L219</f>
        <v/>
      </c>
      <c r="Q219" s="17">
        <f>O219-P219</f>
        <v/>
      </c>
      <c r="R219" s="31">
        <f>IF(O219=0,0,Q219/O219)</f>
        <v/>
      </c>
      <c r="S219">
        <f>XLOOKUP(F219,Lookups!$B$7:$B$11,Lookups!$C$7:$C$11,"Unknown")</f>
        <v/>
      </c>
      <c r="T219" s="31">
        <f>XLOOKUP(G219,Lookups!$E$7:$E$11,Lookups!$F$7:$F$11,0)</f>
        <v/>
      </c>
      <c r="U219" s="32">
        <f>R219-T219</f>
        <v/>
      </c>
      <c r="V219">
        <f>XLOOKUP(I219,Lookups!$H$7:$H$10,Lookups!$I$7:$I$10,"")</f>
        <v/>
      </c>
      <c r="W219">
        <f>IF(O219&gt;=50000,"HIGH VALUE","")</f>
        <v/>
      </c>
      <c r="X219">
        <f>IF(Q219&lt;0,"LOSS","")</f>
        <v/>
      </c>
      <c r="Y219">
        <f>IFS(M219&gt;=0.15,"Deep Discount",M219&gt;=0.1,"Moderate",TRUE,"Standard")</f>
        <v/>
      </c>
    </row>
    <row r="220">
      <c r="A220">
        <f>Raw_Data!A220</f>
        <v/>
      </c>
      <c r="B220" s="29">
        <f>Raw_Data!B220</f>
        <v/>
      </c>
      <c r="C220">
        <f>YEAR(B220)</f>
        <v/>
      </c>
      <c r="D220">
        <f>MONTH(B220)</f>
        <v/>
      </c>
      <c r="E220">
        <f>TEXT(B220,"MMM-YYYY")</f>
        <v/>
      </c>
      <c r="F220">
        <f>Raw_Data!C220</f>
        <v/>
      </c>
      <c r="G220">
        <f>Raw_Data!D220</f>
        <v/>
      </c>
      <c r="H220">
        <f>Raw_Data!E220</f>
        <v/>
      </c>
      <c r="I220">
        <f>Raw_Data!F220</f>
        <v/>
      </c>
      <c r="J220">
        <f>Raw_Data!G220</f>
        <v/>
      </c>
      <c r="K220">
        <f>Raw_Data!H220</f>
        <v/>
      </c>
      <c r="L220" s="30">
        <f>Raw_Data!I220</f>
        <v/>
      </c>
      <c r="M220" s="31">
        <f>Raw_Data!J220</f>
        <v/>
      </c>
      <c r="N220" s="17">
        <f>K220*L220</f>
        <v/>
      </c>
      <c r="O220" s="17">
        <f>N220*(1-M220)</f>
        <v/>
      </c>
      <c r="P220" s="17">
        <f>Raw_Data!L220</f>
        <v/>
      </c>
      <c r="Q220" s="17">
        <f>O220-P220</f>
        <v/>
      </c>
      <c r="R220" s="31">
        <f>IF(O220=0,0,Q220/O220)</f>
        <v/>
      </c>
      <c r="S220">
        <f>XLOOKUP(F220,Lookups!$B$7:$B$11,Lookups!$C$7:$C$11,"Unknown")</f>
        <v/>
      </c>
      <c r="T220" s="31">
        <f>XLOOKUP(G220,Lookups!$E$7:$E$11,Lookups!$F$7:$F$11,0)</f>
        <v/>
      </c>
      <c r="U220" s="32">
        <f>R220-T220</f>
        <v/>
      </c>
      <c r="V220">
        <f>XLOOKUP(I220,Lookups!$H$7:$H$10,Lookups!$I$7:$I$10,"")</f>
        <v/>
      </c>
      <c r="W220">
        <f>IF(O220&gt;=50000,"HIGH VALUE","")</f>
        <v/>
      </c>
      <c r="X220">
        <f>IF(Q220&lt;0,"LOSS","")</f>
        <v/>
      </c>
      <c r="Y220">
        <f>IFS(M220&gt;=0.15,"Deep Discount",M220&gt;=0.1,"Moderate",TRUE,"Standard")</f>
        <v/>
      </c>
    </row>
    <row r="221">
      <c r="A221">
        <f>Raw_Data!A221</f>
        <v/>
      </c>
      <c r="B221" s="29">
        <f>Raw_Data!B221</f>
        <v/>
      </c>
      <c r="C221">
        <f>YEAR(B221)</f>
        <v/>
      </c>
      <c r="D221">
        <f>MONTH(B221)</f>
        <v/>
      </c>
      <c r="E221">
        <f>TEXT(B221,"MMM-YYYY")</f>
        <v/>
      </c>
      <c r="F221">
        <f>Raw_Data!C221</f>
        <v/>
      </c>
      <c r="G221">
        <f>Raw_Data!D221</f>
        <v/>
      </c>
      <c r="H221">
        <f>Raw_Data!E221</f>
        <v/>
      </c>
      <c r="I221">
        <f>Raw_Data!F221</f>
        <v/>
      </c>
      <c r="J221">
        <f>Raw_Data!G221</f>
        <v/>
      </c>
      <c r="K221">
        <f>Raw_Data!H221</f>
        <v/>
      </c>
      <c r="L221" s="30">
        <f>Raw_Data!I221</f>
        <v/>
      </c>
      <c r="M221" s="31">
        <f>Raw_Data!J221</f>
        <v/>
      </c>
      <c r="N221" s="17">
        <f>K221*L221</f>
        <v/>
      </c>
      <c r="O221" s="17">
        <f>N221*(1-M221)</f>
        <v/>
      </c>
      <c r="P221" s="17">
        <f>Raw_Data!L221</f>
        <v/>
      </c>
      <c r="Q221" s="17">
        <f>O221-P221</f>
        <v/>
      </c>
      <c r="R221" s="31">
        <f>IF(O221=0,0,Q221/O221)</f>
        <v/>
      </c>
      <c r="S221">
        <f>XLOOKUP(F221,Lookups!$B$7:$B$11,Lookups!$C$7:$C$11,"Unknown")</f>
        <v/>
      </c>
      <c r="T221" s="31">
        <f>XLOOKUP(G221,Lookups!$E$7:$E$11,Lookups!$F$7:$F$11,0)</f>
        <v/>
      </c>
      <c r="U221" s="32">
        <f>R221-T221</f>
        <v/>
      </c>
      <c r="V221">
        <f>XLOOKUP(I221,Lookups!$H$7:$H$10,Lookups!$I$7:$I$10,"")</f>
        <v/>
      </c>
      <c r="W221">
        <f>IF(O221&gt;=50000,"HIGH VALUE","")</f>
        <v/>
      </c>
      <c r="X221">
        <f>IF(Q221&lt;0,"LOSS","")</f>
        <v/>
      </c>
      <c r="Y221">
        <f>IFS(M221&gt;=0.15,"Deep Discount",M221&gt;=0.1,"Moderate",TRUE,"Standard")</f>
        <v/>
      </c>
    </row>
    <row r="222">
      <c r="A222">
        <f>Raw_Data!A222</f>
        <v/>
      </c>
      <c r="B222" s="29">
        <f>Raw_Data!B222</f>
        <v/>
      </c>
      <c r="C222">
        <f>YEAR(B222)</f>
        <v/>
      </c>
      <c r="D222">
        <f>MONTH(B222)</f>
        <v/>
      </c>
      <c r="E222">
        <f>TEXT(B222,"MMM-YYYY")</f>
        <v/>
      </c>
      <c r="F222">
        <f>Raw_Data!C222</f>
        <v/>
      </c>
      <c r="G222">
        <f>Raw_Data!D222</f>
        <v/>
      </c>
      <c r="H222">
        <f>Raw_Data!E222</f>
        <v/>
      </c>
      <c r="I222">
        <f>Raw_Data!F222</f>
        <v/>
      </c>
      <c r="J222">
        <f>Raw_Data!G222</f>
        <v/>
      </c>
      <c r="K222">
        <f>Raw_Data!H222</f>
        <v/>
      </c>
      <c r="L222" s="30">
        <f>Raw_Data!I222</f>
        <v/>
      </c>
      <c r="M222" s="31">
        <f>Raw_Data!J222</f>
        <v/>
      </c>
      <c r="N222" s="17">
        <f>K222*L222</f>
        <v/>
      </c>
      <c r="O222" s="17">
        <f>N222*(1-M222)</f>
        <v/>
      </c>
      <c r="P222" s="17">
        <f>Raw_Data!L222</f>
        <v/>
      </c>
      <c r="Q222" s="17">
        <f>O222-P222</f>
        <v/>
      </c>
      <c r="R222" s="31">
        <f>IF(O222=0,0,Q222/O222)</f>
        <v/>
      </c>
      <c r="S222">
        <f>XLOOKUP(F222,Lookups!$B$7:$B$11,Lookups!$C$7:$C$11,"Unknown")</f>
        <v/>
      </c>
      <c r="T222" s="31">
        <f>XLOOKUP(G222,Lookups!$E$7:$E$11,Lookups!$F$7:$F$11,0)</f>
        <v/>
      </c>
      <c r="U222" s="32">
        <f>R222-T222</f>
        <v/>
      </c>
      <c r="V222">
        <f>XLOOKUP(I222,Lookups!$H$7:$H$10,Lookups!$I$7:$I$10,"")</f>
        <v/>
      </c>
      <c r="W222">
        <f>IF(O222&gt;=50000,"HIGH VALUE","")</f>
        <v/>
      </c>
      <c r="X222">
        <f>IF(Q222&lt;0,"LOSS","")</f>
        <v/>
      </c>
      <c r="Y222">
        <f>IFS(M222&gt;=0.15,"Deep Discount",M222&gt;=0.1,"Moderate",TRUE,"Standard")</f>
        <v/>
      </c>
    </row>
    <row r="223">
      <c r="A223">
        <f>Raw_Data!A223</f>
        <v/>
      </c>
      <c r="B223" s="29">
        <f>Raw_Data!B223</f>
        <v/>
      </c>
      <c r="C223">
        <f>YEAR(B223)</f>
        <v/>
      </c>
      <c r="D223">
        <f>MONTH(B223)</f>
        <v/>
      </c>
      <c r="E223">
        <f>TEXT(B223,"MMM-YYYY")</f>
        <v/>
      </c>
      <c r="F223">
        <f>Raw_Data!C223</f>
        <v/>
      </c>
      <c r="G223">
        <f>Raw_Data!D223</f>
        <v/>
      </c>
      <c r="H223">
        <f>Raw_Data!E223</f>
        <v/>
      </c>
      <c r="I223">
        <f>Raw_Data!F223</f>
        <v/>
      </c>
      <c r="J223">
        <f>Raw_Data!G223</f>
        <v/>
      </c>
      <c r="K223">
        <f>Raw_Data!H223</f>
        <v/>
      </c>
      <c r="L223" s="30">
        <f>Raw_Data!I223</f>
        <v/>
      </c>
      <c r="M223" s="31">
        <f>Raw_Data!J223</f>
        <v/>
      </c>
      <c r="N223" s="17">
        <f>K223*L223</f>
        <v/>
      </c>
      <c r="O223" s="17">
        <f>N223*(1-M223)</f>
        <v/>
      </c>
      <c r="P223" s="17">
        <f>Raw_Data!L223</f>
        <v/>
      </c>
      <c r="Q223" s="17">
        <f>O223-P223</f>
        <v/>
      </c>
      <c r="R223" s="31">
        <f>IF(O223=0,0,Q223/O223)</f>
        <v/>
      </c>
      <c r="S223">
        <f>XLOOKUP(F223,Lookups!$B$7:$B$11,Lookups!$C$7:$C$11,"Unknown")</f>
        <v/>
      </c>
      <c r="T223" s="31">
        <f>XLOOKUP(G223,Lookups!$E$7:$E$11,Lookups!$F$7:$F$11,0)</f>
        <v/>
      </c>
      <c r="U223" s="32">
        <f>R223-T223</f>
        <v/>
      </c>
      <c r="V223">
        <f>XLOOKUP(I223,Lookups!$H$7:$H$10,Lookups!$I$7:$I$10,"")</f>
        <v/>
      </c>
      <c r="W223">
        <f>IF(O223&gt;=50000,"HIGH VALUE","")</f>
        <v/>
      </c>
      <c r="X223">
        <f>IF(Q223&lt;0,"LOSS","")</f>
        <v/>
      </c>
      <c r="Y223">
        <f>IFS(M223&gt;=0.15,"Deep Discount",M223&gt;=0.1,"Moderate",TRUE,"Standard")</f>
        <v/>
      </c>
    </row>
    <row r="224">
      <c r="A224">
        <f>Raw_Data!A224</f>
        <v/>
      </c>
      <c r="B224" s="29">
        <f>Raw_Data!B224</f>
        <v/>
      </c>
      <c r="C224">
        <f>YEAR(B224)</f>
        <v/>
      </c>
      <c r="D224">
        <f>MONTH(B224)</f>
        <v/>
      </c>
      <c r="E224">
        <f>TEXT(B224,"MMM-YYYY")</f>
        <v/>
      </c>
      <c r="F224">
        <f>Raw_Data!C224</f>
        <v/>
      </c>
      <c r="G224">
        <f>Raw_Data!D224</f>
        <v/>
      </c>
      <c r="H224">
        <f>Raw_Data!E224</f>
        <v/>
      </c>
      <c r="I224">
        <f>Raw_Data!F224</f>
        <v/>
      </c>
      <c r="J224">
        <f>Raw_Data!G224</f>
        <v/>
      </c>
      <c r="K224">
        <f>Raw_Data!H224</f>
        <v/>
      </c>
      <c r="L224" s="30">
        <f>Raw_Data!I224</f>
        <v/>
      </c>
      <c r="M224" s="31">
        <f>Raw_Data!J224</f>
        <v/>
      </c>
      <c r="N224" s="17">
        <f>K224*L224</f>
        <v/>
      </c>
      <c r="O224" s="17">
        <f>N224*(1-M224)</f>
        <v/>
      </c>
      <c r="P224" s="17">
        <f>Raw_Data!L224</f>
        <v/>
      </c>
      <c r="Q224" s="17">
        <f>O224-P224</f>
        <v/>
      </c>
      <c r="R224" s="31">
        <f>IF(O224=0,0,Q224/O224)</f>
        <v/>
      </c>
      <c r="S224">
        <f>XLOOKUP(F224,Lookups!$B$7:$B$11,Lookups!$C$7:$C$11,"Unknown")</f>
        <v/>
      </c>
      <c r="T224" s="31">
        <f>XLOOKUP(G224,Lookups!$E$7:$E$11,Lookups!$F$7:$F$11,0)</f>
        <v/>
      </c>
      <c r="U224" s="32">
        <f>R224-T224</f>
        <v/>
      </c>
      <c r="V224">
        <f>XLOOKUP(I224,Lookups!$H$7:$H$10,Lookups!$I$7:$I$10,"")</f>
        <v/>
      </c>
      <c r="W224">
        <f>IF(O224&gt;=50000,"HIGH VALUE","")</f>
        <v/>
      </c>
      <c r="X224">
        <f>IF(Q224&lt;0,"LOSS","")</f>
        <v/>
      </c>
      <c r="Y224">
        <f>IFS(M224&gt;=0.15,"Deep Discount",M224&gt;=0.1,"Moderate",TRUE,"Standard")</f>
        <v/>
      </c>
    </row>
    <row r="225">
      <c r="A225">
        <f>Raw_Data!A225</f>
        <v/>
      </c>
      <c r="B225" s="29">
        <f>Raw_Data!B225</f>
        <v/>
      </c>
      <c r="C225">
        <f>YEAR(B225)</f>
        <v/>
      </c>
      <c r="D225">
        <f>MONTH(B225)</f>
        <v/>
      </c>
      <c r="E225">
        <f>TEXT(B225,"MMM-YYYY")</f>
        <v/>
      </c>
      <c r="F225">
        <f>Raw_Data!C225</f>
        <v/>
      </c>
      <c r="G225">
        <f>Raw_Data!D225</f>
        <v/>
      </c>
      <c r="H225">
        <f>Raw_Data!E225</f>
        <v/>
      </c>
      <c r="I225">
        <f>Raw_Data!F225</f>
        <v/>
      </c>
      <c r="J225">
        <f>Raw_Data!G225</f>
        <v/>
      </c>
      <c r="K225">
        <f>Raw_Data!H225</f>
        <v/>
      </c>
      <c r="L225" s="30">
        <f>Raw_Data!I225</f>
        <v/>
      </c>
      <c r="M225" s="31">
        <f>Raw_Data!J225</f>
        <v/>
      </c>
      <c r="N225" s="17">
        <f>K225*L225</f>
        <v/>
      </c>
      <c r="O225" s="17">
        <f>N225*(1-M225)</f>
        <v/>
      </c>
      <c r="P225" s="17">
        <f>Raw_Data!L225</f>
        <v/>
      </c>
      <c r="Q225" s="17">
        <f>O225-P225</f>
        <v/>
      </c>
      <c r="R225" s="31">
        <f>IF(O225=0,0,Q225/O225)</f>
        <v/>
      </c>
      <c r="S225">
        <f>XLOOKUP(F225,Lookups!$B$7:$B$11,Lookups!$C$7:$C$11,"Unknown")</f>
        <v/>
      </c>
      <c r="T225" s="31">
        <f>XLOOKUP(G225,Lookups!$E$7:$E$11,Lookups!$F$7:$F$11,0)</f>
        <v/>
      </c>
      <c r="U225" s="32">
        <f>R225-T225</f>
        <v/>
      </c>
      <c r="V225">
        <f>XLOOKUP(I225,Lookups!$H$7:$H$10,Lookups!$I$7:$I$10,"")</f>
        <v/>
      </c>
      <c r="W225">
        <f>IF(O225&gt;=50000,"HIGH VALUE","")</f>
        <v/>
      </c>
      <c r="X225">
        <f>IF(Q225&lt;0,"LOSS","")</f>
        <v/>
      </c>
      <c r="Y225">
        <f>IFS(M225&gt;=0.15,"Deep Discount",M225&gt;=0.1,"Moderate",TRUE,"Standard")</f>
        <v/>
      </c>
    </row>
    <row r="226">
      <c r="A226">
        <f>Raw_Data!A226</f>
        <v/>
      </c>
      <c r="B226" s="29">
        <f>Raw_Data!B226</f>
        <v/>
      </c>
      <c r="C226">
        <f>YEAR(B226)</f>
        <v/>
      </c>
      <c r="D226">
        <f>MONTH(B226)</f>
        <v/>
      </c>
      <c r="E226">
        <f>TEXT(B226,"MMM-YYYY")</f>
        <v/>
      </c>
      <c r="F226">
        <f>Raw_Data!C226</f>
        <v/>
      </c>
      <c r="G226">
        <f>Raw_Data!D226</f>
        <v/>
      </c>
      <c r="H226">
        <f>Raw_Data!E226</f>
        <v/>
      </c>
      <c r="I226">
        <f>Raw_Data!F226</f>
        <v/>
      </c>
      <c r="J226">
        <f>Raw_Data!G226</f>
        <v/>
      </c>
      <c r="K226">
        <f>Raw_Data!H226</f>
        <v/>
      </c>
      <c r="L226" s="30">
        <f>Raw_Data!I226</f>
        <v/>
      </c>
      <c r="M226" s="31">
        <f>Raw_Data!J226</f>
        <v/>
      </c>
      <c r="N226" s="17">
        <f>K226*L226</f>
        <v/>
      </c>
      <c r="O226" s="17">
        <f>N226*(1-M226)</f>
        <v/>
      </c>
      <c r="P226" s="17">
        <f>Raw_Data!L226</f>
        <v/>
      </c>
      <c r="Q226" s="17">
        <f>O226-P226</f>
        <v/>
      </c>
      <c r="R226" s="31">
        <f>IF(O226=0,0,Q226/O226)</f>
        <v/>
      </c>
      <c r="S226">
        <f>XLOOKUP(F226,Lookups!$B$7:$B$11,Lookups!$C$7:$C$11,"Unknown")</f>
        <v/>
      </c>
      <c r="T226" s="31">
        <f>XLOOKUP(G226,Lookups!$E$7:$E$11,Lookups!$F$7:$F$11,0)</f>
        <v/>
      </c>
      <c r="U226" s="32">
        <f>R226-T226</f>
        <v/>
      </c>
      <c r="V226">
        <f>XLOOKUP(I226,Lookups!$H$7:$H$10,Lookups!$I$7:$I$10,"")</f>
        <v/>
      </c>
      <c r="W226">
        <f>IF(O226&gt;=50000,"HIGH VALUE","")</f>
        <v/>
      </c>
      <c r="X226">
        <f>IF(Q226&lt;0,"LOSS","")</f>
        <v/>
      </c>
      <c r="Y226">
        <f>IFS(M226&gt;=0.15,"Deep Discount",M226&gt;=0.1,"Moderate",TRUE,"Standard")</f>
        <v/>
      </c>
    </row>
    <row r="227">
      <c r="A227">
        <f>Raw_Data!A227</f>
        <v/>
      </c>
      <c r="B227" s="29">
        <f>Raw_Data!B227</f>
        <v/>
      </c>
      <c r="C227">
        <f>YEAR(B227)</f>
        <v/>
      </c>
      <c r="D227">
        <f>MONTH(B227)</f>
        <v/>
      </c>
      <c r="E227">
        <f>TEXT(B227,"MMM-YYYY")</f>
        <v/>
      </c>
      <c r="F227">
        <f>Raw_Data!C227</f>
        <v/>
      </c>
      <c r="G227">
        <f>Raw_Data!D227</f>
        <v/>
      </c>
      <c r="H227">
        <f>Raw_Data!E227</f>
        <v/>
      </c>
      <c r="I227">
        <f>Raw_Data!F227</f>
        <v/>
      </c>
      <c r="J227">
        <f>Raw_Data!G227</f>
        <v/>
      </c>
      <c r="K227">
        <f>Raw_Data!H227</f>
        <v/>
      </c>
      <c r="L227" s="30">
        <f>Raw_Data!I227</f>
        <v/>
      </c>
      <c r="M227" s="31">
        <f>Raw_Data!J227</f>
        <v/>
      </c>
      <c r="N227" s="17">
        <f>K227*L227</f>
        <v/>
      </c>
      <c r="O227" s="17">
        <f>N227*(1-M227)</f>
        <v/>
      </c>
      <c r="P227" s="17">
        <f>Raw_Data!L227</f>
        <v/>
      </c>
      <c r="Q227" s="17">
        <f>O227-P227</f>
        <v/>
      </c>
      <c r="R227" s="31">
        <f>IF(O227=0,0,Q227/O227)</f>
        <v/>
      </c>
      <c r="S227">
        <f>XLOOKUP(F227,Lookups!$B$7:$B$11,Lookups!$C$7:$C$11,"Unknown")</f>
        <v/>
      </c>
      <c r="T227" s="31">
        <f>XLOOKUP(G227,Lookups!$E$7:$E$11,Lookups!$F$7:$F$11,0)</f>
        <v/>
      </c>
      <c r="U227" s="32">
        <f>R227-T227</f>
        <v/>
      </c>
      <c r="V227">
        <f>XLOOKUP(I227,Lookups!$H$7:$H$10,Lookups!$I$7:$I$10,"")</f>
        <v/>
      </c>
      <c r="W227">
        <f>IF(O227&gt;=50000,"HIGH VALUE","")</f>
        <v/>
      </c>
      <c r="X227">
        <f>IF(Q227&lt;0,"LOSS","")</f>
        <v/>
      </c>
      <c r="Y227">
        <f>IFS(M227&gt;=0.15,"Deep Discount",M227&gt;=0.1,"Moderate",TRUE,"Standard")</f>
        <v/>
      </c>
    </row>
    <row r="228">
      <c r="A228">
        <f>Raw_Data!A228</f>
        <v/>
      </c>
      <c r="B228" s="29">
        <f>Raw_Data!B228</f>
        <v/>
      </c>
      <c r="C228">
        <f>YEAR(B228)</f>
        <v/>
      </c>
      <c r="D228">
        <f>MONTH(B228)</f>
        <v/>
      </c>
      <c r="E228">
        <f>TEXT(B228,"MMM-YYYY")</f>
        <v/>
      </c>
      <c r="F228">
        <f>Raw_Data!C228</f>
        <v/>
      </c>
      <c r="G228">
        <f>Raw_Data!D228</f>
        <v/>
      </c>
      <c r="H228">
        <f>Raw_Data!E228</f>
        <v/>
      </c>
      <c r="I228">
        <f>Raw_Data!F228</f>
        <v/>
      </c>
      <c r="J228">
        <f>Raw_Data!G228</f>
        <v/>
      </c>
      <c r="K228">
        <f>Raw_Data!H228</f>
        <v/>
      </c>
      <c r="L228" s="30">
        <f>Raw_Data!I228</f>
        <v/>
      </c>
      <c r="M228" s="31">
        <f>Raw_Data!J228</f>
        <v/>
      </c>
      <c r="N228" s="17">
        <f>K228*L228</f>
        <v/>
      </c>
      <c r="O228" s="17">
        <f>N228*(1-M228)</f>
        <v/>
      </c>
      <c r="P228" s="17">
        <f>Raw_Data!L228</f>
        <v/>
      </c>
      <c r="Q228" s="17">
        <f>O228-P228</f>
        <v/>
      </c>
      <c r="R228" s="31">
        <f>IF(O228=0,0,Q228/O228)</f>
        <v/>
      </c>
      <c r="S228">
        <f>XLOOKUP(F228,Lookups!$B$7:$B$11,Lookups!$C$7:$C$11,"Unknown")</f>
        <v/>
      </c>
      <c r="T228" s="31">
        <f>XLOOKUP(G228,Lookups!$E$7:$E$11,Lookups!$F$7:$F$11,0)</f>
        <v/>
      </c>
      <c r="U228" s="32">
        <f>R228-T228</f>
        <v/>
      </c>
      <c r="V228">
        <f>XLOOKUP(I228,Lookups!$H$7:$H$10,Lookups!$I$7:$I$10,"")</f>
        <v/>
      </c>
      <c r="W228">
        <f>IF(O228&gt;=50000,"HIGH VALUE","")</f>
        <v/>
      </c>
      <c r="X228">
        <f>IF(Q228&lt;0,"LOSS","")</f>
        <v/>
      </c>
      <c r="Y228">
        <f>IFS(M228&gt;=0.15,"Deep Discount",M228&gt;=0.1,"Moderate",TRUE,"Standard")</f>
        <v/>
      </c>
    </row>
    <row r="229">
      <c r="A229">
        <f>Raw_Data!A229</f>
        <v/>
      </c>
      <c r="B229" s="29">
        <f>Raw_Data!B229</f>
        <v/>
      </c>
      <c r="C229">
        <f>YEAR(B229)</f>
        <v/>
      </c>
      <c r="D229">
        <f>MONTH(B229)</f>
        <v/>
      </c>
      <c r="E229">
        <f>TEXT(B229,"MMM-YYYY")</f>
        <v/>
      </c>
      <c r="F229">
        <f>Raw_Data!C229</f>
        <v/>
      </c>
      <c r="G229">
        <f>Raw_Data!D229</f>
        <v/>
      </c>
      <c r="H229">
        <f>Raw_Data!E229</f>
        <v/>
      </c>
      <c r="I229">
        <f>Raw_Data!F229</f>
        <v/>
      </c>
      <c r="J229">
        <f>Raw_Data!G229</f>
        <v/>
      </c>
      <c r="K229">
        <f>Raw_Data!H229</f>
        <v/>
      </c>
      <c r="L229" s="30">
        <f>Raw_Data!I229</f>
        <v/>
      </c>
      <c r="M229" s="31">
        <f>Raw_Data!J229</f>
        <v/>
      </c>
      <c r="N229" s="17">
        <f>K229*L229</f>
        <v/>
      </c>
      <c r="O229" s="17">
        <f>N229*(1-M229)</f>
        <v/>
      </c>
      <c r="P229" s="17">
        <f>Raw_Data!L229</f>
        <v/>
      </c>
      <c r="Q229" s="17">
        <f>O229-P229</f>
        <v/>
      </c>
      <c r="R229" s="31">
        <f>IF(O229=0,0,Q229/O229)</f>
        <v/>
      </c>
      <c r="S229">
        <f>XLOOKUP(F229,Lookups!$B$7:$B$11,Lookups!$C$7:$C$11,"Unknown")</f>
        <v/>
      </c>
      <c r="T229" s="31">
        <f>XLOOKUP(G229,Lookups!$E$7:$E$11,Lookups!$F$7:$F$11,0)</f>
        <v/>
      </c>
      <c r="U229" s="32">
        <f>R229-T229</f>
        <v/>
      </c>
      <c r="V229">
        <f>XLOOKUP(I229,Lookups!$H$7:$H$10,Lookups!$I$7:$I$10,"")</f>
        <v/>
      </c>
      <c r="W229">
        <f>IF(O229&gt;=50000,"HIGH VALUE","")</f>
        <v/>
      </c>
      <c r="X229">
        <f>IF(Q229&lt;0,"LOSS","")</f>
        <v/>
      </c>
      <c r="Y229">
        <f>IFS(M229&gt;=0.15,"Deep Discount",M229&gt;=0.1,"Moderate",TRUE,"Standard")</f>
        <v/>
      </c>
    </row>
    <row r="230">
      <c r="A230">
        <f>Raw_Data!A230</f>
        <v/>
      </c>
      <c r="B230" s="29">
        <f>Raw_Data!B230</f>
        <v/>
      </c>
      <c r="C230">
        <f>YEAR(B230)</f>
        <v/>
      </c>
      <c r="D230">
        <f>MONTH(B230)</f>
        <v/>
      </c>
      <c r="E230">
        <f>TEXT(B230,"MMM-YYYY")</f>
        <v/>
      </c>
      <c r="F230">
        <f>Raw_Data!C230</f>
        <v/>
      </c>
      <c r="G230">
        <f>Raw_Data!D230</f>
        <v/>
      </c>
      <c r="H230">
        <f>Raw_Data!E230</f>
        <v/>
      </c>
      <c r="I230">
        <f>Raw_Data!F230</f>
        <v/>
      </c>
      <c r="J230">
        <f>Raw_Data!G230</f>
        <v/>
      </c>
      <c r="K230">
        <f>Raw_Data!H230</f>
        <v/>
      </c>
      <c r="L230" s="30">
        <f>Raw_Data!I230</f>
        <v/>
      </c>
      <c r="M230" s="31">
        <f>Raw_Data!J230</f>
        <v/>
      </c>
      <c r="N230" s="17">
        <f>K230*L230</f>
        <v/>
      </c>
      <c r="O230" s="17">
        <f>N230*(1-M230)</f>
        <v/>
      </c>
      <c r="P230" s="17">
        <f>Raw_Data!L230</f>
        <v/>
      </c>
      <c r="Q230" s="17">
        <f>O230-P230</f>
        <v/>
      </c>
      <c r="R230" s="31">
        <f>IF(O230=0,0,Q230/O230)</f>
        <v/>
      </c>
      <c r="S230">
        <f>XLOOKUP(F230,Lookups!$B$7:$B$11,Lookups!$C$7:$C$11,"Unknown")</f>
        <v/>
      </c>
      <c r="T230" s="31">
        <f>XLOOKUP(G230,Lookups!$E$7:$E$11,Lookups!$F$7:$F$11,0)</f>
        <v/>
      </c>
      <c r="U230" s="32">
        <f>R230-T230</f>
        <v/>
      </c>
      <c r="V230">
        <f>XLOOKUP(I230,Lookups!$H$7:$H$10,Lookups!$I$7:$I$10,"")</f>
        <v/>
      </c>
      <c r="W230">
        <f>IF(O230&gt;=50000,"HIGH VALUE","")</f>
        <v/>
      </c>
      <c r="X230">
        <f>IF(Q230&lt;0,"LOSS","")</f>
        <v/>
      </c>
      <c r="Y230">
        <f>IFS(M230&gt;=0.15,"Deep Discount",M230&gt;=0.1,"Moderate",TRUE,"Standard")</f>
        <v/>
      </c>
    </row>
    <row r="231">
      <c r="A231">
        <f>Raw_Data!A231</f>
        <v/>
      </c>
      <c r="B231" s="29">
        <f>Raw_Data!B231</f>
        <v/>
      </c>
      <c r="C231">
        <f>YEAR(B231)</f>
        <v/>
      </c>
      <c r="D231">
        <f>MONTH(B231)</f>
        <v/>
      </c>
      <c r="E231">
        <f>TEXT(B231,"MMM-YYYY")</f>
        <v/>
      </c>
      <c r="F231">
        <f>Raw_Data!C231</f>
        <v/>
      </c>
      <c r="G231">
        <f>Raw_Data!D231</f>
        <v/>
      </c>
      <c r="H231">
        <f>Raw_Data!E231</f>
        <v/>
      </c>
      <c r="I231">
        <f>Raw_Data!F231</f>
        <v/>
      </c>
      <c r="J231">
        <f>Raw_Data!G231</f>
        <v/>
      </c>
      <c r="K231">
        <f>Raw_Data!H231</f>
        <v/>
      </c>
      <c r="L231" s="30">
        <f>Raw_Data!I231</f>
        <v/>
      </c>
      <c r="M231" s="31">
        <f>Raw_Data!J231</f>
        <v/>
      </c>
      <c r="N231" s="17">
        <f>K231*L231</f>
        <v/>
      </c>
      <c r="O231" s="17">
        <f>N231*(1-M231)</f>
        <v/>
      </c>
      <c r="P231" s="17">
        <f>Raw_Data!L231</f>
        <v/>
      </c>
      <c r="Q231" s="17">
        <f>O231-P231</f>
        <v/>
      </c>
      <c r="R231" s="31">
        <f>IF(O231=0,0,Q231/O231)</f>
        <v/>
      </c>
      <c r="S231">
        <f>XLOOKUP(F231,Lookups!$B$7:$B$11,Lookups!$C$7:$C$11,"Unknown")</f>
        <v/>
      </c>
      <c r="T231" s="31">
        <f>XLOOKUP(G231,Lookups!$E$7:$E$11,Lookups!$F$7:$F$11,0)</f>
        <v/>
      </c>
      <c r="U231" s="32">
        <f>R231-T231</f>
        <v/>
      </c>
      <c r="V231">
        <f>XLOOKUP(I231,Lookups!$H$7:$H$10,Lookups!$I$7:$I$10,"")</f>
        <v/>
      </c>
      <c r="W231">
        <f>IF(O231&gt;=50000,"HIGH VALUE","")</f>
        <v/>
      </c>
      <c r="X231">
        <f>IF(Q231&lt;0,"LOSS","")</f>
        <v/>
      </c>
      <c r="Y231">
        <f>IFS(M231&gt;=0.15,"Deep Discount",M231&gt;=0.1,"Moderate",TRUE,"Standard")</f>
        <v/>
      </c>
    </row>
    <row r="232">
      <c r="A232">
        <f>Raw_Data!A232</f>
        <v/>
      </c>
      <c r="B232" s="29">
        <f>Raw_Data!B232</f>
        <v/>
      </c>
      <c r="C232">
        <f>YEAR(B232)</f>
        <v/>
      </c>
      <c r="D232">
        <f>MONTH(B232)</f>
        <v/>
      </c>
      <c r="E232">
        <f>TEXT(B232,"MMM-YYYY")</f>
        <v/>
      </c>
      <c r="F232">
        <f>Raw_Data!C232</f>
        <v/>
      </c>
      <c r="G232">
        <f>Raw_Data!D232</f>
        <v/>
      </c>
      <c r="H232">
        <f>Raw_Data!E232</f>
        <v/>
      </c>
      <c r="I232">
        <f>Raw_Data!F232</f>
        <v/>
      </c>
      <c r="J232">
        <f>Raw_Data!G232</f>
        <v/>
      </c>
      <c r="K232">
        <f>Raw_Data!H232</f>
        <v/>
      </c>
      <c r="L232" s="30">
        <f>Raw_Data!I232</f>
        <v/>
      </c>
      <c r="M232" s="31">
        <f>Raw_Data!J232</f>
        <v/>
      </c>
      <c r="N232" s="17">
        <f>K232*L232</f>
        <v/>
      </c>
      <c r="O232" s="17">
        <f>N232*(1-M232)</f>
        <v/>
      </c>
      <c r="P232" s="17">
        <f>Raw_Data!L232</f>
        <v/>
      </c>
      <c r="Q232" s="17">
        <f>O232-P232</f>
        <v/>
      </c>
      <c r="R232" s="31">
        <f>IF(O232=0,0,Q232/O232)</f>
        <v/>
      </c>
      <c r="S232">
        <f>XLOOKUP(F232,Lookups!$B$7:$B$11,Lookups!$C$7:$C$11,"Unknown")</f>
        <v/>
      </c>
      <c r="T232" s="31">
        <f>XLOOKUP(G232,Lookups!$E$7:$E$11,Lookups!$F$7:$F$11,0)</f>
        <v/>
      </c>
      <c r="U232" s="32">
        <f>R232-T232</f>
        <v/>
      </c>
      <c r="V232">
        <f>XLOOKUP(I232,Lookups!$H$7:$H$10,Lookups!$I$7:$I$10,"")</f>
        <v/>
      </c>
      <c r="W232">
        <f>IF(O232&gt;=50000,"HIGH VALUE","")</f>
        <v/>
      </c>
      <c r="X232">
        <f>IF(Q232&lt;0,"LOSS","")</f>
        <v/>
      </c>
      <c r="Y232">
        <f>IFS(M232&gt;=0.15,"Deep Discount",M232&gt;=0.1,"Moderate",TRUE,"Standard")</f>
        <v/>
      </c>
    </row>
    <row r="233">
      <c r="A233">
        <f>Raw_Data!A233</f>
        <v/>
      </c>
      <c r="B233" s="29">
        <f>Raw_Data!B233</f>
        <v/>
      </c>
      <c r="C233">
        <f>YEAR(B233)</f>
        <v/>
      </c>
      <c r="D233">
        <f>MONTH(B233)</f>
        <v/>
      </c>
      <c r="E233">
        <f>TEXT(B233,"MMM-YYYY")</f>
        <v/>
      </c>
      <c r="F233">
        <f>Raw_Data!C233</f>
        <v/>
      </c>
      <c r="G233">
        <f>Raw_Data!D233</f>
        <v/>
      </c>
      <c r="H233">
        <f>Raw_Data!E233</f>
        <v/>
      </c>
      <c r="I233">
        <f>Raw_Data!F233</f>
        <v/>
      </c>
      <c r="J233">
        <f>Raw_Data!G233</f>
        <v/>
      </c>
      <c r="K233">
        <f>Raw_Data!H233</f>
        <v/>
      </c>
      <c r="L233" s="30">
        <f>Raw_Data!I233</f>
        <v/>
      </c>
      <c r="M233" s="31">
        <f>Raw_Data!J233</f>
        <v/>
      </c>
      <c r="N233" s="17">
        <f>K233*L233</f>
        <v/>
      </c>
      <c r="O233" s="17">
        <f>N233*(1-M233)</f>
        <v/>
      </c>
      <c r="P233" s="17">
        <f>Raw_Data!L233</f>
        <v/>
      </c>
      <c r="Q233" s="17">
        <f>O233-P233</f>
        <v/>
      </c>
      <c r="R233" s="31">
        <f>IF(O233=0,0,Q233/O233)</f>
        <v/>
      </c>
      <c r="S233">
        <f>XLOOKUP(F233,Lookups!$B$7:$B$11,Lookups!$C$7:$C$11,"Unknown")</f>
        <v/>
      </c>
      <c r="T233" s="31">
        <f>XLOOKUP(G233,Lookups!$E$7:$E$11,Lookups!$F$7:$F$11,0)</f>
        <v/>
      </c>
      <c r="U233" s="32">
        <f>R233-T233</f>
        <v/>
      </c>
      <c r="V233">
        <f>XLOOKUP(I233,Lookups!$H$7:$H$10,Lookups!$I$7:$I$10,"")</f>
        <v/>
      </c>
      <c r="W233">
        <f>IF(O233&gt;=50000,"HIGH VALUE","")</f>
        <v/>
      </c>
      <c r="X233">
        <f>IF(Q233&lt;0,"LOSS","")</f>
        <v/>
      </c>
      <c r="Y233">
        <f>IFS(M233&gt;=0.15,"Deep Discount",M233&gt;=0.1,"Moderate",TRUE,"Standard")</f>
        <v/>
      </c>
    </row>
    <row r="234">
      <c r="A234">
        <f>Raw_Data!A234</f>
        <v/>
      </c>
      <c r="B234" s="29">
        <f>Raw_Data!B234</f>
        <v/>
      </c>
      <c r="C234">
        <f>YEAR(B234)</f>
        <v/>
      </c>
      <c r="D234">
        <f>MONTH(B234)</f>
        <v/>
      </c>
      <c r="E234">
        <f>TEXT(B234,"MMM-YYYY")</f>
        <v/>
      </c>
      <c r="F234">
        <f>Raw_Data!C234</f>
        <v/>
      </c>
      <c r="G234">
        <f>Raw_Data!D234</f>
        <v/>
      </c>
      <c r="H234">
        <f>Raw_Data!E234</f>
        <v/>
      </c>
      <c r="I234">
        <f>Raw_Data!F234</f>
        <v/>
      </c>
      <c r="J234">
        <f>Raw_Data!G234</f>
        <v/>
      </c>
      <c r="K234">
        <f>Raw_Data!H234</f>
        <v/>
      </c>
      <c r="L234" s="30">
        <f>Raw_Data!I234</f>
        <v/>
      </c>
      <c r="M234" s="31">
        <f>Raw_Data!J234</f>
        <v/>
      </c>
      <c r="N234" s="17">
        <f>K234*L234</f>
        <v/>
      </c>
      <c r="O234" s="17">
        <f>N234*(1-M234)</f>
        <v/>
      </c>
      <c r="P234" s="17">
        <f>Raw_Data!L234</f>
        <v/>
      </c>
      <c r="Q234" s="17">
        <f>O234-P234</f>
        <v/>
      </c>
      <c r="R234" s="31">
        <f>IF(O234=0,0,Q234/O234)</f>
        <v/>
      </c>
      <c r="S234">
        <f>XLOOKUP(F234,Lookups!$B$7:$B$11,Lookups!$C$7:$C$11,"Unknown")</f>
        <v/>
      </c>
      <c r="T234" s="31">
        <f>XLOOKUP(G234,Lookups!$E$7:$E$11,Lookups!$F$7:$F$11,0)</f>
        <v/>
      </c>
      <c r="U234" s="32">
        <f>R234-T234</f>
        <v/>
      </c>
      <c r="V234">
        <f>XLOOKUP(I234,Lookups!$H$7:$H$10,Lookups!$I$7:$I$10,"")</f>
        <v/>
      </c>
      <c r="W234">
        <f>IF(O234&gt;=50000,"HIGH VALUE","")</f>
        <v/>
      </c>
      <c r="X234">
        <f>IF(Q234&lt;0,"LOSS","")</f>
        <v/>
      </c>
      <c r="Y234">
        <f>IFS(M234&gt;=0.15,"Deep Discount",M234&gt;=0.1,"Moderate",TRUE,"Standard")</f>
        <v/>
      </c>
    </row>
    <row r="235">
      <c r="A235">
        <f>Raw_Data!A235</f>
        <v/>
      </c>
      <c r="B235" s="29">
        <f>Raw_Data!B235</f>
        <v/>
      </c>
      <c r="C235">
        <f>YEAR(B235)</f>
        <v/>
      </c>
      <c r="D235">
        <f>MONTH(B235)</f>
        <v/>
      </c>
      <c r="E235">
        <f>TEXT(B235,"MMM-YYYY")</f>
        <v/>
      </c>
      <c r="F235">
        <f>Raw_Data!C235</f>
        <v/>
      </c>
      <c r="G235">
        <f>Raw_Data!D235</f>
        <v/>
      </c>
      <c r="H235">
        <f>Raw_Data!E235</f>
        <v/>
      </c>
      <c r="I235">
        <f>Raw_Data!F235</f>
        <v/>
      </c>
      <c r="J235">
        <f>Raw_Data!G235</f>
        <v/>
      </c>
      <c r="K235">
        <f>Raw_Data!H235</f>
        <v/>
      </c>
      <c r="L235" s="30">
        <f>Raw_Data!I235</f>
        <v/>
      </c>
      <c r="M235" s="31">
        <f>Raw_Data!J235</f>
        <v/>
      </c>
      <c r="N235" s="17">
        <f>K235*L235</f>
        <v/>
      </c>
      <c r="O235" s="17">
        <f>N235*(1-M235)</f>
        <v/>
      </c>
      <c r="P235" s="17">
        <f>Raw_Data!L235</f>
        <v/>
      </c>
      <c r="Q235" s="17">
        <f>O235-P235</f>
        <v/>
      </c>
      <c r="R235" s="31">
        <f>IF(O235=0,0,Q235/O235)</f>
        <v/>
      </c>
      <c r="S235">
        <f>XLOOKUP(F235,Lookups!$B$7:$B$11,Lookups!$C$7:$C$11,"Unknown")</f>
        <v/>
      </c>
      <c r="T235" s="31">
        <f>XLOOKUP(G235,Lookups!$E$7:$E$11,Lookups!$F$7:$F$11,0)</f>
        <v/>
      </c>
      <c r="U235" s="32">
        <f>R235-T235</f>
        <v/>
      </c>
      <c r="V235">
        <f>XLOOKUP(I235,Lookups!$H$7:$H$10,Lookups!$I$7:$I$10,"")</f>
        <v/>
      </c>
      <c r="W235">
        <f>IF(O235&gt;=50000,"HIGH VALUE","")</f>
        <v/>
      </c>
      <c r="X235">
        <f>IF(Q235&lt;0,"LOSS","")</f>
        <v/>
      </c>
      <c r="Y235">
        <f>IFS(M235&gt;=0.15,"Deep Discount",M235&gt;=0.1,"Moderate",TRUE,"Standard")</f>
        <v/>
      </c>
    </row>
    <row r="236">
      <c r="A236">
        <f>Raw_Data!A236</f>
        <v/>
      </c>
      <c r="B236" s="29">
        <f>Raw_Data!B236</f>
        <v/>
      </c>
      <c r="C236">
        <f>YEAR(B236)</f>
        <v/>
      </c>
      <c r="D236">
        <f>MONTH(B236)</f>
        <v/>
      </c>
      <c r="E236">
        <f>TEXT(B236,"MMM-YYYY")</f>
        <v/>
      </c>
      <c r="F236">
        <f>Raw_Data!C236</f>
        <v/>
      </c>
      <c r="G236">
        <f>Raw_Data!D236</f>
        <v/>
      </c>
      <c r="H236">
        <f>Raw_Data!E236</f>
        <v/>
      </c>
      <c r="I236">
        <f>Raw_Data!F236</f>
        <v/>
      </c>
      <c r="J236">
        <f>Raw_Data!G236</f>
        <v/>
      </c>
      <c r="K236">
        <f>Raw_Data!H236</f>
        <v/>
      </c>
      <c r="L236" s="30">
        <f>Raw_Data!I236</f>
        <v/>
      </c>
      <c r="M236" s="31">
        <f>Raw_Data!J236</f>
        <v/>
      </c>
      <c r="N236" s="17">
        <f>K236*L236</f>
        <v/>
      </c>
      <c r="O236" s="17">
        <f>N236*(1-M236)</f>
        <v/>
      </c>
      <c r="P236" s="17">
        <f>Raw_Data!L236</f>
        <v/>
      </c>
      <c r="Q236" s="17">
        <f>O236-P236</f>
        <v/>
      </c>
      <c r="R236" s="31">
        <f>IF(O236=0,0,Q236/O236)</f>
        <v/>
      </c>
      <c r="S236">
        <f>XLOOKUP(F236,Lookups!$B$7:$B$11,Lookups!$C$7:$C$11,"Unknown")</f>
        <v/>
      </c>
      <c r="T236" s="31">
        <f>XLOOKUP(G236,Lookups!$E$7:$E$11,Lookups!$F$7:$F$11,0)</f>
        <v/>
      </c>
      <c r="U236" s="32">
        <f>R236-T236</f>
        <v/>
      </c>
      <c r="V236">
        <f>XLOOKUP(I236,Lookups!$H$7:$H$10,Lookups!$I$7:$I$10,"")</f>
        <v/>
      </c>
      <c r="W236">
        <f>IF(O236&gt;=50000,"HIGH VALUE","")</f>
        <v/>
      </c>
      <c r="X236">
        <f>IF(Q236&lt;0,"LOSS","")</f>
        <v/>
      </c>
      <c r="Y236">
        <f>IFS(M236&gt;=0.15,"Deep Discount",M236&gt;=0.1,"Moderate",TRUE,"Standard")</f>
        <v/>
      </c>
    </row>
    <row r="237">
      <c r="A237">
        <f>Raw_Data!A237</f>
        <v/>
      </c>
      <c r="B237" s="29">
        <f>Raw_Data!B237</f>
        <v/>
      </c>
      <c r="C237">
        <f>YEAR(B237)</f>
        <v/>
      </c>
      <c r="D237">
        <f>MONTH(B237)</f>
        <v/>
      </c>
      <c r="E237">
        <f>TEXT(B237,"MMM-YYYY")</f>
        <v/>
      </c>
      <c r="F237">
        <f>Raw_Data!C237</f>
        <v/>
      </c>
      <c r="G237">
        <f>Raw_Data!D237</f>
        <v/>
      </c>
      <c r="H237">
        <f>Raw_Data!E237</f>
        <v/>
      </c>
      <c r="I237">
        <f>Raw_Data!F237</f>
        <v/>
      </c>
      <c r="J237">
        <f>Raw_Data!G237</f>
        <v/>
      </c>
      <c r="K237">
        <f>Raw_Data!H237</f>
        <v/>
      </c>
      <c r="L237" s="30">
        <f>Raw_Data!I237</f>
        <v/>
      </c>
      <c r="M237" s="31">
        <f>Raw_Data!J237</f>
        <v/>
      </c>
      <c r="N237" s="17">
        <f>K237*L237</f>
        <v/>
      </c>
      <c r="O237" s="17">
        <f>N237*(1-M237)</f>
        <v/>
      </c>
      <c r="P237" s="17">
        <f>Raw_Data!L237</f>
        <v/>
      </c>
      <c r="Q237" s="17">
        <f>O237-P237</f>
        <v/>
      </c>
      <c r="R237" s="31">
        <f>IF(O237=0,0,Q237/O237)</f>
        <v/>
      </c>
      <c r="S237">
        <f>XLOOKUP(F237,Lookups!$B$7:$B$11,Lookups!$C$7:$C$11,"Unknown")</f>
        <v/>
      </c>
      <c r="T237" s="31">
        <f>XLOOKUP(G237,Lookups!$E$7:$E$11,Lookups!$F$7:$F$11,0)</f>
        <v/>
      </c>
      <c r="U237" s="32">
        <f>R237-T237</f>
        <v/>
      </c>
      <c r="V237">
        <f>XLOOKUP(I237,Lookups!$H$7:$H$10,Lookups!$I$7:$I$10,"")</f>
        <v/>
      </c>
      <c r="W237">
        <f>IF(O237&gt;=50000,"HIGH VALUE","")</f>
        <v/>
      </c>
      <c r="X237">
        <f>IF(Q237&lt;0,"LOSS","")</f>
        <v/>
      </c>
      <c r="Y237">
        <f>IFS(M237&gt;=0.15,"Deep Discount",M237&gt;=0.1,"Moderate",TRUE,"Standard")</f>
        <v/>
      </c>
    </row>
    <row r="238">
      <c r="A238">
        <f>Raw_Data!A238</f>
        <v/>
      </c>
      <c r="B238" s="29">
        <f>Raw_Data!B238</f>
        <v/>
      </c>
      <c r="C238">
        <f>YEAR(B238)</f>
        <v/>
      </c>
      <c r="D238">
        <f>MONTH(B238)</f>
        <v/>
      </c>
      <c r="E238">
        <f>TEXT(B238,"MMM-YYYY")</f>
        <v/>
      </c>
      <c r="F238">
        <f>Raw_Data!C238</f>
        <v/>
      </c>
      <c r="G238">
        <f>Raw_Data!D238</f>
        <v/>
      </c>
      <c r="H238">
        <f>Raw_Data!E238</f>
        <v/>
      </c>
      <c r="I238">
        <f>Raw_Data!F238</f>
        <v/>
      </c>
      <c r="J238">
        <f>Raw_Data!G238</f>
        <v/>
      </c>
      <c r="K238">
        <f>Raw_Data!H238</f>
        <v/>
      </c>
      <c r="L238" s="30">
        <f>Raw_Data!I238</f>
        <v/>
      </c>
      <c r="M238" s="31">
        <f>Raw_Data!J238</f>
        <v/>
      </c>
      <c r="N238" s="17">
        <f>K238*L238</f>
        <v/>
      </c>
      <c r="O238" s="17">
        <f>N238*(1-M238)</f>
        <v/>
      </c>
      <c r="P238" s="17">
        <f>Raw_Data!L238</f>
        <v/>
      </c>
      <c r="Q238" s="17">
        <f>O238-P238</f>
        <v/>
      </c>
      <c r="R238" s="31">
        <f>IF(O238=0,0,Q238/O238)</f>
        <v/>
      </c>
      <c r="S238">
        <f>XLOOKUP(F238,Lookups!$B$7:$B$11,Lookups!$C$7:$C$11,"Unknown")</f>
        <v/>
      </c>
      <c r="T238" s="31">
        <f>XLOOKUP(G238,Lookups!$E$7:$E$11,Lookups!$F$7:$F$11,0)</f>
        <v/>
      </c>
      <c r="U238" s="32">
        <f>R238-T238</f>
        <v/>
      </c>
      <c r="V238">
        <f>XLOOKUP(I238,Lookups!$H$7:$H$10,Lookups!$I$7:$I$10,"")</f>
        <v/>
      </c>
      <c r="W238">
        <f>IF(O238&gt;=50000,"HIGH VALUE","")</f>
        <v/>
      </c>
      <c r="X238">
        <f>IF(Q238&lt;0,"LOSS","")</f>
        <v/>
      </c>
      <c r="Y238">
        <f>IFS(M238&gt;=0.15,"Deep Discount",M238&gt;=0.1,"Moderate",TRUE,"Standard")</f>
        <v/>
      </c>
    </row>
    <row r="239">
      <c r="A239">
        <f>Raw_Data!A239</f>
        <v/>
      </c>
      <c r="B239" s="29">
        <f>Raw_Data!B239</f>
        <v/>
      </c>
      <c r="C239">
        <f>YEAR(B239)</f>
        <v/>
      </c>
      <c r="D239">
        <f>MONTH(B239)</f>
        <v/>
      </c>
      <c r="E239">
        <f>TEXT(B239,"MMM-YYYY")</f>
        <v/>
      </c>
      <c r="F239">
        <f>Raw_Data!C239</f>
        <v/>
      </c>
      <c r="G239">
        <f>Raw_Data!D239</f>
        <v/>
      </c>
      <c r="H239">
        <f>Raw_Data!E239</f>
        <v/>
      </c>
      <c r="I239">
        <f>Raw_Data!F239</f>
        <v/>
      </c>
      <c r="J239">
        <f>Raw_Data!G239</f>
        <v/>
      </c>
      <c r="K239">
        <f>Raw_Data!H239</f>
        <v/>
      </c>
      <c r="L239" s="30">
        <f>Raw_Data!I239</f>
        <v/>
      </c>
      <c r="M239" s="31">
        <f>Raw_Data!J239</f>
        <v/>
      </c>
      <c r="N239" s="17">
        <f>K239*L239</f>
        <v/>
      </c>
      <c r="O239" s="17">
        <f>N239*(1-M239)</f>
        <v/>
      </c>
      <c r="P239" s="17">
        <f>Raw_Data!L239</f>
        <v/>
      </c>
      <c r="Q239" s="17">
        <f>O239-P239</f>
        <v/>
      </c>
      <c r="R239" s="31">
        <f>IF(O239=0,0,Q239/O239)</f>
        <v/>
      </c>
      <c r="S239">
        <f>XLOOKUP(F239,Lookups!$B$7:$B$11,Lookups!$C$7:$C$11,"Unknown")</f>
        <v/>
      </c>
      <c r="T239" s="31">
        <f>XLOOKUP(G239,Lookups!$E$7:$E$11,Lookups!$F$7:$F$11,0)</f>
        <v/>
      </c>
      <c r="U239" s="32">
        <f>R239-T239</f>
        <v/>
      </c>
      <c r="V239">
        <f>XLOOKUP(I239,Lookups!$H$7:$H$10,Lookups!$I$7:$I$10,"")</f>
        <v/>
      </c>
      <c r="W239">
        <f>IF(O239&gt;=50000,"HIGH VALUE","")</f>
        <v/>
      </c>
      <c r="X239">
        <f>IF(Q239&lt;0,"LOSS","")</f>
        <v/>
      </c>
      <c r="Y239">
        <f>IFS(M239&gt;=0.15,"Deep Discount",M239&gt;=0.1,"Moderate",TRUE,"Standard")</f>
        <v/>
      </c>
    </row>
    <row r="240">
      <c r="A240">
        <f>Raw_Data!A240</f>
        <v/>
      </c>
      <c r="B240" s="29">
        <f>Raw_Data!B240</f>
        <v/>
      </c>
      <c r="C240">
        <f>YEAR(B240)</f>
        <v/>
      </c>
      <c r="D240">
        <f>MONTH(B240)</f>
        <v/>
      </c>
      <c r="E240">
        <f>TEXT(B240,"MMM-YYYY")</f>
        <v/>
      </c>
      <c r="F240">
        <f>Raw_Data!C240</f>
        <v/>
      </c>
      <c r="G240">
        <f>Raw_Data!D240</f>
        <v/>
      </c>
      <c r="H240">
        <f>Raw_Data!E240</f>
        <v/>
      </c>
      <c r="I240">
        <f>Raw_Data!F240</f>
        <v/>
      </c>
      <c r="J240">
        <f>Raw_Data!G240</f>
        <v/>
      </c>
      <c r="K240">
        <f>Raw_Data!H240</f>
        <v/>
      </c>
      <c r="L240" s="30">
        <f>Raw_Data!I240</f>
        <v/>
      </c>
      <c r="M240" s="31">
        <f>Raw_Data!J240</f>
        <v/>
      </c>
      <c r="N240" s="17">
        <f>K240*L240</f>
        <v/>
      </c>
      <c r="O240" s="17">
        <f>N240*(1-M240)</f>
        <v/>
      </c>
      <c r="P240" s="17">
        <f>Raw_Data!L240</f>
        <v/>
      </c>
      <c r="Q240" s="17">
        <f>O240-P240</f>
        <v/>
      </c>
      <c r="R240" s="31">
        <f>IF(O240=0,0,Q240/O240)</f>
        <v/>
      </c>
      <c r="S240">
        <f>XLOOKUP(F240,Lookups!$B$7:$B$11,Lookups!$C$7:$C$11,"Unknown")</f>
        <v/>
      </c>
      <c r="T240" s="31">
        <f>XLOOKUP(G240,Lookups!$E$7:$E$11,Lookups!$F$7:$F$11,0)</f>
        <v/>
      </c>
      <c r="U240" s="32">
        <f>R240-T240</f>
        <v/>
      </c>
      <c r="V240">
        <f>XLOOKUP(I240,Lookups!$H$7:$H$10,Lookups!$I$7:$I$10,"")</f>
        <v/>
      </c>
      <c r="W240">
        <f>IF(O240&gt;=50000,"HIGH VALUE","")</f>
        <v/>
      </c>
      <c r="X240">
        <f>IF(Q240&lt;0,"LOSS","")</f>
        <v/>
      </c>
      <c r="Y240">
        <f>IFS(M240&gt;=0.15,"Deep Discount",M240&gt;=0.1,"Moderate",TRUE,"Standard")</f>
        <v/>
      </c>
    </row>
    <row r="241">
      <c r="A241">
        <f>Raw_Data!A241</f>
        <v/>
      </c>
      <c r="B241" s="29">
        <f>Raw_Data!B241</f>
        <v/>
      </c>
      <c r="C241">
        <f>YEAR(B241)</f>
        <v/>
      </c>
      <c r="D241">
        <f>MONTH(B241)</f>
        <v/>
      </c>
      <c r="E241">
        <f>TEXT(B241,"MMM-YYYY")</f>
        <v/>
      </c>
      <c r="F241">
        <f>Raw_Data!C241</f>
        <v/>
      </c>
      <c r="G241">
        <f>Raw_Data!D241</f>
        <v/>
      </c>
      <c r="H241">
        <f>Raw_Data!E241</f>
        <v/>
      </c>
      <c r="I241">
        <f>Raw_Data!F241</f>
        <v/>
      </c>
      <c r="J241">
        <f>Raw_Data!G241</f>
        <v/>
      </c>
      <c r="K241">
        <f>Raw_Data!H241</f>
        <v/>
      </c>
      <c r="L241" s="30">
        <f>Raw_Data!I241</f>
        <v/>
      </c>
      <c r="M241" s="31">
        <f>Raw_Data!J241</f>
        <v/>
      </c>
      <c r="N241" s="17">
        <f>K241*L241</f>
        <v/>
      </c>
      <c r="O241" s="17">
        <f>N241*(1-M241)</f>
        <v/>
      </c>
      <c r="P241" s="17">
        <f>Raw_Data!L241</f>
        <v/>
      </c>
      <c r="Q241" s="17">
        <f>O241-P241</f>
        <v/>
      </c>
      <c r="R241" s="31">
        <f>IF(O241=0,0,Q241/O241)</f>
        <v/>
      </c>
      <c r="S241">
        <f>XLOOKUP(F241,Lookups!$B$7:$B$11,Lookups!$C$7:$C$11,"Unknown")</f>
        <v/>
      </c>
      <c r="T241" s="31">
        <f>XLOOKUP(G241,Lookups!$E$7:$E$11,Lookups!$F$7:$F$11,0)</f>
        <v/>
      </c>
      <c r="U241" s="32">
        <f>R241-T241</f>
        <v/>
      </c>
      <c r="V241">
        <f>XLOOKUP(I241,Lookups!$H$7:$H$10,Lookups!$I$7:$I$10,"")</f>
        <v/>
      </c>
      <c r="W241">
        <f>IF(O241&gt;=50000,"HIGH VALUE","")</f>
        <v/>
      </c>
      <c r="X241">
        <f>IF(Q241&lt;0,"LOSS","")</f>
        <v/>
      </c>
      <c r="Y241">
        <f>IFS(M241&gt;=0.15,"Deep Discount",M241&gt;=0.1,"Moderate",TRUE,"Standard")</f>
        <v/>
      </c>
    </row>
    <row r="242">
      <c r="A242">
        <f>Raw_Data!A242</f>
        <v/>
      </c>
      <c r="B242" s="29">
        <f>Raw_Data!B242</f>
        <v/>
      </c>
      <c r="C242">
        <f>YEAR(B242)</f>
        <v/>
      </c>
      <c r="D242">
        <f>MONTH(B242)</f>
        <v/>
      </c>
      <c r="E242">
        <f>TEXT(B242,"MMM-YYYY")</f>
        <v/>
      </c>
      <c r="F242">
        <f>Raw_Data!C242</f>
        <v/>
      </c>
      <c r="G242">
        <f>Raw_Data!D242</f>
        <v/>
      </c>
      <c r="H242">
        <f>Raw_Data!E242</f>
        <v/>
      </c>
      <c r="I242">
        <f>Raw_Data!F242</f>
        <v/>
      </c>
      <c r="J242">
        <f>Raw_Data!G242</f>
        <v/>
      </c>
      <c r="K242">
        <f>Raw_Data!H242</f>
        <v/>
      </c>
      <c r="L242" s="30">
        <f>Raw_Data!I242</f>
        <v/>
      </c>
      <c r="M242" s="31">
        <f>Raw_Data!J242</f>
        <v/>
      </c>
      <c r="N242" s="17">
        <f>K242*L242</f>
        <v/>
      </c>
      <c r="O242" s="17">
        <f>N242*(1-M242)</f>
        <v/>
      </c>
      <c r="P242" s="17">
        <f>Raw_Data!L242</f>
        <v/>
      </c>
      <c r="Q242" s="17">
        <f>O242-P242</f>
        <v/>
      </c>
      <c r="R242" s="31">
        <f>IF(O242=0,0,Q242/O242)</f>
        <v/>
      </c>
      <c r="S242">
        <f>XLOOKUP(F242,Lookups!$B$7:$B$11,Lookups!$C$7:$C$11,"Unknown")</f>
        <v/>
      </c>
      <c r="T242" s="31">
        <f>XLOOKUP(G242,Lookups!$E$7:$E$11,Lookups!$F$7:$F$11,0)</f>
        <v/>
      </c>
      <c r="U242" s="32">
        <f>R242-T242</f>
        <v/>
      </c>
      <c r="V242">
        <f>XLOOKUP(I242,Lookups!$H$7:$H$10,Lookups!$I$7:$I$10,"")</f>
        <v/>
      </c>
      <c r="W242">
        <f>IF(O242&gt;=50000,"HIGH VALUE","")</f>
        <v/>
      </c>
      <c r="X242">
        <f>IF(Q242&lt;0,"LOSS","")</f>
        <v/>
      </c>
      <c r="Y242">
        <f>IFS(M242&gt;=0.15,"Deep Discount",M242&gt;=0.1,"Moderate",TRUE,"Standard")</f>
        <v/>
      </c>
    </row>
    <row r="243">
      <c r="A243">
        <f>Raw_Data!A243</f>
        <v/>
      </c>
      <c r="B243" s="29">
        <f>Raw_Data!B243</f>
        <v/>
      </c>
      <c r="C243">
        <f>YEAR(B243)</f>
        <v/>
      </c>
      <c r="D243">
        <f>MONTH(B243)</f>
        <v/>
      </c>
      <c r="E243">
        <f>TEXT(B243,"MMM-YYYY")</f>
        <v/>
      </c>
      <c r="F243">
        <f>Raw_Data!C243</f>
        <v/>
      </c>
      <c r="G243">
        <f>Raw_Data!D243</f>
        <v/>
      </c>
      <c r="H243">
        <f>Raw_Data!E243</f>
        <v/>
      </c>
      <c r="I243">
        <f>Raw_Data!F243</f>
        <v/>
      </c>
      <c r="J243">
        <f>Raw_Data!G243</f>
        <v/>
      </c>
      <c r="K243">
        <f>Raw_Data!H243</f>
        <v/>
      </c>
      <c r="L243" s="30">
        <f>Raw_Data!I243</f>
        <v/>
      </c>
      <c r="M243" s="31">
        <f>Raw_Data!J243</f>
        <v/>
      </c>
      <c r="N243" s="17">
        <f>K243*L243</f>
        <v/>
      </c>
      <c r="O243" s="17">
        <f>N243*(1-M243)</f>
        <v/>
      </c>
      <c r="P243" s="17">
        <f>Raw_Data!L243</f>
        <v/>
      </c>
      <c r="Q243" s="17">
        <f>O243-P243</f>
        <v/>
      </c>
      <c r="R243" s="31">
        <f>IF(O243=0,0,Q243/O243)</f>
        <v/>
      </c>
      <c r="S243">
        <f>XLOOKUP(F243,Lookups!$B$7:$B$11,Lookups!$C$7:$C$11,"Unknown")</f>
        <v/>
      </c>
      <c r="T243" s="31">
        <f>XLOOKUP(G243,Lookups!$E$7:$E$11,Lookups!$F$7:$F$11,0)</f>
        <v/>
      </c>
      <c r="U243" s="32">
        <f>R243-T243</f>
        <v/>
      </c>
      <c r="V243">
        <f>XLOOKUP(I243,Lookups!$H$7:$H$10,Lookups!$I$7:$I$10,"")</f>
        <v/>
      </c>
      <c r="W243">
        <f>IF(O243&gt;=50000,"HIGH VALUE","")</f>
        <v/>
      </c>
      <c r="X243">
        <f>IF(Q243&lt;0,"LOSS","")</f>
        <v/>
      </c>
      <c r="Y243">
        <f>IFS(M243&gt;=0.15,"Deep Discount",M243&gt;=0.1,"Moderate",TRUE,"Standard")</f>
        <v/>
      </c>
    </row>
    <row r="244">
      <c r="A244">
        <f>Raw_Data!A244</f>
        <v/>
      </c>
      <c r="B244" s="29">
        <f>Raw_Data!B244</f>
        <v/>
      </c>
      <c r="C244">
        <f>YEAR(B244)</f>
        <v/>
      </c>
      <c r="D244">
        <f>MONTH(B244)</f>
        <v/>
      </c>
      <c r="E244">
        <f>TEXT(B244,"MMM-YYYY")</f>
        <v/>
      </c>
      <c r="F244">
        <f>Raw_Data!C244</f>
        <v/>
      </c>
      <c r="G244">
        <f>Raw_Data!D244</f>
        <v/>
      </c>
      <c r="H244">
        <f>Raw_Data!E244</f>
        <v/>
      </c>
      <c r="I244">
        <f>Raw_Data!F244</f>
        <v/>
      </c>
      <c r="J244">
        <f>Raw_Data!G244</f>
        <v/>
      </c>
      <c r="K244">
        <f>Raw_Data!H244</f>
        <v/>
      </c>
      <c r="L244" s="30">
        <f>Raw_Data!I244</f>
        <v/>
      </c>
      <c r="M244" s="31">
        <f>Raw_Data!J244</f>
        <v/>
      </c>
      <c r="N244" s="17">
        <f>K244*L244</f>
        <v/>
      </c>
      <c r="O244" s="17">
        <f>N244*(1-M244)</f>
        <v/>
      </c>
      <c r="P244" s="17">
        <f>Raw_Data!L244</f>
        <v/>
      </c>
      <c r="Q244" s="17">
        <f>O244-P244</f>
        <v/>
      </c>
      <c r="R244" s="31">
        <f>IF(O244=0,0,Q244/O244)</f>
        <v/>
      </c>
      <c r="S244">
        <f>XLOOKUP(F244,Lookups!$B$7:$B$11,Lookups!$C$7:$C$11,"Unknown")</f>
        <v/>
      </c>
      <c r="T244" s="31">
        <f>XLOOKUP(G244,Lookups!$E$7:$E$11,Lookups!$F$7:$F$11,0)</f>
        <v/>
      </c>
      <c r="U244" s="32">
        <f>R244-T244</f>
        <v/>
      </c>
      <c r="V244">
        <f>XLOOKUP(I244,Lookups!$H$7:$H$10,Lookups!$I$7:$I$10,"")</f>
        <v/>
      </c>
      <c r="W244">
        <f>IF(O244&gt;=50000,"HIGH VALUE","")</f>
        <v/>
      </c>
      <c r="X244">
        <f>IF(Q244&lt;0,"LOSS","")</f>
        <v/>
      </c>
      <c r="Y244">
        <f>IFS(M244&gt;=0.15,"Deep Discount",M244&gt;=0.1,"Moderate",TRUE,"Standard")</f>
        <v/>
      </c>
    </row>
    <row r="245">
      <c r="A245">
        <f>Raw_Data!A245</f>
        <v/>
      </c>
      <c r="B245" s="29">
        <f>Raw_Data!B245</f>
        <v/>
      </c>
      <c r="C245">
        <f>YEAR(B245)</f>
        <v/>
      </c>
      <c r="D245">
        <f>MONTH(B245)</f>
        <v/>
      </c>
      <c r="E245">
        <f>TEXT(B245,"MMM-YYYY")</f>
        <v/>
      </c>
      <c r="F245">
        <f>Raw_Data!C245</f>
        <v/>
      </c>
      <c r="G245">
        <f>Raw_Data!D245</f>
        <v/>
      </c>
      <c r="H245">
        <f>Raw_Data!E245</f>
        <v/>
      </c>
      <c r="I245">
        <f>Raw_Data!F245</f>
        <v/>
      </c>
      <c r="J245">
        <f>Raw_Data!G245</f>
        <v/>
      </c>
      <c r="K245">
        <f>Raw_Data!H245</f>
        <v/>
      </c>
      <c r="L245" s="30">
        <f>Raw_Data!I245</f>
        <v/>
      </c>
      <c r="M245" s="31">
        <f>Raw_Data!J245</f>
        <v/>
      </c>
      <c r="N245" s="17">
        <f>K245*L245</f>
        <v/>
      </c>
      <c r="O245" s="17">
        <f>N245*(1-M245)</f>
        <v/>
      </c>
      <c r="P245" s="17">
        <f>Raw_Data!L245</f>
        <v/>
      </c>
      <c r="Q245" s="17">
        <f>O245-P245</f>
        <v/>
      </c>
      <c r="R245" s="31">
        <f>IF(O245=0,0,Q245/O245)</f>
        <v/>
      </c>
      <c r="S245">
        <f>XLOOKUP(F245,Lookups!$B$7:$B$11,Lookups!$C$7:$C$11,"Unknown")</f>
        <v/>
      </c>
      <c r="T245" s="31">
        <f>XLOOKUP(G245,Lookups!$E$7:$E$11,Lookups!$F$7:$F$11,0)</f>
        <v/>
      </c>
      <c r="U245" s="32">
        <f>R245-T245</f>
        <v/>
      </c>
      <c r="V245">
        <f>XLOOKUP(I245,Lookups!$H$7:$H$10,Lookups!$I$7:$I$10,"")</f>
        <v/>
      </c>
      <c r="W245">
        <f>IF(O245&gt;=50000,"HIGH VALUE","")</f>
        <v/>
      </c>
      <c r="X245">
        <f>IF(Q245&lt;0,"LOSS","")</f>
        <v/>
      </c>
      <c r="Y245">
        <f>IFS(M245&gt;=0.15,"Deep Discount",M245&gt;=0.1,"Moderate",TRUE,"Standard")</f>
        <v/>
      </c>
    </row>
    <row r="246">
      <c r="A246">
        <f>Raw_Data!A246</f>
        <v/>
      </c>
      <c r="B246" s="29">
        <f>Raw_Data!B246</f>
        <v/>
      </c>
      <c r="C246">
        <f>YEAR(B246)</f>
        <v/>
      </c>
      <c r="D246">
        <f>MONTH(B246)</f>
        <v/>
      </c>
      <c r="E246">
        <f>TEXT(B246,"MMM-YYYY")</f>
        <v/>
      </c>
      <c r="F246">
        <f>Raw_Data!C246</f>
        <v/>
      </c>
      <c r="G246">
        <f>Raw_Data!D246</f>
        <v/>
      </c>
      <c r="H246">
        <f>Raw_Data!E246</f>
        <v/>
      </c>
      <c r="I246">
        <f>Raw_Data!F246</f>
        <v/>
      </c>
      <c r="J246">
        <f>Raw_Data!G246</f>
        <v/>
      </c>
      <c r="K246">
        <f>Raw_Data!H246</f>
        <v/>
      </c>
      <c r="L246" s="30">
        <f>Raw_Data!I246</f>
        <v/>
      </c>
      <c r="M246" s="31">
        <f>Raw_Data!J246</f>
        <v/>
      </c>
      <c r="N246" s="17">
        <f>K246*L246</f>
        <v/>
      </c>
      <c r="O246" s="17">
        <f>N246*(1-M246)</f>
        <v/>
      </c>
      <c r="P246" s="17">
        <f>Raw_Data!L246</f>
        <v/>
      </c>
      <c r="Q246" s="17">
        <f>O246-P246</f>
        <v/>
      </c>
      <c r="R246" s="31">
        <f>IF(O246=0,0,Q246/O246)</f>
        <v/>
      </c>
      <c r="S246">
        <f>XLOOKUP(F246,Lookups!$B$7:$B$11,Lookups!$C$7:$C$11,"Unknown")</f>
        <v/>
      </c>
      <c r="T246" s="31">
        <f>XLOOKUP(G246,Lookups!$E$7:$E$11,Lookups!$F$7:$F$11,0)</f>
        <v/>
      </c>
      <c r="U246" s="32">
        <f>R246-T246</f>
        <v/>
      </c>
      <c r="V246">
        <f>XLOOKUP(I246,Lookups!$H$7:$H$10,Lookups!$I$7:$I$10,"")</f>
        <v/>
      </c>
      <c r="W246">
        <f>IF(O246&gt;=50000,"HIGH VALUE","")</f>
        <v/>
      </c>
      <c r="X246">
        <f>IF(Q246&lt;0,"LOSS","")</f>
        <v/>
      </c>
      <c r="Y246">
        <f>IFS(M246&gt;=0.15,"Deep Discount",M246&gt;=0.1,"Moderate",TRUE,"Standard")</f>
        <v/>
      </c>
    </row>
    <row r="247">
      <c r="A247">
        <f>Raw_Data!A247</f>
        <v/>
      </c>
      <c r="B247" s="29">
        <f>Raw_Data!B247</f>
        <v/>
      </c>
      <c r="C247">
        <f>YEAR(B247)</f>
        <v/>
      </c>
      <c r="D247">
        <f>MONTH(B247)</f>
        <v/>
      </c>
      <c r="E247">
        <f>TEXT(B247,"MMM-YYYY")</f>
        <v/>
      </c>
      <c r="F247">
        <f>Raw_Data!C247</f>
        <v/>
      </c>
      <c r="G247">
        <f>Raw_Data!D247</f>
        <v/>
      </c>
      <c r="H247">
        <f>Raw_Data!E247</f>
        <v/>
      </c>
      <c r="I247">
        <f>Raw_Data!F247</f>
        <v/>
      </c>
      <c r="J247">
        <f>Raw_Data!G247</f>
        <v/>
      </c>
      <c r="K247">
        <f>Raw_Data!H247</f>
        <v/>
      </c>
      <c r="L247" s="30">
        <f>Raw_Data!I247</f>
        <v/>
      </c>
      <c r="M247" s="31">
        <f>Raw_Data!J247</f>
        <v/>
      </c>
      <c r="N247" s="17">
        <f>K247*L247</f>
        <v/>
      </c>
      <c r="O247" s="17">
        <f>N247*(1-M247)</f>
        <v/>
      </c>
      <c r="P247" s="17">
        <f>Raw_Data!L247</f>
        <v/>
      </c>
      <c r="Q247" s="17">
        <f>O247-P247</f>
        <v/>
      </c>
      <c r="R247" s="31">
        <f>IF(O247=0,0,Q247/O247)</f>
        <v/>
      </c>
      <c r="S247">
        <f>XLOOKUP(F247,Lookups!$B$7:$B$11,Lookups!$C$7:$C$11,"Unknown")</f>
        <v/>
      </c>
      <c r="T247" s="31">
        <f>XLOOKUP(G247,Lookups!$E$7:$E$11,Lookups!$F$7:$F$11,0)</f>
        <v/>
      </c>
      <c r="U247" s="32">
        <f>R247-T247</f>
        <v/>
      </c>
      <c r="V247">
        <f>XLOOKUP(I247,Lookups!$H$7:$H$10,Lookups!$I$7:$I$10,"")</f>
        <v/>
      </c>
      <c r="W247">
        <f>IF(O247&gt;=50000,"HIGH VALUE","")</f>
        <v/>
      </c>
      <c r="X247">
        <f>IF(Q247&lt;0,"LOSS","")</f>
        <v/>
      </c>
      <c r="Y247">
        <f>IFS(M247&gt;=0.15,"Deep Discount",M247&gt;=0.1,"Moderate",TRUE,"Standard")</f>
        <v/>
      </c>
    </row>
    <row r="248">
      <c r="A248">
        <f>Raw_Data!A248</f>
        <v/>
      </c>
      <c r="B248" s="29">
        <f>Raw_Data!B248</f>
        <v/>
      </c>
      <c r="C248">
        <f>YEAR(B248)</f>
        <v/>
      </c>
      <c r="D248">
        <f>MONTH(B248)</f>
        <v/>
      </c>
      <c r="E248">
        <f>TEXT(B248,"MMM-YYYY")</f>
        <v/>
      </c>
      <c r="F248">
        <f>Raw_Data!C248</f>
        <v/>
      </c>
      <c r="G248">
        <f>Raw_Data!D248</f>
        <v/>
      </c>
      <c r="H248">
        <f>Raw_Data!E248</f>
        <v/>
      </c>
      <c r="I248">
        <f>Raw_Data!F248</f>
        <v/>
      </c>
      <c r="J248">
        <f>Raw_Data!G248</f>
        <v/>
      </c>
      <c r="K248">
        <f>Raw_Data!H248</f>
        <v/>
      </c>
      <c r="L248" s="30">
        <f>Raw_Data!I248</f>
        <v/>
      </c>
      <c r="M248" s="31">
        <f>Raw_Data!J248</f>
        <v/>
      </c>
      <c r="N248" s="17">
        <f>K248*L248</f>
        <v/>
      </c>
      <c r="O248" s="17">
        <f>N248*(1-M248)</f>
        <v/>
      </c>
      <c r="P248" s="17">
        <f>Raw_Data!L248</f>
        <v/>
      </c>
      <c r="Q248" s="17">
        <f>O248-P248</f>
        <v/>
      </c>
      <c r="R248" s="31">
        <f>IF(O248=0,0,Q248/O248)</f>
        <v/>
      </c>
      <c r="S248">
        <f>XLOOKUP(F248,Lookups!$B$7:$B$11,Lookups!$C$7:$C$11,"Unknown")</f>
        <v/>
      </c>
      <c r="T248" s="31">
        <f>XLOOKUP(G248,Lookups!$E$7:$E$11,Lookups!$F$7:$F$11,0)</f>
        <v/>
      </c>
      <c r="U248" s="32">
        <f>R248-T248</f>
        <v/>
      </c>
      <c r="V248">
        <f>XLOOKUP(I248,Lookups!$H$7:$H$10,Lookups!$I$7:$I$10,"")</f>
        <v/>
      </c>
      <c r="W248">
        <f>IF(O248&gt;=50000,"HIGH VALUE","")</f>
        <v/>
      </c>
      <c r="X248">
        <f>IF(Q248&lt;0,"LOSS","")</f>
        <v/>
      </c>
      <c r="Y248">
        <f>IFS(M248&gt;=0.15,"Deep Discount",M248&gt;=0.1,"Moderate",TRUE,"Standard")</f>
        <v/>
      </c>
    </row>
    <row r="249">
      <c r="A249">
        <f>Raw_Data!A249</f>
        <v/>
      </c>
      <c r="B249" s="29">
        <f>Raw_Data!B249</f>
        <v/>
      </c>
      <c r="C249">
        <f>YEAR(B249)</f>
        <v/>
      </c>
      <c r="D249">
        <f>MONTH(B249)</f>
        <v/>
      </c>
      <c r="E249">
        <f>TEXT(B249,"MMM-YYYY")</f>
        <v/>
      </c>
      <c r="F249">
        <f>Raw_Data!C249</f>
        <v/>
      </c>
      <c r="G249">
        <f>Raw_Data!D249</f>
        <v/>
      </c>
      <c r="H249">
        <f>Raw_Data!E249</f>
        <v/>
      </c>
      <c r="I249">
        <f>Raw_Data!F249</f>
        <v/>
      </c>
      <c r="J249">
        <f>Raw_Data!G249</f>
        <v/>
      </c>
      <c r="K249">
        <f>Raw_Data!H249</f>
        <v/>
      </c>
      <c r="L249" s="30">
        <f>Raw_Data!I249</f>
        <v/>
      </c>
      <c r="M249" s="31">
        <f>Raw_Data!J249</f>
        <v/>
      </c>
      <c r="N249" s="17">
        <f>K249*L249</f>
        <v/>
      </c>
      <c r="O249" s="17">
        <f>N249*(1-M249)</f>
        <v/>
      </c>
      <c r="P249" s="17">
        <f>Raw_Data!L249</f>
        <v/>
      </c>
      <c r="Q249" s="17">
        <f>O249-P249</f>
        <v/>
      </c>
      <c r="R249" s="31">
        <f>IF(O249=0,0,Q249/O249)</f>
        <v/>
      </c>
      <c r="S249">
        <f>XLOOKUP(F249,Lookups!$B$7:$B$11,Lookups!$C$7:$C$11,"Unknown")</f>
        <v/>
      </c>
      <c r="T249" s="31">
        <f>XLOOKUP(G249,Lookups!$E$7:$E$11,Lookups!$F$7:$F$11,0)</f>
        <v/>
      </c>
      <c r="U249" s="32">
        <f>R249-T249</f>
        <v/>
      </c>
      <c r="V249">
        <f>XLOOKUP(I249,Lookups!$H$7:$H$10,Lookups!$I$7:$I$10,"")</f>
        <v/>
      </c>
      <c r="W249">
        <f>IF(O249&gt;=50000,"HIGH VALUE","")</f>
        <v/>
      </c>
      <c r="X249">
        <f>IF(Q249&lt;0,"LOSS","")</f>
        <v/>
      </c>
      <c r="Y249">
        <f>IFS(M249&gt;=0.15,"Deep Discount",M249&gt;=0.1,"Moderate",TRUE,"Standard")</f>
        <v/>
      </c>
    </row>
    <row r="250">
      <c r="A250">
        <f>Raw_Data!A250</f>
        <v/>
      </c>
      <c r="B250" s="29">
        <f>Raw_Data!B250</f>
        <v/>
      </c>
      <c r="C250">
        <f>YEAR(B250)</f>
        <v/>
      </c>
      <c r="D250">
        <f>MONTH(B250)</f>
        <v/>
      </c>
      <c r="E250">
        <f>TEXT(B250,"MMM-YYYY")</f>
        <v/>
      </c>
      <c r="F250">
        <f>Raw_Data!C250</f>
        <v/>
      </c>
      <c r="G250">
        <f>Raw_Data!D250</f>
        <v/>
      </c>
      <c r="H250">
        <f>Raw_Data!E250</f>
        <v/>
      </c>
      <c r="I250">
        <f>Raw_Data!F250</f>
        <v/>
      </c>
      <c r="J250">
        <f>Raw_Data!G250</f>
        <v/>
      </c>
      <c r="K250">
        <f>Raw_Data!H250</f>
        <v/>
      </c>
      <c r="L250" s="30">
        <f>Raw_Data!I250</f>
        <v/>
      </c>
      <c r="M250" s="31">
        <f>Raw_Data!J250</f>
        <v/>
      </c>
      <c r="N250" s="17">
        <f>K250*L250</f>
        <v/>
      </c>
      <c r="O250" s="17">
        <f>N250*(1-M250)</f>
        <v/>
      </c>
      <c r="P250" s="17">
        <f>Raw_Data!L250</f>
        <v/>
      </c>
      <c r="Q250" s="17">
        <f>O250-P250</f>
        <v/>
      </c>
      <c r="R250" s="31">
        <f>IF(O250=0,0,Q250/O250)</f>
        <v/>
      </c>
      <c r="S250">
        <f>XLOOKUP(F250,Lookups!$B$7:$B$11,Lookups!$C$7:$C$11,"Unknown")</f>
        <v/>
      </c>
      <c r="T250" s="31">
        <f>XLOOKUP(G250,Lookups!$E$7:$E$11,Lookups!$F$7:$F$11,0)</f>
        <v/>
      </c>
      <c r="U250" s="32">
        <f>R250-T250</f>
        <v/>
      </c>
      <c r="V250">
        <f>XLOOKUP(I250,Lookups!$H$7:$H$10,Lookups!$I$7:$I$10,"")</f>
        <v/>
      </c>
      <c r="W250">
        <f>IF(O250&gt;=50000,"HIGH VALUE","")</f>
        <v/>
      </c>
      <c r="X250">
        <f>IF(Q250&lt;0,"LOSS","")</f>
        <v/>
      </c>
      <c r="Y250">
        <f>IFS(M250&gt;=0.15,"Deep Discount",M250&gt;=0.1,"Moderate",TRUE,"Standard")</f>
        <v/>
      </c>
    </row>
    <row r="251">
      <c r="A251">
        <f>Raw_Data!A251</f>
        <v/>
      </c>
      <c r="B251" s="29">
        <f>Raw_Data!B251</f>
        <v/>
      </c>
      <c r="C251">
        <f>YEAR(B251)</f>
        <v/>
      </c>
      <c r="D251">
        <f>MONTH(B251)</f>
        <v/>
      </c>
      <c r="E251">
        <f>TEXT(B251,"MMM-YYYY")</f>
        <v/>
      </c>
      <c r="F251">
        <f>Raw_Data!C251</f>
        <v/>
      </c>
      <c r="G251">
        <f>Raw_Data!D251</f>
        <v/>
      </c>
      <c r="H251">
        <f>Raw_Data!E251</f>
        <v/>
      </c>
      <c r="I251">
        <f>Raw_Data!F251</f>
        <v/>
      </c>
      <c r="J251">
        <f>Raw_Data!G251</f>
        <v/>
      </c>
      <c r="K251">
        <f>Raw_Data!H251</f>
        <v/>
      </c>
      <c r="L251" s="30">
        <f>Raw_Data!I251</f>
        <v/>
      </c>
      <c r="M251" s="31">
        <f>Raw_Data!J251</f>
        <v/>
      </c>
      <c r="N251" s="17">
        <f>K251*L251</f>
        <v/>
      </c>
      <c r="O251" s="17">
        <f>N251*(1-M251)</f>
        <v/>
      </c>
      <c r="P251" s="17">
        <f>Raw_Data!L251</f>
        <v/>
      </c>
      <c r="Q251" s="17">
        <f>O251-P251</f>
        <v/>
      </c>
      <c r="R251" s="31">
        <f>IF(O251=0,0,Q251/O251)</f>
        <v/>
      </c>
      <c r="S251">
        <f>XLOOKUP(F251,Lookups!$B$7:$B$11,Lookups!$C$7:$C$11,"Unknown")</f>
        <v/>
      </c>
      <c r="T251" s="31">
        <f>XLOOKUP(G251,Lookups!$E$7:$E$11,Lookups!$F$7:$F$11,0)</f>
        <v/>
      </c>
      <c r="U251" s="32">
        <f>R251-T251</f>
        <v/>
      </c>
      <c r="V251">
        <f>XLOOKUP(I251,Lookups!$H$7:$H$10,Lookups!$I$7:$I$10,"")</f>
        <v/>
      </c>
      <c r="W251">
        <f>IF(O251&gt;=50000,"HIGH VALUE","")</f>
        <v/>
      </c>
      <c r="X251">
        <f>IF(Q251&lt;0,"LOSS","")</f>
        <v/>
      </c>
      <c r="Y251">
        <f>IFS(M251&gt;=0.15,"Deep Discount",M251&gt;=0.1,"Moderate",TRUE,"Standard")</f>
        <v/>
      </c>
    </row>
    <row r="252">
      <c r="A252">
        <f>Raw_Data!A252</f>
        <v/>
      </c>
      <c r="B252" s="29">
        <f>Raw_Data!B252</f>
        <v/>
      </c>
      <c r="C252">
        <f>YEAR(B252)</f>
        <v/>
      </c>
      <c r="D252">
        <f>MONTH(B252)</f>
        <v/>
      </c>
      <c r="E252">
        <f>TEXT(B252,"MMM-YYYY")</f>
        <v/>
      </c>
      <c r="F252">
        <f>Raw_Data!C252</f>
        <v/>
      </c>
      <c r="G252">
        <f>Raw_Data!D252</f>
        <v/>
      </c>
      <c r="H252">
        <f>Raw_Data!E252</f>
        <v/>
      </c>
      <c r="I252">
        <f>Raw_Data!F252</f>
        <v/>
      </c>
      <c r="J252">
        <f>Raw_Data!G252</f>
        <v/>
      </c>
      <c r="K252">
        <f>Raw_Data!H252</f>
        <v/>
      </c>
      <c r="L252" s="30">
        <f>Raw_Data!I252</f>
        <v/>
      </c>
      <c r="M252" s="31">
        <f>Raw_Data!J252</f>
        <v/>
      </c>
      <c r="N252" s="17">
        <f>K252*L252</f>
        <v/>
      </c>
      <c r="O252" s="17">
        <f>N252*(1-M252)</f>
        <v/>
      </c>
      <c r="P252" s="17">
        <f>Raw_Data!L252</f>
        <v/>
      </c>
      <c r="Q252" s="17">
        <f>O252-P252</f>
        <v/>
      </c>
      <c r="R252" s="31">
        <f>IF(O252=0,0,Q252/O252)</f>
        <v/>
      </c>
      <c r="S252">
        <f>XLOOKUP(F252,Lookups!$B$7:$B$11,Lookups!$C$7:$C$11,"Unknown")</f>
        <v/>
      </c>
      <c r="T252" s="31">
        <f>XLOOKUP(G252,Lookups!$E$7:$E$11,Lookups!$F$7:$F$11,0)</f>
        <v/>
      </c>
      <c r="U252" s="32">
        <f>R252-T252</f>
        <v/>
      </c>
      <c r="V252">
        <f>XLOOKUP(I252,Lookups!$H$7:$H$10,Lookups!$I$7:$I$10,"")</f>
        <v/>
      </c>
      <c r="W252">
        <f>IF(O252&gt;=50000,"HIGH VALUE","")</f>
        <v/>
      </c>
      <c r="X252">
        <f>IF(Q252&lt;0,"LOSS","")</f>
        <v/>
      </c>
      <c r="Y252">
        <f>IFS(M252&gt;=0.15,"Deep Discount",M252&gt;=0.1,"Moderate",TRUE,"Standard")</f>
        <v/>
      </c>
    </row>
    <row r="253">
      <c r="A253">
        <f>Raw_Data!A253</f>
        <v/>
      </c>
      <c r="B253" s="29">
        <f>Raw_Data!B253</f>
        <v/>
      </c>
      <c r="C253">
        <f>YEAR(B253)</f>
        <v/>
      </c>
      <c r="D253">
        <f>MONTH(B253)</f>
        <v/>
      </c>
      <c r="E253">
        <f>TEXT(B253,"MMM-YYYY")</f>
        <v/>
      </c>
      <c r="F253">
        <f>Raw_Data!C253</f>
        <v/>
      </c>
      <c r="G253">
        <f>Raw_Data!D253</f>
        <v/>
      </c>
      <c r="H253">
        <f>Raw_Data!E253</f>
        <v/>
      </c>
      <c r="I253">
        <f>Raw_Data!F253</f>
        <v/>
      </c>
      <c r="J253">
        <f>Raw_Data!G253</f>
        <v/>
      </c>
      <c r="K253">
        <f>Raw_Data!H253</f>
        <v/>
      </c>
      <c r="L253" s="30">
        <f>Raw_Data!I253</f>
        <v/>
      </c>
      <c r="M253" s="31">
        <f>Raw_Data!J253</f>
        <v/>
      </c>
      <c r="N253" s="17">
        <f>K253*L253</f>
        <v/>
      </c>
      <c r="O253" s="17">
        <f>N253*(1-M253)</f>
        <v/>
      </c>
      <c r="P253" s="17">
        <f>Raw_Data!L253</f>
        <v/>
      </c>
      <c r="Q253" s="17">
        <f>O253-P253</f>
        <v/>
      </c>
      <c r="R253" s="31">
        <f>IF(O253=0,0,Q253/O253)</f>
        <v/>
      </c>
      <c r="S253">
        <f>XLOOKUP(F253,Lookups!$B$7:$B$11,Lookups!$C$7:$C$11,"Unknown")</f>
        <v/>
      </c>
      <c r="T253" s="31">
        <f>XLOOKUP(G253,Lookups!$E$7:$E$11,Lookups!$F$7:$F$11,0)</f>
        <v/>
      </c>
      <c r="U253" s="32">
        <f>R253-T253</f>
        <v/>
      </c>
      <c r="V253">
        <f>XLOOKUP(I253,Lookups!$H$7:$H$10,Lookups!$I$7:$I$10,"")</f>
        <v/>
      </c>
      <c r="W253">
        <f>IF(O253&gt;=50000,"HIGH VALUE","")</f>
        <v/>
      </c>
      <c r="X253">
        <f>IF(Q253&lt;0,"LOSS","")</f>
        <v/>
      </c>
      <c r="Y253">
        <f>IFS(M253&gt;=0.15,"Deep Discount",M253&gt;=0.1,"Moderate",TRUE,"Standard")</f>
        <v/>
      </c>
    </row>
    <row r="254">
      <c r="A254">
        <f>Raw_Data!A254</f>
        <v/>
      </c>
      <c r="B254" s="29">
        <f>Raw_Data!B254</f>
        <v/>
      </c>
      <c r="C254">
        <f>YEAR(B254)</f>
        <v/>
      </c>
      <c r="D254">
        <f>MONTH(B254)</f>
        <v/>
      </c>
      <c r="E254">
        <f>TEXT(B254,"MMM-YYYY")</f>
        <v/>
      </c>
      <c r="F254">
        <f>Raw_Data!C254</f>
        <v/>
      </c>
      <c r="G254">
        <f>Raw_Data!D254</f>
        <v/>
      </c>
      <c r="H254">
        <f>Raw_Data!E254</f>
        <v/>
      </c>
      <c r="I254">
        <f>Raw_Data!F254</f>
        <v/>
      </c>
      <c r="J254">
        <f>Raw_Data!G254</f>
        <v/>
      </c>
      <c r="K254">
        <f>Raw_Data!H254</f>
        <v/>
      </c>
      <c r="L254" s="30">
        <f>Raw_Data!I254</f>
        <v/>
      </c>
      <c r="M254" s="31">
        <f>Raw_Data!J254</f>
        <v/>
      </c>
      <c r="N254" s="17">
        <f>K254*L254</f>
        <v/>
      </c>
      <c r="O254" s="17">
        <f>N254*(1-M254)</f>
        <v/>
      </c>
      <c r="P254" s="17">
        <f>Raw_Data!L254</f>
        <v/>
      </c>
      <c r="Q254" s="17">
        <f>O254-P254</f>
        <v/>
      </c>
      <c r="R254" s="31">
        <f>IF(O254=0,0,Q254/O254)</f>
        <v/>
      </c>
      <c r="S254">
        <f>XLOOKUP(F254,Lookups!$B$7:$B$11,Lookups!$C$7:$C$11,"Unknown")</f>
        <v/>
      </c>
      <c r="T254" s="31">
        <f>XLOOKUP(G254,Lookups!$E$7:$E$11,Lookups!$F$7:$F$11,0)</f>
        <v/>
      </c>
      <c r="U254" s="32">
        <f>R254-T254</f>
        <v/>
      </c>
      <c r="V254">
        <f>XLOOKUP(I254,Lookups!$H$7:$H$10,Lookups!$I$7:$I$10,"")</f>
        <v/>
      </c>
      <c r="W254">
        <f>IF(O254&gt;=50000,"HIGH VALUE","")</f>
        <v/>
      </c>
      <c r="X254">
        <f>IF(Q254&lt;0,"LOSS","")</f>
        <v/>
      </c>
      <c r="Y254">
        <f>IFS(M254&gt;=0.15,"Deep Discount",M254&gt;=0.1,"Moderate",TRUE,"Standard")</f>
        <v/>
      </c>
    </row>
    <row r="255">
      <c r="A255">
        <f>Raw_Data!A255</f>
        <v/>
      </c>
      <c r="B255" s="29">
        <f>Raw_Data!B255</f>
        <v/>
      </c>
      <c r="C255">
        <f>YEAR(B255)</f>
        <v/>
      </c>
      <c r="D255">
        <f>MONTH(B255)</f>
        <v/>
      </c>
      <c r="E255">
        <f>TEXT(B255,"MMM-YYYY")</f>
        <v/>
      </c>
      <c r="F255">
        <f>Raw_Data!C255</f>
        <v/>
      </c>
      <c r="G255">
        <f>Raw_Data!D255</f>
        <v/>
      </c>
      <c r="H255">
        <f>Raw_Data!E255</f>
        <v/>
      </c>
      <c r="I255">
        <f>Raw_Data!F255</f>
        <v/>
      </c>
      <c r="J255">
        <f>Raw_Data!G255</f>
        <v/>
      </c>
      <c r="K255">
        <f>Raw_Data!H255</f>
        <v/>
      </c>
      <c r="L255" s="30">
        <f>Raw_Data!I255</f>
        <v/>
      </c>
      <c r="M255" s="31">
        <f>Raw_Data!J255</f>
        <v/>
      </c>
      <c r="N255" s="17">
        <f>K255*L255</f>
        <v/>
      </c>
      <c r="O255" s="17">
        <f>N255*(1-M255)</f>
        <v/>
      </c>
      <c r="P255" s="17">
        <f>Raw_Data!L255</f>
        <v/>
      </c>
      <c r="Q255" s="17">
        <f>O255-P255</f>
        <v/>
      </c>
      <c r="R255" s="31">
        <f>IF(O255=0,0,Q255/O255)</f>
        <v/>
      </c>
      <c r="S255">
        <f>XLOOKUP(F255,Lookups!$B$7:$B$11,Lookups!$C$7:$C$11,"Unknown")</f>
        <v/>
      </c>
      <c r="T255" s="31">
        <f>XLOOKUP(G255,Lookups!$E$7:$E$11,Lookups!$F$7:$F$11,0)</f>
        <v/>
      </c>
      <c r="U255" s="32">
        <f>R255-T255</f>
        <v/>
      </c>
      <c r="V255">
        <f>XLOOKUP(I255,Lookups!$H$7:$H$10,Lookups!$I$7:$I$10,"")</f>
        <v/>
      </c>
      <c r="W255">
        <f>IF(O255&gt;=50000,"HIGH VALUE","")</f>
        <v/>
      </c>
      <c r="X255">
        <f>IF(Q255&lt;0,"LOSS","")</f>
        <v/>
      </c>
      <c r="Y255">
        <f>IFS(M255&gt;=0.15,"Deep Discount",M255&gt;=0.1,"Moderate",TRUE,"Standard")</f>
        <v/>
      </c>
    </row>
    <row r="256">
      <c r="A256">
        <f>Raw_Data!A256</f>
        <v/>
      </c>
      <c r="B256" s="29">
        <f>Raw_Data!B256</f>
        <v/>
      </c>
      <c r="C256">
        <f>YEAR(B256)</f>
        <v/>
      </c>
      <c r="D256">
        <f>MONTH(B256)</f>
        <v/>
      </c>
      <c r="E256">
        <f>TEXT(B256,"MMM-YYYY")</f>
        <v/>
      </c>
      <c r="F256">
        <f>Raw_Data!C256</f>
        <v/>
      </c>
      <c r="G256">
        <f>Raw_Data!D256</f>
        <v/>
      </c>
      <c r="H256">
        <f>Raw_Data!E256</f>
        <v/>
      </c>
      <c r="I256">
        <f>Raw_Data!F256</f>
        <v/>
      </c>
      <c r="J256">
        <f>Raw_Data!G256</f>
        <v/>
      </c>
      <c r="K256">
        <f>Raw_Data!H256</f>
        <v/>
      </c>
      <c r="L256" s="30">
        <f>Raw_Data!I256</f>
        <v/>
      </c>
      <c r="M256" s="31">
        <f>Raw_Data!J256</f>
        <v/>
      </c>
      <c r="N256" s="17">
        <f>K256*L256</f>
        <v/>
      </c>
      <c r="O256" s="17">
        <f>N256*(1-M256)</f>
        <v/>
      </c>
      <c r="P256" s="17">
        <f>Raw_Data!L256</f>
        <v/>
      </c>
      <c r="Q256" s="17">
        <f>O256-P256</f>
        <v/>
      </c>
      <c r="R256" s="31">
        <f>IF(O256=0,0,Q256/O256)</f>
        <v/>
      </c>
      <c r="S256">
        <f>XLOOKUP(F256,Lookups!$B$7:$B$11,Lookups!$C$7:$C$11,"Unknown")</f>
        <v/>
      </c>
      <c r="T256" s="31">
        <f>XLOOKUP(G256,Lookups!$E$7:$E$11,Lookups!$F$7:$F$11,0)</f>
        <v/>
      </c>
      <c r="U256" s="32">
        <f>R256-T256</f>
        <v/>
      </c>
      <c r="V256">
        <f>XLOOKUP(I256,Lookups!$H$7:$H$10,Lookups!$I$7:$I$10,"")</f>
        <v/>
      </c>
      <c r="W256">
        <f>IF(O256&gt;=50000,"HIGH VALUE","")</f>
        <v/>
      </c>
      <c r="X256">
        <f>IF(Q256&lt;0,"LOSS","")</f>
        <v/>
      </c>
      <c r="Y256">
        <f>IFS(M256&gt;=0.15,"Deep Discount",M256&gt;=0.1,"Moderate",TRUE,"Standard")</f>
        <v/>
      </c>
    </row>
    <row r="257">
      <c r="A257">
        <f>Raw_Data!A257</f>
        <v/>
      </c>
      <c r="B257" s="29">
        <f>Raw_Data!B257</f>
        <v/>
      </c>
      <c r="C257">
        <f>YEAR(B257)</f>
        <v/>
      </c>
      <c r="D257">
        <f>MONTH(B257)</f>
        <v/>
      </c>
      <c r="E257">
        <f>TEXT(B257,"MMM-YYYY")</f>
        <v/>
      </c>
      <c r="F257">
        <f>Raw_Data!C257</f>
        <v/>
      </c>
      <c r="G257">
        <f>Raw_Data!D257</f>
        <v/>
      </c>
      <c r="H257">
        <f>Raw_Data!E257</f>
        <v/>
      </c>
      <c r="I257">
        <f>Raw_Data!F257</f>
        <v/>
      </c>
      <c r="J257">
        <f>Raw_Data!G257</f>
        <v/>
      </c>
      <c r="K257">
        <f>Raw_Data!H257</f>
        <v/>
      </c>
      <c r="L257" s="30">
        <f>Raw_Data!I257</f>
        <v/>
      </c>
      <c r="M257" s="31">
        <f>Raw_Data!J257</f>
        <v/>
      </c>
      <c r="N257" s="17">
        <f>K257*L257</f>
        <v/>
      </c>
      <c r="O257" s="17">
        <f>N257*(1-M257)</f>
        <v/>
      </c>
      <c r="P257" s="17">
        <f>Raw_Data!L257</f>
        <v/>
      </c>
      <c r="Q257" s="17">
        <f>O257-P257</f>
        <v/>
      </c>
      <c r="R257" s="31">
        <f>IF(O257=0,0,Q257/O257)</f>
        <v/>
      </c>
      <c r="S257">
        <f>XLOOKUP(F257,Lookups!$B$7:$B$11,Lookups!$C$7:$C$11,"Unknown")</f>
        <v/>
      </c>
      <c r="T257" s="31">
        <f>XLOOKUP(G257,Lookups!$E$7:$E$11,Lookups!$F$7:$F$11,0)</f>
        <v/>
      </c>
      <c r="U257" s="32">
        <f>R257-T257</f>
        <v/>
      </c>
      <c r="V257">
        <f>XLOOKUP(I257,Lookups!$H$7:$H$10,Lookups!$I$7:$I$10,"")</f>
        <v/>
      </c>
      <c r="W257">
        <f>IF(O257&gt;=50000,"HIGH VALUE","")</f>
        <v/>
      </c>
      <c r="X257">
        <f>IF(Q257&lt;0,"LOSS","")</f>
        <v/>
      </c>
      <c r="Y257">
        <f>IFS(M257&gt;=0.15,"Deep Discount",M257&gt;=0.1,"Moderate",TRUE,"Standard")</f>
        <v/>
      </c>
    </row>
    <row r="258">
      <c r="A258">
        <f>Raw_Data!A258</f>
        <v/>
      </c>
      <c r="B258" s="29">
        <f>Raw_Data!B258</f>
        <v/>
      </c>
      <c r="C258">
        <f>YEAR(B258)</f>
        <v/>
      </c>
      <c r="D258">
        <f>MONTH(B258)</f>
        <v/>
      </c>
      <c r="E258">
        <f>TEXT(B258,"MMM-YYYY")</f>
        <v/>
      </c>
      <c r="F258">
        <f>Raw_Data!C258</f>
        <v/>
      </c>
      <c r="G258">
        <f>Raw_Data!D258</f>
        <v/>
      </c>
      <c r="H258">
        <f>Raw_Data!E258</f>
        <v/>
      </c>
      <c r="I258">
        <f>Raw_Data!F258</f>
        <v/>
      </c>
      <c r="J258">
        <f>Raw_Data!G258</f>
        <v/>
      </c>
      <c r="K258">
        <f>Raw_Data!H258</f>
        <v/>
      </c>
      <c r="L258" s="30">
        <f>Raw_Data!I258</f>
        <v/>
      </c>
      <c r="M258" s="31">
        <f>Raw_Data!J258</f>
        <v/>
      </c>
      <c r="N258" s="17">
        <f>K258*L258</f>
        <v/>
      </c>
      <c r="O258" s="17">
        <f>N258*(1-M258)</f>
        <v/>
      </c>
      <c r="P258" s="17">
        <f>Raw_Data!L258</f>
        <v/>
      </c>
      <c r="Q258" s="17">
        <f>O258-P258</f>
        <v/>
      </c>
      <c r="R258" s="31">
        <f>IF(O258=0,0,Q258/O258)</f>
        <v/>
      </c>
      <c r="S258">
        <f>XLOOKUP(F258,Lookups!$B$7:$B$11,Lookups!$C$7:$C$11,"Unknown")</f>
        <v/>
      </c>
      <c r="T258" s="31">
        <f>XLOOKUP(G258,Lookups!$E$7:$E$11,Lookups!$F$7:$F$11,0)</f>
        <v/>
      </c>
      <c r="U258" s="32">
        <f>R258-T258</f>
        <v/>
      </c>
      <c r="V258">
        <f>XLOOKUP(I258,Lookups!$H$7:$H$10,Lookups!$I$7:$I$10,"")</f>
        <v/>
      </c>
      <c r="W258">
        <f>IF(O258&gt;=50000,"HIGH VALUE","")</f>
        <v/>
      </c>
      <c r="X258">
        <f>IF(Q258&lt;0,"LOSS","")</f>
        <v/>
      </c>
      <c r="Y258">
        <f>IFS(M258&gt;=0.15,"Deep Discount",M258&gt;=0.1,"Moderate",TRUE,"Standard")</f>
        <v/>
      </c>
    </row>
    <row r="259">
      <c r="A259">
        <f>Raw_Data!A259</f>
        <v/>
      </c>
      <c r="B259" s="29">
        <f>Raw_Data!B259</f>
        <v/>
      </c>
      <c r="C259">
        <f>YEAR(B259)</f>
        <v/>
      </c>
      <c r="D259">
        <f>MONTH(B259)</f>
        <v/>
      </c>
      <c r="E259">
        <f>TEXT(B259,"MMM-YYYY")</f>
        <v/>
      </c>
      <c r="F259">
        <f>Raw_Data!C259</f>
        <v/>
      </c>
      <c r="G259">
        <f>Raw_Data!D259</f>
        <v/>
      </c>
      <c r="H259">
        <f>Raw_Data!E259</f>
        <v/>
      </c>
      <c r="I259">
        <f>Raw_Data!F259</f>
        <v/>
      </c>
      <c r="J259">
        <f>Raw_Data!G259</f>
        <v/>
      </c>
      <c r="K259">
        <f>Raw_Data!H259</f>
        <v/>
      </c>
      <c r="L259" s="30">
        <f>Raw_Data!I259</f>
        <v/>
      </c>
      <c r="M259" s="31">
        <f>Raw_Data!J259</f>
        <v/>
      </c>
      <c r="N259" s="17">
        <f>K259*L259</f>
        <v/>
      </c>
      <c r="O259" s="17">
        <f>N259*(1-M259)</f>
        <v/>
      </c>
      <c r="P259" s="17">
        <f>Raw_Data!L259</f>
        <v/>
      </c>
      <c r="Q259" s="17">
        <f>O259-P259</f>
        <v/>
      </c>
      <c r="R259" s="31">
        <f>IF(O259=0,0,Q259/O259)</f>
        <v/>
      </c>
      <c r="S259">
        <f>XLOOKUP(F259,Lookups!$B$7:$B$11,Lookups!$C$7:$C$11,"Unknown")</f>
        <v/>
      </c>
      <c r="T259" s="31">
        <f>XLOOKUP(G259,Lookups!$E$7:$E$11,Lookups!$F$7:$F$11,0)</f>
        <v/>
      </c>
      <c r="U259" s="32">
        <f>R259-T259</f>
        <v/>
      </c>
      <c r="V259">
        <f>XLOOKUP(I259,Lookups!$H$7:$H$10,Lookups!$I$7:$I$10,"")</f>
        <v/>
      </c>
      <c r="W259">
        <f>IF(O259&gt;=50000,"HIGH VALUE","")</f>
        <v/>
      </c>
      <c r="X259">
        <f>IF(Q259&lt;0,"LOSS","")</f>
        <v/>
      </c>
      <c r="Y259">
        <f>IFS(M259&gt;=0.15,"Deep Discount",M259&gt;=0.1,"Moderate",TRUE,"Standard")</f>
        <v/>
      </c>
    </row>
    <row r="260">
      <c r="A260">
        <f>Raw_Data!A260</f>
        <v/>
      </c>
      <c r="B260" s="29">
        <f>Raw_Data!B260</f>
        <v/>
      </c>
      <c r="C260">
        <f>YEAR(B260)</f>
        <v/>
      </c>
      <c r="D260">
        <f>MONTH(B260)</f>
        <v/>
      </c>
      <c r="E260">
        <f>TEXT(B260,"MMM-YYYY")</f>
        <v/>
      </c>
      <c r="F260">
        <f>Raw_Data!C260</f>
        <v/>
      </c>
      <c r="G260">
        <f>Raw_Data!D260</f>
        <v/>
      </c>
      <c r="H260">
        <f>Raw_Data!E260</f>
        <v/>
      </c>
      <c r="I260">
        <f>Raw_Data!F260</f>
        <v/>
      </c>
      <c r="J260">
        <f>Raw_Data!G260</f>
        <v/>
      </c>
      <c r="K260">
        <f>Raw_Data!H260</f>
        <v/>
      </c>
      <c r="L260" s="30">
        <f>Raw_Data!I260</f>
        <v/>
      </c>
      <c r="M260" s="31">
        <f>Raw_Data!J260</f>
        <v/>
      </c>
      <c r="N260" s="17">
        <f>K260*L260</f>
        <v/>
      </c>
      <c r="O260" s="17">
        <f>N260*(1-M260)</f>
        <v/>
      </c>
      <c r="P260" s="17">
        <f>Raw_Data!L260</f>
        <v/>
      </c>
      <c r="Q260" s="17">
        <f>O260-P260</f>
        <v/>
      </c>
      <c r="R260" s="31">
        <f>IF(O260=0,0,Q260/O260)</f>
        <v/>
      </c>
      <c r="S260">
        <f>XLOOKUP(F260,Lookups!$B$7:$B$11,Lookups!$C$7:$C$11,"Unknown")</f>
        <v/>
      </c>
      <c r="T260" s="31">
        <f>XLOOKUP(G260,Lookups!$E$7:$E$11,Lookups!$F$7:$F$11,0)</f>
        <v/>
      </c>
      <c r="U260" s="32">
        <f>R260-T260</f>
        <v/>
      </c>
      <c r="V260">
        <f>XLOOKUP(I260,Lookups!$H$7:$H$10,Lookups!$I$7:$I$10,"")</f>
        <v/>
      </c>
      <c r="W260">
        <f>IF(O260&gt;=50000,"HIGH VALUE","")</f>
        <v/>
      </c>
      <c r="X260">
        <f>IF(Q260&lt;0,"LOSS","")</f>
        <v/>
      </c>
      <c r="Y260">
        <f>IFS(M260&gt;=0.15,"Deep Discount",M260&gt;=0.1,"Moderate",TRUE,"Standard")</f>
        <v/>
      </c>
    </row>
    <row r="261">
      <c r="A261">
        <f>Raw_Data!A261</f>
        <v/>
      </c>
      <c r="B261" s="29">
        <f>Raw_Data!B261</f>
        <v/>
      </c>
      <c r="C261">
        <f>YEAR(B261)</f>
        <v/>
      </c>
      <c r="D261">
        <f>MONTH(B261)</f>
        <v/>
      </c>
      <c r="E261">
        <f>TEXT(B261,"MMM-YYYY")</f>
        <v/>
      </c>
      <c r="F261">
        <f>Raw_Data!C261</f>
        <v/>
      </c>
      <c r="G261">
        <f>Raw_Data!D261</f>
        <v/>
      </c>
      <c r="H261">
        <f>Raw_Data!E261</f>
        <v/>
      </c>
      <c r="I261">
        <f>Raw_Data!F261</f>
        <v/>
      </c>
      <c r="J261">
        <f>Raw_Data!G261</f>
        <v/>
      </c>
      <c r="K261">
        <f>Raw_Data!H261</f>
        <v/>
      </c>
      <c r="L261" s="30">
        <f>Raw_Data!I261</f>
        <v/>
      </c>
      <c r="M261" s="31">
        <f>Raw_Data!J261</f>
        <v/>
      </c>
      <c r="N261" s="17">
        <f>K261*L261</f>
        <v/>
      </c>
      <c r="O261" s="17">
        <f>N261*(1-M261)</f>
        <v/>
      </c>
      <c r="P261" s="17">
        <f>Raw_Data!L261</f>
        <v/>
      </c>
      <c r="Q261" s="17">
        <f>O261-P261</f>
        <v/>
      </c>
      <c r="R261" s="31">
        <f>IF(O261=0,0,Q261/O261)</f>
        <v/>
      </c>
      <c r="S261">
        <f>XLOOKUP(F261,Lookups!$B$7:$B$11,Lookups!$C$7:$C$11,"Unknown")</f>
        <v/>
      </c>
      <c r="T261" s="31">
        <f>XLOOKUP(G261,Lookups!$E$7:$E$11,Lookups!$F$7:$F$11,0)</f>
        <v/>
      </c>
      <c r="U261" s="32">
        <f>R261-T261</f>
        <v/>
      </c>
      <c r="V261">
        <f>XLOOKUP(I261,Lookups!$H$7:$H$10,Lookups!$I$7:$I$10,"")</f>
        <v/>
      </c>
      <c r="W261">
        <f>IF(O261&gt;=50000,"HIGH VALUE","")</f>
        <v/>
      </c>
      <c r="X261">
        <f>IF(Q261&lt;0,"LOSS","")</f>
        <v/>
      </c>
      <c r="Y261">
        <f>IFS(M261&gt;=0.15,"Deep Discount",M261&gt;=0.1,"Moderate",TRUE,"Standard")</f>
        <v/>
      </c>
    </row>
    <row r="262">
      <c r="A262">
        <f>Raw_Data!A262</f>
        <v/>
      </c>
      <c r="B262" s="29">
        <f>Raw_Data!B262</f>
        <v/>
      </c>
      <c r="C262">
        <f>YEAR(B262)</f>
        <v/>
      </c>
      <c r="D262">
        <f>MONTH(B262)</f>
        <v/>
      </c>
      <c r="E262">
        <f>TEXT(B262,"MMM-YYYY")</f>
        <v/>
      </c>
      <c r="F262">
        <f>Raw_Data!C262</f>
        <v/>
      </c>
      <c r="G262">
        <f>Raw_Data!D262</f>
        <v/>
      </c>
      <c r="H262">
        <f>Raw_Data!E262</f>
        <v/>
      </c>
      <c r="I262">
        <f>Raw_Data!F262</f>
        <v/>
      </c>
      <c r="J262">
        <f>Raw_Data!G262</f>
        <v/>
      </c>
      <c r="K262">
        <f>Raw_Data!H262</f>
        <v/>
      </c>
      <c r="L262" s="30">
        <f>Raw_Data!I262</f>
        <v/>
      </c>
      <c r="M262" s="31">
        <f>Raw_Data!J262</f>
        <v/>
      </c>
      <c r="N262" s="17">
        <f>K262*L262</f>
        <v/>
      </c>
      <c r="O262" s="17">
        <f>N262*(1-M262)</f>
        <v/>
      </c>
      <c r="P262" s="17">
        <f>Raw_Data!L262</f>
        <v/>
      </c>
      <c r="Q262" s="17">
        <f>O262-P262</f>
        <v/>
      </c>
      <c r="R262" s="31">
        <f>IF(O262=0,0,Q262/O262)</f>
        <v/>
      </c>
      <c r="S262">
        <f>XLOOKUP(F262,Lookups!$B$7:$B$11,Lookups!$C$7:$C$11,"Unknown")</f>
        <v/>
      </c>
      <c r="T262" s="31">
        <f>XLOOKUP(G262,Lookups!$E$7:$E$11,Lookups!$F$7:$F$11,0)</f>
        <v/>
      </c>
      <c r="U262" s="32">
        <f>R262-T262</f>
        <v/>
      </c>
      <c r="V262">
        <f>XLOOKUP(I262,Lookups!$H$7:$H$10,Lookups!$I$7:$I$10,"")</f>
        <v/>
      </c>
      <c r="W262">
        <f>IF(O262&gt;=50000,"HIGH VALUE","")</f>
        <v/>
      </c>
      <c r="X262">
        <f>IF(Q262&lt;0,"LOSS","")</f>
        <v/>
      </c>
      <c r="Y262">
        <f>IFS(M262&gt;=0.15,"Deep Discount",M262&gt;=0.1,"Moderate",TRUE,"Standard")</f>
        <v/>
      </c>
    </row>
    <row r="263">
      <c r="A263">
        <f>Raw_Data!A263</f>
        <v/>
      </c>
      <c r="B263" s="29">
        <f>Raw_Data!B263</f>
        <v/>
      </c>
      <c r="C263">
        <f>YEAR(B263)</f>
        <v/>
      </c>
      <c r="D263">
        <f>MONTH(B263)</f>
        <v/>
      </c>
      <c r="E263">
        <f>TEXT(B263,"MMM-YYYY")</f>
        <v/>
      </c>
      <c r="F263">
        <f>Raw_Data!C263</f>
        <v/>
      </c>
      <c r="G263">
        <f>Raw_Data!D263</f>
        <v/>
      </c>
      <c r="H263">
        <f>Raw_Data!E263</f>
        <v/>
      </c>
      <c r="I263">
        <f>Raw_Data!F263</f>
        <v/>
      </c>
      <c r="J263">
        <f>Raw_Data!G263</f>
        <v/>
      </c>
      <c r="K263">
        <f>Raw_Data!H263</f>
        <v/>
      </c>
      <c r="L263" s="30">
        <f>Raw_Data!I263</f>
        <v/>
      </c>
      <c r="M263" s="31">
        <f>Raw_Data!J263</f>
        <v/>
      </c>
      <c r="N263" s="17">
        <f>K263*L263</f>
        <v/>
      </c>
      <c r="O263" s="17">
        <f>N263*(1-M263)</f>
        <v/>
      </c>
      <c r="P263" s="17">
        <f>Raw_Data!L263</f>
        <v/>
      </c>
      <c r="Q263" s="17">
        <f>O263-P263</f>
        <v/>
      </c>
      <c r="R263" s="31">
        <f>IF(O263=0,0,Q263/O263)</f>
        <v/>
      </c>
      <c r="S263">
        <f>XLOOKUP(F263,Lookups!$B$7:$B$11,Lookups!$C$7:$C$11,"Unknown")</f>
        <v/>
      </c>
      <c r="T263" s="31">
        <f>XLOOKUP(G263,Lookups!$E$7:$E$11,Lookups!$F$7:$F$11,0)</f>
        <v/>
      </c>
      <c r="U263" s="32">
        <f>R263-T263</f>
        <v/>
      </c>
      <c r="V263">
        <f>XLOOKUP(I263,Lookups!$H$7:$H$10,Lookups!$I$7:$I$10,"")</f>
        <v/>
      </c>
      <c r="W263">
        <f>IF(O263&gt;=50000,"HIGH VALUE","")</f>
        <v/>
      </c>
      <c r="X263">
        <f>IF(Q263&lt;0,"LOSS","")</f>
        <v/>
      </c>
      <c r="Y263">
        <f>IFS(M263&gt;=0.15,"Deep Discount",M263&gt;=0.1,"Moderate",TRUE,"Standard")</f>
        <v/>
      </c>
    </row>
    <row r="264">
      <c r="A264">
        <f>Raw_Data!A264</f>
        <v/>
      </c>
      <c r="B264" s="29">
        <f>Raw_Data!B264</f>
        <v/>
      </c>
      <c r="C264">
        <f>YEAR(B264)</f>
        <v/>
      </c>
      <c r="D264">
        <f>MONTH(B264)</f>
        <v/>
      </c>
      <c r="E264">
        <f>TEXT(B264,"MMM-YYYY")</f>
        <v/>
      </c>
      <c r="F264">
        <f>Raw_Data!C264</f>
        <v/>
      </c>
      <c r="G264">
        <f>Raw_Data!D264</f>
        <v/>
      </c>
      <c r="H264">
        <f>Raw_Data!E264</f>
        <v/>
      </c>
      <c r="I264">
        <f>Raw_Data!F264</f>
        <v/>
      </c>
      <c r="J264">
        <f>Raw_Data!G264</f>
        <v/>
      </c>
      <c r="K264">
        <f>Raw_Data!H264</f>
        <v/>
      </c>
      <c r="L264" s="30">
        <f>Raw_Data!I264</f>
        <v/>
      </c>
      <c r="M264" s="31">
        <f>Raw_Data!J264</f>
        <v/>
      </c>
      <c r="N264" s="17">
        <f>K264*L264</f>
        <v/>
      </c>
      <c r="O264" s="17">
        <f>N264*(1-M264)</f>
        <v/>
      </c>
      <c r="P264" s="17">
        <f>Raw_Data!L264</f>
        <v/>
      </c>
      <c r="Q264" s="17">
        <f>O264-P264</f>
        <v/>
      </c>
      <c r="R264" s="31">
        <f>IF(O264=0,0,Q264/O264)</f>
        <v/>
      </c>
      <c r="S264">
        <f>XLOOKUP(F264,Lookups!$B$7:$B$11,Lookups!$C$7:$C$11,"Unknown")</f>
        <v/>
      </c>
      <c r="T264" s="31">
        <f>XLOOKUP(G264,Lookups!$E$7:$E$11,Lookups!$F$7:$F$11,0)</f>
        <v/>
      </c>
      <c r="U264" s="32">
        <f>R264-T264</f>
        <v/>
      </c>
      <c r="V264">
        <f>XLOOKUP(I264,Lookups!$H$7:$H$10,Lookups!$I$7:$I$10,"")</f>
        <v/>
      </c>
      <c r="W264">
        <f>IF(O264&gt;=50000,"HIGH VALUE","")</f>
        <v/>
      </c>
      <c r="X264">
        <f>IF(Q264&lt;0,"LOSS","")</f>
        <v/>
      </c>
      <c r="Y264">
        <f>IFS(M264&gt;=0.15,"Deep Discount",M264&gt;=0.1,"Moderate",TRUE,"Standard")</f>
        <v/>
      </c>
    </row>
    <row r="265">
      <c r="A265">
        <f>Raw_Data!A265</f>
        <v/>
      </c>
      <c r="B265" s="29">
        <f>Raw_Data!B265</f>
        <v/>
      </c>
      <c r="C265">
        <f>YEAR(B265)</f>
        <v/>
      </c>
      <c r="D265">
        <f>MONTH(B265)</f>
        <v/>
      </c>
      <c r="E265">
        <f>TEXT(B265,"MMM-YYYY")</f>
        <v/>
      </c>
      <c r="F265">
        <f>Raw_Data!C265</f>
        <v/>
      </c>
      <c r="G265">
        <f>Raw_Data!D265</f>
        <v/>
      </c>
      <c r="H265">
        <f>Raw_Data!E265</f>
        <v/>
      </c>
      <c r="I265">
        <f>Raw_Data!F265</f>
        <v/>
      </c>
      <c r="J265">
        <f>Raw_Data!G265</f>
        <v/>
      </c>
      <c r="K265">
        <f>Raw_Data!H265</f>
        <v/>
      </c>
      <c r="L265" s="30">
        <f>Raw_Data!I265</f>
        <v/>
      </c>
      <c r="M265" s="31">
        <f>Raw_Data!J265</f>
        <v/>
      </c>
      <c r="N265" s="17">
        <f>K265*L265</f>
        <v/>
      </c>
      <c r="O265" s="17">
        <f>N265*(1-M265)</f>
        <v/>
      </c>
      <c r="P265" s="17">
        <f>Raw_Data!L265</f>
        <v/>
      </c>
      <c r="Q265" s="17">
        <f>O265-P265</f>
        <v/>
      </c>
      <c r="R265" s="31">
        <f>IF(O265=0,0,Q265/O265)</f>
        <v/>
      </c>
      <c r="S265">
        <f>XLOOKUP(F265,Lookups!$B$7:$B$11,Lookups!$C$7:$C$11,"Unknown")</f>
        <v/>
      </c>
      <c r="T265" s="31">
        <f>XLOOKUP(G265,Lookups!$E$7:$E$11,Lookups!$F$7:$F$11,0)</f>
        <v/>
      </c>
      <c r="U265" s="32">
        <f>R265-T265</f>
        <v/>
      </c>
      <c r="V265">
        <f>XLOOKUP(I265,Lookups!$H$7:$H$10,Lookups!$I$7:$I$10,"")</f>
        <v/>
      </c>
      <c r="W265">
        <f>IF(O265&gt;=50000,"HIGH VALUE","")</f>
        <v/>
      </c>
      <c r="X265">
        <f>IF(Q265&lt;0,"LOSS","")</f>
        <v/>
      </c>
      <c r="Y265">
        <f>IFS(M265&gt;=0.15,"Deep Discount",M265&gt;=0.1,"Moderate",TRUE,"Standard")</f>
        <v/>
      </c>
    </row>
    <row r="266">
      <c r="A266">
        <f>Raw_Data!A266</f>
        <v/>
      </c>
      <c r="B266" s="29">
        <f>Raw_Data!B266</f>
        <v/>
      </c>
      <c r="C266">
        <f>YEAR(B266)</f>
        <v/>
      </c>
      <c r="D266">
        <f>MONTH(B266)</f>
        <v/>
      </c>
      <c r="E266">
        <f>TEXT(B266,"MMM-YYYY")</f>
        <v/>
      </c>
      <c r="F266">
        <f>Raw_Data!C266</f>
        <v/>
      </c>
      <c r="G266">
        <f>Raw_Data!D266</f>
        <v/>
      </c>
      <c r="H266">
        <f>Raw_Data!E266</f>
        <v/>
      </c>
      <c r="I266">
        <f>Raw_Data!F266</f>
        <v/>
      </c>
      <c r="J266">
        <f>Raw_Data!G266</f>
        <v/>
      </c>
      <c r="K266">
        <f>Raw_Data!H266</f>
        <v/>
      </c>
      <c r="L266" s="30">
        <f>Raw_Data!I266</f>
        <v/>
      </c>
      <c r="M266" s="31">
        <f>Raw_Data!J266</f>
        <v/>
      </c>
      <c r="N266" s="17">
        <f>K266*L266</f>
        <v/>
      </c>
      <c r="O266" s="17">
        <f>N266*(1-M266)</f>
        <v/>
      </c>
      <c r="P266" s="17">
        <f>Raw_Data!L266</f>
        <v/>
      </c>
      <c r="Q266" s="17">
        <f>O266-P266</f>
        <v/>
      </c>
      <c r="R266" s="31">
        <f>IF(O266=0,0,Q266/O266)</f>
        <v/>
      </c>
      <c r="S266">
        <f>XLOOKUP(F266,Lookups!$B$7:$B$11,Lookups!$C$7:$C$11,"Unknown")</f>
        <v/>
      </c>
      <c r="T266" s="31">
        <f>XLOOKUP(G266,Lookups!$E$7:$E$11,Lookups!$F$7:$F$11,0)</f>
        <v/>
      </c>
      <c r="U266" s="32">
        <f>R266-T266</f>
        <v/>
      </c>
      <c r="V266">
        <f>XLOOKUP(I266,Lookups!$H$7:$H$10,Lookups!$I$7:$I$10,"")</f>
        <v/>
      </c>
      <c r="W266">
        <f>IF(O266&gt;=50000,"HIGH VALUE","")</f>
        <v/>
      </c>
      <c r="X266">
        <f>IF(Q266&lt;0,"LOSS","")</f>
        <v/>
      </c>
      <c r="Y266">
        <f>IFS(M266&gt;=0.15,"Deep Discount",M266&gt;=0.1,"Moderate",TRUE,"Standard")</f>
        <v/>
      </c>
    </row>
    <row r="267">
      <c r="A267">
        <f>Raw_Data!A267</f>
        <v/>
      </c>
      <c r="B267" s="29">
        <f>Raw_Data!B267</f>
        <v/>
      </c>
      <c r="C267">
        <f>YEAR(B267)</f>
        <v/>
      </c>
      <c r="D267">
        <f>MONTH(B267)</f>
        <v/>
      </c>
      <c r="E267">
        <f>TEXT(B267,"MMM-YYYY")</f>
        <v/>
      </c>
      <c r="F267">
        <f>Raw_Data!C267</f>
        <v/>
      </c>
      <c r="G267">
        <f>Raw_Data!D267</f>
        <v/>
      </c>
      <c r="H267">
        <f>Raw_Data!E267</f>
        <v/>
      </c>
      <c r="I267">
        <f>Raw_Data!F267</f>
        <v/>
      </c>
      <c r="J267">
        <f>Raw_Data!G267</f>
        <v/>
      </c>
      <c r="K267">
        <f>Raw_Data!H267</f>
        <v/>
      </c>
      <c r="L267" s="30">
        <f>Raw_Data!I267</f>
        <v/>
      </c>
      <c r="M267" s="31">
        <f>Raw_Data!J267</f>
        <v/>
      </c>
      <c r="N267" s="17">
        <f>K267*L267</f>
        <v/>
      </c>
      <c r="O267" s="17">
        <f>N267*(1-M267)</f>
        <v/>
      </c>
      <c r="P267" s="17">
        <f>Raw_Data!L267</f>
        <v/>
      </c>
      <c r="Q267" s="17">
        <f>O267-P267</f>
        <v/>
      </c>
      <c r="R267" s="31">
        <f>IF(O267=0,0,Q267/O267)</f>
        <v/>
      </c>
      <c r="S267">
        <f>XLOOKUP(F267,Lookups!$B$7:$B$11,Lookups!$C$7:$C$11,"Unknown")</f>
        <v/>
      </c>
      <c r="T267" s="31">
        <f>XLOOKUP(G267,Lookups!$E$7:$E$11,Lookups!$F$7:$F$11,0)</f>
        <v/>
      </c>
      <c r="U267" s="32">
        <f>R267-T267</f>
        <v/>
      </c>
      <c r="V267">
        <f>XLOOKUP(I267,Lookups!$H$7:$H$10,Lookups!$I$7:$I$10,"")</f>
        <v/>
      </c>
      <c r="W267">
        <f>IF(O267&gt;=50000,"HIGH VALUE","")</f>
        <v/>
      </c>
      <c r="X267">
        <f>IF(Q267&lt;0,"LOSS","")</f>
        <v/>
      </c>
      <c r="Y267">
        <f>IFS(M267&gt;=0.15,"Deep Discount",M267&gt;=0.1,"Moderate",TRUE,"Standard")</f>
        <v/>
      </c>
    </row>
    <row r="268">
      <c r="A268">
        <f>Raw_Data!A268</f>
        <v/>
      </c>
      <c r="B268" s="29">
        <f>Raw_Data!B268</f>
        <v/>
      </c>
      <c r="C268">
        <f>YEAR(B268)</f>
        <v/>
      </c>
      <c r="D268">
        <f>MONTH(B268)</f>
        <v/>
      </c>
      <c r="E268">
        <f>TEXT(B268,"MMM-YYYY")</f>
        <v/>
      </c>
      <c r="F268">
        <f>Raw_Data!C268</f>
        <v/>
      </c>
      <c r="G268">
        <f>Raw_Data!D268</f>
        <v/>
      </c>
      <c r="H268">
        <f>Raw_Data!E268</f>
        <v/>
      </c>
      <c r="I268">
        <f>Raw_Data!F268</f>
        <v/>
      </c>
      <c r="J268">
        <f>Raw_Data!G268</f>
        <v/>
      </c>
      <c r="K268">
        <f>Raw_Data!H268</f>
        <v/>
      </c>
      <c r="L268" s="30">
        <f>Raw_Data!I268</f>
        <v/>
      </c>
      <c r="M268" s="31">
        <f>Raw_Data!J268</f>
        <v/>
      </c>
      <c r="N268" s="17">
        <f>K268*L268</f>
        <v/>
      </c>
      <c r="O268" s="17">
        <f>N268*(1-M268)</f>
        <v/>
      </c>
      <c r="P268" s="17">
        <f>Raw_Data!L268</f>
        <v/>
      </c>
      <c r="Q268" s="17">
        <f>O268-P268</f>
        <v/>
      </c>
      <c r="R268" s="31">
        <f>IF(O268=0,0,Q268/O268)</f>
        <v/>
      </c>
      <c r="S268">
        <f>XLOOKUP(F268,Lookups!$B$7:$B$11,Lookups!$C$7:$C$11,"Unknown")</f>
        <v/>
      </c>
      <c r="T268" s="31">
        <f>XLOOKUP(G268,Lookups!$E$7:$E$11,Lookups!$F$7:$F$11,0)</f>
        <v/>
      </c>
      <c r="U268" s="32">
        <f>R268-T268</f>
        <v/>
      </c>
      <c r="V268">
        <f>XLOOKUP(I268,Lookups!$H$7:$H$10,Lookups!$I$7:$I$10,"")</f>
        <v/>
      </c>
      <c r="W268">
        <f>IF(O268&gt;=50000,"HIGH VALUE","")</f>
        <v/>
      </c>
      <c r="X268">
        <f>IF(Q268&lt;0,"LOSS","")</f>
        <v/>
      </c>
      <c r="Y268">
        <f>IFS(M268&gt;=0.15,"Deep Discount",M268&gt;=0.1,"Moderate",TRUE,"Standard")</f>
        <v/>
      </c>
    </row>
    <row r="269">
      <c r="A269">
        <f>Raw_Data!A269</f>
        <v/>
      </c>
      <c r="B269" s="29">
        <f>Raw_Data!B269</f>
        <v/>
      </c>
      <c r="C269">
        <f>YEAR(B269)</f>
        <v/>
      </c>
      <c r="D269">
        <f>MONTH(B269)</f>
        <v/>
      </c>
      <c r="E269">
        <f>TEXT(B269,"MMM-YYYY")</f>
        <v/>
      </c>
      <c r="F269">
        <f>Raw_Data!C269</f>
        <v/>
      </c>
      <c r="G269">
        <f>Raw_Data!D269</f>
        <v/>
      </c>
      <c r="H269">
        <f>Raw_Data!E269</f>
        <v/>
      </c>
      <c r="I269">
        <f>Raw_Data!F269</f>
        <v/>
      </c>
      <c r="J269">
        <f>Raw_Data!G269</f>
        <v/>
      </c>
      <c r="K269">
        <f>Raw_Data!H269</f>
        <v/>
      </c>
      <c r="L269" s="30">
        <f>Raw_Data!I269</f>
        <v/>
      </c>
      <c r="M269" s="31">
        <f>Raw_Data!J269</f>
        <v/>
      </c>
      <c r="N269" s="17">
        <f>K269*L269</f>
        <v/>
      </c>
      <c r="O269" s="17">
        <f>N269*(1-M269)</f>
        <v/>
      </c>
      <c r="P269" s="17">
        <f>Raw_Data!L269</f>
        <v/>
      </c>
      <c r="Q269" s="17">
        <f>O269-P269</f>
        <v/>
      </c>
      <c r="R269" s="31">
        <f>IF(O269=0,0,Q269/O269)</f>
        <v/>
      </c>
      <c r="S269">
        <f>XLOOKUP(F269,Lookups!$B$7:$B$11,Lookups!$C$7:$C$11,"Unknown")</f>
        <v/>
      </c>
      <c r="T269" s="31">
        <f>XLOOKUP(G269,Lookups!$E$7:$E$11,Lookups!$F$7:$F$11,0)</f>
        <v/>
      </c>
      <c r="U269" s="32">
        <f>R269-T269</f>
        <v/>
      </c>
      <c r="V269">
        <f>XLOOKUP(I269,Lookups!$H$7:$H$10,Lookups!$I$7:$I$10,"")</f>
        <v/>
      </c>
      <c r="W269">
        <f>IF(O269&gt;=50000,"HIGH VALUE","")</f>
        <v/>
      </c>
      <c r="X269">
        <f>IF(Q269&lt;0,"LOSS","")</f>
        <v/>
      </c>
      <c r="Y269">
        <f>IFS(M269&gt;=0.15,"Deep Discount",M269&gt;=0.1,"Moderate",TRUE,"Standard")</f>
        <v/>
      </c>
    </row>
    <row r="270">
      <c r="A270">
        <f>Raw_Data!A270</f>
        <v/>
      </c>
      <c r="B270" s="29">
        <f>Raw_Data!B270</f>
        <v/>
      </c>
      <c r="C270">
        <f>YEAR(B270)</f>
        <v/>
      </c>
      <c r="D270">
        <f>MONTH(B270)</f>
        <v/>
      </c>
      <c r="E270">
        <f>TEXT(B270,"MMM-YYYY")</f>
        <v/>
      </c>
      <c r="F270">
        <f>Raw_Data!C270</f>
        <v/>
      </c>
      <c r="G270">
        <f>Raw_Data!D270</f>
        <v/>
      </c>
      <c r="H270">
        <f>Raw_Data!E270</f>
        <v/>
      </c>
      <c r="I270">
        <f>Raw_Data!F270</f>
        <v/>
      </c>
      <c r="J270">
        <f>Raw_Data!G270</f>
        <v/>
      </c>
      <c r="K270">
        <f>Raw_Data!H270</f>
        <v/>
      </c>
      <c r="L270" s="30">
        <f>Raw_Data!I270</f>
        <v/>
      </c>
      <c r="M270" s="31">
        <f>Raw_Data!J270</f>
        <v/>
      </c>
      <c r="N270" s="17">
        <f>K270*L270</f>
        <v/>
      </c>
      <c r="O270" s="17">
        <f>N270*(1-M270)</f>
        <v/>
      </c>
      <c r="P270" s="17">
        <f>Raw_Data!L270</f>
        <v/>
      </c>
      <c r="Q270" s="17">
        <f>O270-P270</f>
        <v/>
      </c>
      <c r="R270" s="31">
        <f>IF(O270=0,0,Q270/O270)</f>
        <v/>
      </c>
      <c r="S270">
        <f>XLOOKUP(F270,Lookups!$B$7:$B$11,Lookups!$C$7:$C$11,"Unknown")</f>
        <v/>
      </c>
      <c r="T270" s="31">
        <f>XLOOKUP(G270,Lookups!$E$7:$E$11,Lookups!$F$7:$F$11,0)</f>
        <v/>
      </c>
      <c r="U270" s="32">
        <f>R270-T270</f>
        <v/>
      </c>
      <c r="V270">
        <f>XLOOKUP(I270,Lookups!$H$7:$H$10,Lookups!$I$7:$I$10,"")</f>
        <v/>
      </c>
      <c r="W270">
        <f>IF(O270&gt;=50000,"HIGH VALUE","")</f>
        <v/>
      </c>
      <c r="X270">
        <f>IF(Q270&lt;0,"LOSS","")</f>
        <v/>
      </c>
      <c r="Y270">
        <f>IFS(M270&gt;=0.15,"Deep Discount",M270&gt;=0.1,"Moderate",TRUE,"Standard")</f>
        <v/>
      </c>
    </row>
    <row r="271">
      <c r="A271">
        <f>Raw_Data!A271</f>
        <v/>
      </c>
      <c r="B271" s="29">
        <f>Raw_Data!B271</f>
        <v/>
      </c>
      <c r="C271">
        <f>YEAR(B271)</f>
        <v/>
      </c>
      <c r="D271">
        <f>MONTH(B271)</f>
        <v/>
      </c>
      <c r="E271">
        <f>TEXT(B271,"MMM-YYYY")</f>
        <v/>
      </c>
      <c r="F271">
        <f>Raw_Data!C271</f>
        <v/>
      </c>
      <c r="G271">
        <f>Raw_Data!D271</f>
        <v/>
      </c>
      <c r="H271">
        <f>Raw_Data!E271</f>
        <v/>
      </c>
      <c r="I271">
        <f>Raw_Data!F271</f>
        <v/>
      </c>
      <c r="J271">
        <f>Raw_Data!G271</f>
        <v/>
      </c>
      <c r="K271">
        <f>Raw_Data!H271</f>
        <v/>
      </c>
      <c r="L271" s="30">
        <f>Raw_Data!I271</f>
        <v/>
      </c>
      <c r="M271" s="31">
        <f>Raw_Data!J271</f>
        <v/>
      </c>
      <c r="N271" s="17">
        <f>K271*L271</f>
        <v/>
      </c>
      <c r="O271" s="17">
        <f>N271*(1-M271)</f>
        <v/>
      </c>
      <c r="P271" s="17">
        <f>Raw_Data!L271</f>
        <v/>
      </c>
      <c r="Q271" s="17">
        <f>O271-P271</f>
        <v/>
      </c>
      <c r="R271" s="31">
        <f>IF(O271=0,0,Q271/O271)</f>
        <v/>
      </c>
      <c r="S271">
        <f>XLOOKUP(F271,Lookups!$B$7:$B$11,Lookups!$C$7:$C$11,"Unknown")</f>
        <v/>
      </c>
      <c r="T271" s="31">
        <f>XLOOKUP(G271,Lookups!$E$7:$E$11,Lookups!$F$7:$F$11,0)</f>
        <v/>
      </c>
      <c r="U271" s="32">
        <f>R271-T271</f>
        <v/>
      </c>
      <c r="V271">
        <f>XLOOKUP(I271,Lookups!$H$7:$H$10,Lookups!$I$7:$I$10,"")</f>
        <v/>
      </c>
      <c r="W271">
        <f>IF(O271&gt;=50000,"HIGH VALUE","")</f>
        <v/>
      </c>
      <c r="X271">
        <f>IF(Q271&lt;0,"LOSS","")</f>
        <v/>
      </c>
      <c r="Y271">
        <f>IFS(M271&gt;=0.15,"Deep Discount",M271&gt;=0.1,"Moderate",TRUE,"Standard")</f>
        <v/>
      </c>
    </row>
    <row r="272">
      <c r="A272">
        <f>Raw_Data!A272</f>
        <v/>
      </c>
      <c r="B272" s="29">
        <f>Raw_Data!B272</f>
        <v/>
      </c>
      <c r="C272">
        <f>YEAR(B272)</f>
        <v/>
      </c>
      <c r="D272">
        <f>MONTH(B272)</f>
        <v/>
      </c>
      <c r="E272">
        <f>TEXT(B272,"MMM-YYYY")</f>
        <v/>
      </c>
      <c r="F272">
        <f>Raw_Data!C272</f>
        <v/>
      </c>
      <c r="G272">
        <f>Raw_Data!D272</f>
        <v/>
      </c>
      <c r="H272">
        <f>Raw_Data!E272</f>
        <v/>
      </c>
      <c r="I272">
        <f>Raw_Data!F272</f>
        <v/>
      </c>
      <c r="J272">
        <f>Raw_Data!G272</f>
        <v/>
      </c>
      <c r="K272">
        <f>Raw_Data!H272</f>
        <v/>
      </c>
      <c r="L272" s="30">
        <f>Raw_Data!I272</f>
        <v/>
      </c>
      <c r="M272" s="31">
        <f>Raw_Data!J272</f>
        <v/>
      </c>
      <c r="N272" s="17">
        <f>K272*L272</f>
        <v/>
      </c>
      <c r="O272" s="17">
        <f>N272*(1-M272)</f>
        <v/>
      </c>
      <c r="P272" s="17">
        <f>Raw_Data!L272</f>
        <v/>
      </c>
      <c r="Q272" s="17">
        <f>O272-P272</f>
        <v/>
      </c>
      <c r="R272" s="31">
        <f>IF(O272=0,0,Q272/O272)</f>
        <v/>
      </c>
      <c r="S272">
        <f>XLOOKUP(F272,Lookups!$B$7:$B$11,Lookups!$C$7:$C$11,"Unknown")</f>
        <v/>
      </c>
      <c r="T272" s="31">
        <f>XLOOKUP(G272,Lookups!$E$7:$E$11,Lookups!$F$7:$F$11,0)</f>
        <v/>
      </c>
      <c r="U272" s="32">
        <f>R272-T272</f>
        <v/>
      </c>
      <c r="V272">
        <f>XLOOKUP(I272,Lookups!$H$7:$H$10,Lookups!$I$7:$I$10,"")</f>
        <v/>
      </c>
      <c r="W272">
        <f>IF(O272&gt;=50000,"HIGH VALUE","")</f>
        <v/>
      </c>
      <c r="X272">
        <f>IF(Q272&lt;0,"LOSS","")</f>
        <v/>
      </c>
      <c r="Y272">
        <f>IFS(M272&gt;=0.15,"Deep Discount",M272&gt;=0.1,"Moderate",TRUE,"Standard")</f>
        <v/>
      </c>
    </row>
    <row r="273">
      <c r="A273">
        <f>Raw_Data!A273</f>
        <v/>
      </c>
      <c r="B273" s="29">
        <f>Raw_Data!B273</f>
        <v/>
      </c>
      <c r="C273">
        <f>YEAR(B273)</f>
        <v/>
      </c>
      <c r="D273">
        <f>MONTH(B273)</f>
        <v/>
      </c>
      <c r="E273">
        <f>TEXT(B273,"MMM-YYYY")</f>
        <v/>
      </c>
      <c r="F273">
        <f>Raw_Data!C273</f>
        <v/>
      </c>
      <c r="G273">
        <f>Raw_Data!D273</f>
        <v/>
      </c>
      <c r="H273">
        <f>Raw_Data!E273</f>
        <v/>
      </c>
      <c r="I273">
        <f>Raw_Data!F273</f>
        <v/>
      </c>
      <c r="J273">
        <f>Raw_Data!G273</f>
        <v/>
      </c>
      <c r="K273">
        <f>Raw_Data!H273</f>
        <v/>
      </c>
      <c r="L273" s="30">
        <f>Raw_Data!I273</f>
        <v/>
      </c>
      <c r="M273" s="31">
        <f>Raw_Data!J273</f>
        <v/>
      </c>
      <c r="N273" s="17">
        <f>K273*L273</f>
        <v/>
      </c>
      <c r="O273" s="17">
        <f>N273*(1-M273)</f>
        <v/>
      </c>
      <c r="P273" s="17">
        <f>Raw_Data!L273</f>
        <v/>
      </c>
      <c r="Q273" s="17">
        <f>O273-P273</f>
        <v/>
      </c>
      <c r="R273" s="31">
        <f>IF(O273=0,0,Q273/O273)</f>
        <v/>
      </c>
      <c r="S273">
        <f>XLOOKUP(F273,Lookups!$B$7:$B$11,Lookups!$C$7:$C$11,"Unknown")</f>
        <v/>
      </c>
      <c r="T273" s="31">
        <f>XLOOKUP(G273,Lookups!$E$7:$E$11,Lookups!$F$7:$F$11,0)</f>
        <v/>
      </c>
      <c r="U273" s="32">
        <f>R273-T273</f>
        <v/>
      </c>
      <c r="V273">
        <f>XLOOKUP(I273,Lookups!$H$7:$H$10,Lookups!$I$7:$I$10,"")</f>
        <v/>
      </c>
      <c r="W273">
        <f>IF(O273&gt;=50000,"HIGH VALUE","")</f>
        <v/>
      </c>
      <c r="X273">
        <f>IF(Q273&lt;0,"LOSS","")</f>
        <v/>
      </c>
      <c r="Y273">
        <f>IFS(M273&gt;=0.15,"Deep Discount",M273&gt;=0.1,"Moderate",TRUE,"Standard")</f>
        <v/>
      </c>
    </row>
    <row r="274">
      <c r="A274">
        <f>Raw_Data!A274</f>
        <v/>
      </c>
      <c r="B274" s="29">
        <f>Raw_Data!B274</f>
        <v/>
      </c>
      <c r="C274">
        <f>YEAR(B274)</f>
        <v/>
      </c>
      <c r="D274">
        <f>MONTH(B274)</f>
        <v/>
      </c>
      <c r="E274">
        <f>TEXT(B274,"MMM-YYYY")</f>
        <v/>
      </c>
      <c r="F274">
        <f>Raw_Data!C274</f>
        <v/>
      </c>
      <c r="G274">
        <f>Raw_Data!D274</f>
        <v/>
      </c>
      <c r="H274">
        <f>Raw_Data!E274</f>
        <v/>
      </c>
      <c r="I274">
        <f>Raw_Data!F274</f>
        <v/>
      </c>
      <c r="J274">
        <f>Raw_Data!G274</f>
        <v/>
      </c>
      <c r="K274">
        <f>Raw_Data!H274</f>
        <v/>
      </c>
      <c r="L274" s="30">
        <f>Raw_Data!I274</f>
        <v/>
      </c>
      <c r="M274" s="31">
        <f>Raw_Data!J274</f>
        <v/>
      </c>
      <c r="N274" s="17">
        <f>K274*L274</f>
        <v/>
      </c>
      <c r="O274" s="17">
        <f>N274*(1-M274)</f>
        <v/>
      </c>
      <c r="P274" s="17">
        <f>Raw_Data!L274</f>
        <v/>
      </c>
      <c r="Q274" s="17">
        <f>O274-P274</f>
        <v/>
      </c>
      <c r="R274" s="31">
        <f>IF(O274=0,0,Q274/O274)</f>
        <v/>
      </c>
      <c r="S274">
        <f>XLOOKUP(F274,Lookups!$B$7:$B$11,Lookups!$C$7:$C$11,"Unknown")</f>
        <v/>
      </c>
      <c r="T274" s="31">
        <f>XLOOKUP(G274,Lookups!$E$7:$E$11,Lookups!$F$7:$F$11,0)</f>
        <v/>
      </c>
      <c r="U274" s="32">
        <f>R274-T274</f>
        <v/>
      </c>
      <c r="V274">
        <f>XLOOKUP(I274,Lookups!$H$7:$H$10,Lookups!$I$7:$I$10,"")</f>
        <v/>
      </c>
      <c r="W274">
        <f>IF(O274&gt;=50000,"HIGH VALUE","")</f>
        <v/>
      </c>
      <c r="X274">
        <f>IF(Q274&lt;0,"LOSS","")</f>
        <v/>
      </c>
      <c r="Y274">
        <f>IFS(M274&gt;=0.15,"Deep Discount",M274&gt;=0.1,"Moderate",TRUE,"Standard")</f>
        <v/>
      </c>
    </row>
    <row r="275">
      <c r="A275">
        <f>Raw_Data!A275</f>
        <v/>
      </c>
      <c r="B275" s="29">
        <f>Raw_Data!B275</f>
        <v/>
      </c>
      <c r="C275">
        <f>YEAR(B275)</f>
        <v/>
      </c>
      <c r="D275">
        <f>MONTH(B275)</f>
        <v/>
      </c>
      <c r="E275">
        <f>TEXT(B275,"MMM-YYYY")</f>
        <v/>
      </c>
      <c r="F275">
        <f>Raw_Data!C275</f>
        <v/>
      </c>
      <c r="G275">
        <f>Raw_Data!D275</f>
        <v/>
      </c>
      <c r="H275">
        <f>Raw_Data!E275</f>
        <v/>
      </c>
      <c r="I275">
        <f>Raw_Data!F275</f>
        <v/>
      </c>
      <c r="J275">
        <f>Raw_Data!G275</f>
        <v/>
      </c>
      <c r="K275">
        <f>Raw_Data!H275</f>
        <v/>
      </c>
      <c r="L275" s="30">
        <f>Raw_Data!I275</f>
        <v/>
      </c>
      <c r="M275" s="31">
        <f>Raw_Data!J275</f>
        <v/>
      </c>
      <c r="N275" s="17">
        <f>K275*L275</f>
        <v/>
      </c>
      <c r="O275" s="17">
        <f>N275*(1-M275)</f>
        <v/>
      </c>
      <c r="P275" s="17">
        <f>Raw_Data!L275</f>
        <v/>
      </c>
      <c r="Q275" s="17">
        <f>O275-P275</f>
        <v/>
      </c>
      <c r="R275" s="31">
        <f>IF(O275=0,0,Q275/O275)</f>
        <v/>
      </c>
      <c r="S275">
        <f>XLOOKUP(F275,Lookups!$B$7:$B$11,Lookups!$C$7:$C$11,"Unknown")</f>
        <v/>
      </c>
      <c r="T275" s="31">
        <f>XLOOKUP(G275,Lookups!$E$7:$E$11,Lookups!$F$7:$F$11,0)</f>
        <v/>
      </c>
      <c r="U275" s="32">
        <f>R275-T275</f>
        <v/>
      </c>
      <c r="V275">
        <f>XLOOKUP(I275,Lookups!$H$7:$H$10,Lookups!$I$7:$I$10,"")</f>
        <v/>
      </c>
      <c r="W275">
        <f>IF(O275&gt;=50000,"HIGH VALUE","")</f>
        <v/>
      </c>
      <c r="X275">
        <f>IF(Q275&lt;0,"LOSS","")</f>
        <v/>
      </c>
      <c r="Y275">
        <f>IFS(M275&gt;=0.15,"Deep Discount",M275&gt;=0.1,"Moderate",TRUE,"Standard")</f>
        <v/>
      </c>
    </row>
    <row r="276">
      <c r="A276">
        <f>Raw_Data!A276</f>
        <v/>
      </c>
      <c r="B276" s="29">
        <f>Raw_Data!B276</f>
        <v/>
      </c>
      <c r="C276">
        <f>YEAR(B276)</f>
        <v/>
      </c>
      <c r="D276">
        <f>MONTH(B276)</f>
        <v/>
      </c>
      <c r="E276">
        <f>TEXT(B276,"MMM-YYYY")</f>
        <v/>
      </c>
      <c r="F276">
        <f>Raw_Data!C276</f>
        <v/>
      </c>
      <c r="G276">
        <f>Raw_Data!D276</f>
        <v/>
      </c>
      <c r="H276">
        <f>Raw_Data!E276</f>
        <v/>
      </c>
      <c r="I276">
        <f>Raw_Data!F276</f>
        <v/>
      </c>
      <c r="J276">
        <f>Raw_Data!G276</f>
        <v/>
      </c>
      <c r="K276">
        <f>Raw_Data!H276</f>
        <v/>
      </c>
      <c r="L276" s="30">
        <f>Raw_Data!I276</f>
        <v/>
      </c>
      <c r="M276" s="31">
        <f>Raw_Data!J276</f>
        <v/>
      </c>
      <c r="N276" s="17">
        <f>K276*L276</f>
        <v/>
      </c>
      <c r="O276" s="17">
        <f>N276*(1-M276)</f>
        <v/>
      </c>
      <c r="P276" s="17">
        <f>Raw_Data!L276</f>
        <v/>
      </c>
      <c r="Q276" s="17">
        <f>O276-P276</f>
        <v/>
      </c>
      <c r="R276" s="31">
        <f>IF(O276=0,0,Q276/O276)</f>
        <v/>
      </c>
      <c r="S276">
        <f>XLOOKUP(F276,Lookups!$B$7:$B$11,Lookups!$C$7:$C$11,"Unknown")</f>
        <v/>
      </c>
      <c r="T276" s="31">
        <f>XLOOKUP(G276,Lookups!$E$7:$E$11,Lookups!$F$7:$F$11,0)</f>
        <v/>
      </c>
      <c r="U276" s="32">
        <f>R276-T276</f>
        <v/>
      </c>
      <c r="V276">
        <f>XLOOKUP(I276,Lookups!$H$7:$H$10,Lookups!$I$7:$I$10,"")</f>
        <v/>
      </c>
      <c r="W276">
        <f>IF(O276&gt;=50000,"HIGH VALUE","")</f>
        <v/>
      </c>
      <c r="X276">
        <f>IF(Q276&lt;0,"LOSS","")</f>
        <v/>
      </c>
      <c r="Y276">
        <f>IFS(M276&gt;=0.15,"Deep Discount",M276&gt;=0.1,"Moderate",TRUE,"Standard")</f>
        <v/>
      </c>
    </row>
    <row r="277">
      <c r="A277">
        <f>Raw_Data!A277</f>
        <v/>
      </c>
      <c r="B277" s="29">
        <f>Raw_Data!B277</f>
        <v/>
      </c>
      <c r="C277">
        <f>YEAR(B277)</f>
        <v/>
      </c>
      <c r="D277">
        <f>MONTH(B277)</f>
        <v/>
      </c>
      <c r="E277">
        <f>TEXT(B277,"MMM-YYYY")</f>
        <v/>
      </c>
      <c r="F277">
        <f>Raw_Data!C277</f>
        <v/>
      </c>
      <c r="G277">
        <f>Raw_Data!D277</f>
        <v/>
      </c>
      <c r="H277">
        <f>Raw_Data!E277</f>
        <v/>
      </c>
      <c r="I277">
        <f>Raw_Data!F277</f>
        <v/>
      </c>
      <c r="J277">
        <f>Raw_Data!G277</f>
        <v/>
      </c>
      <c r="K277">
        <f>Raw_Data!H277</f>
        <v/>
      </c>
      <c r="L277" s="30">
        <f>Raw_Data!I277</f>
        <v/>
      </c>
      <c r="M277" s="31">
        <f>Raw_Data!J277</f>
        <v/>
      </c>
      <c r="N277" s="17">
        <f>K277*L277</f>
        <v/>
      </c>
      <c r="O277" s="17">
        <f>N277*(1-M277)</f>
        <v/>
      </c>
      <c r="P277" s="17">
        <f>Raw_Data!L277</f>
        <v/>
      </c>
      <c r="Q277" s="17">
        <f>O277-P277</f>
        <v/>
      </c>
      <c r="R277" s="31">
        <f>IF(O277=0,0,Q277/O277)</f>
        <v/>
      </c>
      <c r="S277">
        <f>XLOOKUP(F277,Lookups!$B$7:$B$11,Lookups!$C$7:$C$11,"Unknown")</f>
        <v/>
      </c>
      <c r="T277" s="31">
        <f>XLOOKUP(G277,Lookups!$E$7:$E$11,Lookups!$F$7:$F$11,0)</f>
        <v/>
      </c>
      <c r="U277" s="32">
        <f>R277-T277</f>
        <v/>
      </c>
      <c r="V277">
        <f>XLOOKUP(I277,Lookups!$H$7:$H$10,Lookups!$I$7:$I$10,"")</f>
        <v/>
      </c>
      <c r="W277">
        <f>IF(O277&gt;=50000,"HIGH VALUE","")</f>
        <v/>
      </c>
      <c r="X277">
        <f>IF(Q277&lt;0,"LOSS","")</f>
        <v/>
      </c>
      <c r="Y277">
        <f>IFS(M277&gt;=0.15,"Deep Discount",M277&gt;=0.1,"Moderate",TRUE,"Standard")</f>
        <v/>
      </c>
    </row>
    <row r="278">
      <c r="A278">
        <f>Raw_Data!A278</f>
        <v/>
      </c>
      <c r="B278" s="29">
        <f>Raw_Data!B278</f>
        <v/>
      </c>
      <c r="C278">
        <f>YEAR(B278)</f>
        <v/>
      </c>
      <c r="D278">
        <f>MONTH(B278)</f>
        <v/>
      </c>
      <c r="E278">
        <f>TEXT(B278,"MMM-YYYY")</f>
        <v/>
      </c>
      <c r="F278">
        <f>Raw_Data!C278</f>
        <v/>
      </c>
      <c r="G278">
        <f>Raw_Data!D278</f>
        <v/>
      </c>
      <c r="H278">
        <f>Raw_Data!E278</f>
        <v/>
      </c>
      <c r="I278">
        <f>Raw_Data!F278</f>
        <v/>
      </c>
      <c r="J278">
        <f>Raw_Data!G278</f>
        <v/>
      </c>
      <c r="K278">
        <f>Raw_Data!H278</f>
        <v/>
      </c>
      <c r="L278" s="30">
        <f>Raw_Data!I278</f>
        <v/>
      </c>
      <c r="M278" s="31">
        <f>Raw_Data!J278</f>
        <v/>
      </c>
      <c r="N278" s="17">
        <f>K278*L278</f>
        <v/>
      </c>
      <c r="O278" s="17">
        <f>N278*(1-M278)</f>
        <v/>
      </c>
      <c r="P278" s="17">
        <f>Raw_Data!L278</f>
        <v/>
      </c>
      <c r="Q278" s="17">
        <f>O278-P278</f>
        <v/>
      </c>
      <c r="R278" s="31">
        <f>IF(O278=0,0,Q278/O278)</f>
        <v/>
      </c>
      <c r="S278">
        <f>XLOOKUP(F278,Lookups!$B$7:$B$11,Lookups!$C$7:$C$11,"Unknown")</f>
        <v/>
      </c>
      <c r="T278" s="31">
        <f>XLOOKUP(G278,Lookups!$E$7:$E$11,Lookups!$F$7:$F$11,0)</f>
        <v/>
      </c>
      <c r="U278" s="32">
        <f>R278-T278</f>
        <v/>
      </c>
      <c r="V278">
        <f>XLOOKUP(I278,Lookups!$H$7:$H$10,Lookups!$I$7:$I$10,"")</f>
        <v/>
      </c>
      <c r="W278">
        <f>IF(O278&gt;=50000,"HIGH VALUE","")</f>
        <v/>
      </c>
      <c r="X278">
        <f>IF(Q278&lt;0,"LOSS","")</f>
        <v/>
      </c>
      <c r="Y278">
        <f>IFS(M278&gt;=0.15,"Deep Discount",M278&gt;=0.1,"Moderate",TRUE,"Standard")</f>
        <v/>
      </c>
    </row>
    <row r="279">
      <c r="A279">
        <f>Raw_Data!A279</f>
        <v/>
      </c>
      <c r="B279" s="29">
        <f>Raw_Data!B279</f>
        <v/>
      </c>
      <c r="C279">
        <f>YEAR(B279)</f>
        <v/>
      </c>
      <c r="D279">
        <f>MONTH(B279)</f>
        <v/>
      </c>
      <c r="E279">
        <f>TEXT(B279,"MMM-YYYY")</f>
        <v/>
      </c>
      <c r="F279">
        <f>Raw_Data!C279</f>
        <v/>
      </c>
      <c r="G279">
        <f>Raw_Data!D279</f>
        <v/>
      </c>
      <c r="H279">
        <f>Raw_Data!E279</f>
        <v/>
      </c>
      <c r="I279">
        <f>Raw_Data!F279</f>
        <v/>
      </c>
      <c r="J279">
        <f>Raw_Data!G279</f>
        <v/>
      </c>
      <c r="K279">
        <f>Raw_Data!H279</f>
        <v/>
      </c>
      <c r="L279" s="30">
        <f>Raw_Data!I279</f>
        <v/>
      </c>
      <c r="M279" s="31">
        <f>Raw_Data!J279</f>
        <v/>
      </c>
      <c r="N279" s="17">
        <f>K279*L279</f>
        <v/>
      </c>
      <c r="O279" s="17">
        <f>N279*(1-M279)</f>
        <v/>
      </c>
      <c r="P279" s="17">
        <f>Raw_Data!L279</f>
        <v/>
      </c>
      <c r="Q279" s="17">
        <f>O279-P279</f>
        <v/>
      </c>
      <c r="R279" s="31">
        <f>IF(O279=0,0,Q279/O279)</f>
        <v/>
      </c>
      <c r="S279">
        <f>XLOOKUP(F279,Lookups!$B$7:$B$11,Lookups!$C$7:$C$11,"Unknown")</f>
        <v/>
      </c>
      <c r="T279" s="31">
        <f>XLOOKUP(G279,Lookups!$E$7:$E$11,Lookups!$F$7:$F$11,0)</f>
        <v/>
      </c>
      <c r="U279" s="32">
        <f>R279-T279</f>
        <v/>
      </c>
      <c r="V279">
        <f>XLOOKUP(I279,Lookups!$H$7:$H$10,Lookups!$I$7:$I$10,"")</f>
        <v/>
      </c>
      <c r="W279">
        <f>IF(O279&gt;=50000,"HIGH VALUE","")</f>
        <v/>
      </c>
      <c r="X279">
        <f>IF(Q279&lt;0,"LOSS","")</f>
        <v/>
      </c>
      <c r="Y279">
        <f>IFS(M279&gt;=0.15,"Deep Discount",M279&gt;=0.1,"Moderate",TRUE,"Standard")</f>
        <v/>
      </c>
    </row>
    <row r="280">
      <c r="A280">
        <f>Raw_Data!A280</f>
        <v/>
      </c>
      <c r="B280" s="29">
        <f>Raw_Data!B280</f>
        <v/>
      </c>
      <c r="C280">
        <f>YEAR(B280)</f>
        <v/>
      </c>
      <c r="D280">
        <f>MONTH(B280)</f>
        <v/>
      </c>
      <c r="E280">
        <f>TEXT(B280,"MMM-YYYY")</f>
        <v/>
      </c>
      <c r="F280">
        <f>Raw_Data!C280</f>
        <v/>
      </c>
      <c r="G280">
        <f>Raw_Data!D280</f>
        <v/>
      </c>
      <c r="H280">
        <f>Raw_Data!E280</f>
        <v/>
      </c>
      <c r="I280">
        <f>Raw_Data!F280</f>
        <v/>
      </c>
      <c r="J280">
        <f>Raw_Data!G280</f>
        <v/>
      </c>
      <c r="K280">
        <f>Raw_Data!H280</f>
        <v/>
      </c>
      <c r="L280" s="30">
        <f>Raw_Data!I280</f>
        <v/>
      </c>
      <c r="M280" s="31">
        <f>Raw_Data!J280</f>
        <v/>
      </c>
      <c r="N280" s="17">
        <f>K280*L280</f>
        <v/>
      </c>
      <c r="O280" s="17">
        <f>N280*(1-M280)</f>
        <v/>
      </c>
      <c r="P280" s="17">
        <f>Raw_Data!L280</f>
        <v/>
      </c>
      <c r="Q280" s="17">
        <f>O280-P280</f>
        <v/>
      </c>
      <c r="R280" s="31">
        <f>IF(O280=0,0,Q280/O280)</f>
        <v/>
      </c>
      <c r="S280">
        <f>XLOOKUP(F280,Lookups!$B$7:$B$11,Lookups!$C$7:$C$11,"Unknown")</f>
        <v/>
      </c>
      <c r="T280" s="31">
        <f>XLOOKUP(G280,Lookups!$E$7:$E$11,Lookups!$F$7:$F$11,0)</f>
        <v/>
      </c>
      <c r="U280" s="32">
        <f>R280-T280</f>
        <v/>
      </c>
      <c r="V280">
        <f>XLOOKUP(I280,Lookups!$H$7:$H$10,Lookups!$I$7:$I$10,"")</f>
        <v/>
      </c>
      <c r="W280">
        <f>IF(O280&gt;=50000,"HIGH VALUE","")</f>
        <v/>
      </c>
      <c r="X280">
        <f>IF(Q280&lt;0,"LOSS","")</f>
        <v/>
      </c>
      <c r="Y280">
        <f>IFS(M280&gt;=0.15,"Deep Discount",M280&gt;=0.1,"Moderate",TRUE,"Standard")</f>
        <v/>
      </c>
    </row>
    <row r="281">
      <c r="A281">
        <f>Raw_Data!A281</f>
        <v/>
      </c>
      <c r="B281" s="29">
        <f>Raw_Data!B281</f>
        <v/>
      </c>
      <c r="C281">
        <f>YEAR(B281)</f>
        <v/>
      </c>
      <c r="D281">
        <f>MONTH(B281)</f>
        <v/>
      </c>
      <c r="E281">
        <f>TEXT(B281,"MMM-YYYY")</f>
        <v/>
      </c>
      <c r="F281">
        <f>Raw_Data!C281</f>
        <v/>
      </c>
      <c r="G281">
        <f>Raw_Data!D281</f>
        <v/>
      </c>
      <c r="H281">
        <f>Raw_Data!E281</f>
        <v/>
      </c>
      <c r="I281">
        <f>Raw_Data!F281</f>
        <v/>
      </c>
      <c r="J281">
        <f>Raw_Data!G281</f>
        <v/>
      </c>
      <c r="K281">
        <f>Raw_Data!H281</f>
        <v/>
      </c>
      <c r="L281" s="30">
        <f>Raw_Data!I281</f>
        <v/>
      </c>
      <c r="M281" s="31">
        <f>Raw_Data!J281</f>
        <v/>
      </c>
      <c r="N281" s="17">
        <f>K281*L281</f>
        <v/>
      </c>
      <c r="O281" s="17">
        <f>N281*(1-M281)</f>
        <v/>
      </c>
      <c r="P281" s="17">
        <f>Raw_Data!L281</f>
        <v/>
      </c>
      <c r="Q281" s="17">
        <f>O281-P281</f>
        <v/>
      </c>
      <c r="R281" s="31">
        <f>IF(O281=0,0,Q281/O281)</f>
        <v/>
      </c>
      <c r="S281">
        <f>XLOOKUP(F281,Lookups!$B$7:$B$11,Lookups!$C$7:$C$11,"Unknown")</f>
        <v/>
      </c>
      <c r="T281" s="31">
        <f>XLOOKUP(G281,Lookups!$E$7:$E$11,Lookups!$F$7:$F$11,0)</f>
        <v/>
      </c>
      <c r="U281" s="32">
        <f>R281-T281</f>
        <v/>
      </c>
      <c r="V281">
        <f>XLOOKUP(I281,Lookups!$H$7:$H$10,Lookups!$I$7:$I$10,"")</f>
        <v/>
      </c>
      <c r="W281">
        <f>IF(O281&gt;=50000,"HIGH VALUE","")</f>
        <v/>
      </c>
      <c r="X281">
        <f>IF(Q281&lt;0,"LOSS","")</f>
        <v/>
      </c>
      <c r="Y281">
        <f>IFS(M281&gt;=0.15,"Deep Discount",M281&gt;=0.1,"Moderate",TRUE,"Standard")</f>
        <v/>
      </c>
    </row>
    <row r="282">
      <c r="A282">
        <f>Raw_Data!A282</f>
        <v/>
      </c>
      <c r="B282" s="29">
        <f>Raw_Data!B282</f>
        <v/>
      </c>
      <c r="C282">
        <f>YEAR(B282)</f>
        <v/>
      </c>
      <c r="D282">
        <f>MONTH(B282)</f>
        <v/>
      </c>
      <c r="E282">
        <f>TEXT(B282,"MMM-YYYY")</f>
        <v/>
      </c>
      <c r="F282">
        <f>Raw_Data!C282</f>
        <v/>
      </c>
      <c r="G282">
        <f>Raw_Data!D282</f>
        <v/>
      </c>
      <c r="H282">
        <f>Raw_Data!E282</f>
        <v/>
      </c>
      <c r="I282">
        <f>Raw_Data!F282</f>
        <v/>
      </c>
      <c r="J282">
        <f>Raw_Data!G282</f>
        <v/>
      </c>
      <c r="K282">
        <f>Raw_Data!H282</f>
        <v/>
      </c>
      <c r="L282" s="30">
        <f>Raw_Data!I282</f>
        <v/>
      </c>
      <c r="M282" s="31">
        <f>Raw_Data!J282</f>
        <v/>
      </c>
      <c r="N282" s="17">
        <f>K282*L282</f>
        <v/>
      </c>
      <c r="O282" s="17">
        <f>N282*(1-M282)</f>
        <v/>
      </c>
      <c r="P282" s="17">
        <f>Raw_Data!L282</f>
        <v/>
      </c>
      <c r="Q282" s="17">
        <f>O282-P282</f>
        <v/>
      </c>
      <c r="R282" s="31">
        <f>IF(O282=0,0,Q282/O282)</f>
        <v/>
      </c>
      <c r="S282">
        <f>XLOOKUP(F282,Lookups!$B$7:$B$11,Lookups!$C$7:$C$11,"Unknown")</f>
        <v/>
      </c>
      <c r="T282" s="31">
        <f>XLOOKUP(G282,Lookups!$E$7:$E$11,Lookups!$F$7:$F$11,0)</f>
        <v/>
      </c>
      <c r="U282" s="32">
        <f>R282-T282</f>
        <v/>
      </c>
      <c r="V282">
        <f>XLOOKUP(I282,Lookups!$H$7:$H$10,Lookups!$I$7:$I$10,"")</f>
        <v/>
      </c>
      <c r="W282">
        <f>IF(O282&gt;=50000,"HIGH VALUE","")</f>
        <v/>
      </c>
      <c r="X282">
        <f>IF(Q282&lt;0,"LOSS","")</f>
        <v/>
      </c>
      <c r="Y282">
        <f>IFS(M282&gt;=0.15,"Deep Discount",M282&gt;=0.1,"Moderate",TRUE,"Standard")</f>
        <v/>
      </c>
    </row>
    <row r="283">
      <c r="A283">
        <f>Raw_Data!A283</f>
        <v/>
      </c>
      <c r="B283" s="29">
        <f>Raw_Data!B283</f>
        <v/>
      </c>
      <c r="C283">
        <f>YEAR(B283)</f>
        <v/>
      </c>
      <c r="D283">
        <f>MONTH(B283)</f>
        <v/>
      </c>
      <c r="E283">
        <f>TEXT(B283,"MMM-YYYY")</f>
        <v/>
      </c>
      <c r="F283">
        <f>Raw_Data!C283</f>
        <v/>
      </c>
      <c r="G283">
        <f>Raw_Data!D283</f>
        <v/>
      </c>
      <c r="H283">
        <f>Raw_Data!E283</f>
        <v/>
      </c>
      <c r="I283">
        <f>Raw_Data!F283</f>
        <v/>
      </c>
      <c r="J283">
        <f>Raw_Data!G283</f>
        <v/>
      </c>
      <c r="K283">
        <f>Raw_Data!H283</f>
        <v/>
      </c>
      <c r="L283" s="30">
        <f>Raw_Data!I283</f>
        <v/>
      </c>
      <c r="M283" s="31">
        <f>Raw_Data!J283</f>
        <v/>
      </c>
      <c r="N283" s="17">
        <f>K283*L283</f>
        <v/>
      </c>
      <c r="O283" s="17">
        <f>N283*(1-M283)</f>
        <v/>
      </c>
      <c r="P283" s="17">
        <f>Raw_Data!L283</f>
        <v/>
      </c>
      <c r="Q283" s="17">
        <f>O283-P283</f>
        <v/>
      </c>
      <c r="R283" s="31">
        <f>IF(O283=0,0,Q283/O283)</f>
        <v/>
      </c>
      <c r="S283">
        <f>XLOOKUP(F283,Lookups!$B$7:$B$11,Lookups!$C$7:$C$11,"Unknown")</f>
        <v/>
      </c>
      <c r="T283" s="31">
        <f>XLOOKUP(G283,Lookups!$E$7:$E$11,Lookups!$F$7:$F$11,0)</f>
        <v/>
      </c>
      <c r="U283" s="32">
        <f>R283-T283</f>
        <v/>
      </c>
      <c r="V283">
        <f>XLOOKUP(I283,Lookups!$H$7:$H$10,Lookups!$I$7:$I$10,"")</f>
        <v/>
      </c>
      <c r="W283">
        <f>IF(O283&gt;=50000,"HIGH VALUE","")</f>
        <v/>
      </c>
      <c r="X283">
        <f>IF(Q283&lt;0,"LOSS","")</f>
        <v/>
      </c>
      <c r="Y283">
        <f>IFS(M283&gt;=0.15,"Deep Discount",M283&gt;=0.1,"Moderate",TRUE,"Standard")</f>
        <v/>
      </c>
    </row>
    <row r="284">
      <c r="A284">
        <f>Raw_Data!A284</f>
        <v/>
      </c>
      <c r="B284" s="29">
        <f>Raw_Data!B284</f>
        <v/>
      </c>
      <c r="C284">
        <f>YEAR(B284)</f>
        <v/>
      </c>
      <c r="D284">
        <f>MONTH(B284)</f>
        <v/>
      </c>
      <c r="E284">
        <f>TEXT(B284,"MMM-YYYY")</f>
        <v/>
      </c>
      <c r="F284">
        <f>Raw_Data!C284</f>
        <v/>
      </c>
      <c r="G284">
        <f>Raw_Data!D284</f>
        <v/>
      </c>
      <c r="H284">
        <f>Raw_Data!E284</f>
        <v/>
      </c>
      <c r="I284">
        <f>Raw_Data!F284</f>
        <v/>
      </c>
      <c r="J284">
        <f>Raw_Data!G284</f>
        <v/>
      </c>
      <c r="K284">
        <f>Raw_Data!H284</f>
        <v/>
      </c>
      <c r="L284" s="30">
        <f>Raw_Data!I284</f>
        <v/>
      </c>
      <c r="M284" s="31">
        <f>Raw_Data!J284</f>
        <v/>
      </c>
      <c r="N284" s="17">
        <f>K284*L284</f>
        <v/>
      </c>
      <c r="O284" s="17">
        <f>N284*(1-M284)</f>
        <v/>
      </c>
      <c r="P284" s="17">
        <f>Raw_Data!L284</f>
        <v/>
      </c>
      <c r="Q284" s="17">
        <f>O284-P284</f>
        <v/>
      </c>
      <c r="R284" s="31">
        <f>IF(O284=0,0,Q284/O284)</f>
        <v/>
      </c>
      <c r="S284">
        <f>XLOOKUP(F284,Lookups!$B$7:$B$11,Lookups!$C$7:$C$11,"Unknown")</f>
        <v/>
      </c>
      <c r="T284" s="31">
        <f>XLOOKUP(G284,Lookups!$E$7:$E$11,Lookups!$F$7:$F$11,0)</f>
        <v/>
      </c>
      <c r="U284" s="32">
        <f>R284-T284</f>
        <v/>
      </c>
      <c r="V284">
        <f>XLOOKUP(I284,Lookups!$H$7:$H$10,Lookups!$I$7:$I$10,"")</f>
        <v/>
      </c>
      <c r="W284">
        <f>IF(O284&gt;=50000,"HIGH VALUE","")</f>
        <v/>
      </c>
      <c r="X284">
        <f>IF(Q284&lt;0,"LOSS","")</f>
        <v/>
      </c>
      <c r="Y284">
        <f>IFS(M284&gt;=0.15,"Deep Discount",M284&gt;=0.1,"Moderate",TRUE,"Standard")</f>
        <v/>
      </c>
    </row>
    <row r="285">
      <c r="A285">
        <f>Raw_Data!A285</f>
        <v/>
      </c>
      <c r="B285" s="29">
        <f>Raw_Data!B285</f>
        <v/>
      </c>
      <c r="C285">
        <f>YEAR(B285)</f>
        <v/>
      </c>
      <c r="D285">
        <f>MONTH(B285)</f>
        <v/>
      </c>
      <c r="E285">
        <f>TEXT(B285,"MMM-YYYY")</f>
        <v/>
      </c>
      <c r="F285">
        <f>Raw_Data!C285</f>
        <v/>
      </c>
      <c r="G285">
        <f>Raw_Data!D285</f>
        <v/>
      </c>
      <c r="H285">
        <f>Raw_Data!E285</f>
        <v/>
      </c>
      <c r="I285">
        <f>Raw_Data!F285</f>
        <v/>
      </c>
      <c r="J285">
        <f>Raw_Data!G285</f>
        <v/>
      </c>
      <c r="K285">
        <f>Raw_Data!H285</f>
        <v/>
      </c>
      <c r="L285" s="30">
        <f>Raw_Data!I285</f>
        <v/>
      </c>
      <c r="M285" s="31">
        <f>Raw_Data!J285</f>
        <v/>
      </c>
      <c r="N285" s="17">
        <f>K285*L285</f>
        <v/>
      </c>
      <c r="O285" s="17">
        <f>N285*(1-M285)</f>
        <v/>
      </c>
      <c r="P285" s="17">
        <f>Raw_Data!L285</f>
        <v/>
      </c>
      <c r="Q285" s="17">
        <f>O285-P285</f>
        <v/>
      </c>
      <c r="R285" s="31">
        <f>IF(O285=0,0,Q285/O285)</f>
        <v/>
      </c>
      <c r="S285">
        <f>XLOOKUP(F285,Lookups!$B$7:$B$11,Lookups!$C$7:$C$11,"Unknown")</f>
        <v/>
      </c>
      <c r="T285" s="31">
        <f>XLOOKUP(G285,Lookups!$E$7:$E$11,Lookups!$F$7:$F$11,0)</f>
        <v/>
      </c>
      <c r="U285" s="32">
        <f>R285-T285</f>
        <v/>
      </c>
      <c r="V285">
        <f>XLOOKUP(I285,Lookups!$H$7:$H$10,Lookups!$I$7:$I$10,"")</f>
        <v/>
      </c>
      <c r="W285">
        <f>IF(O285&gt;=50000,"HIGH VALUE","")</f>
        <v/>
      </c>
      <c r="X285">
        <f>IF(Q285&lt;0,"LOSS","")</f>
        <v/>
      </c>
      <c r="Y285">
        <f>IFS(M285&gt;=0.15,"Deep Discount",M285&gt;=0.1,"Moderate",TRUE,"Standard")</f>
        <v/>
      </c>
    </row>
    <row r="286">
      <c r="A286">
        <f>Raw_Data!A286</f>
        <v/>
      </c>
      <c r="B286" s="29">
        <f>Raw_Data!B286</f>
        <v/>
      </c>
      <c r="C286">
        <f>YEAR(B286)</f>
        <v/>
      </c>
      <c r="D286">
        <f>MONTH(B286)</f>
        <v/>
      </c>
      <c r="E286">
        <f>TEXT(B286,"MMM-YYYY")</f>
        <v/>
      </c>
      <c r="F286">
        <f>Raw_Data!C286</f>
        <v/>
      </c>
      <c r="G286">
        <f>Raw_Data!D286</f>
        <v/>
      </c>
      <c r="H286">
        <f>Raw_Data!E286</f>
        <v/>
      </c>
      <c r="I286">
        <f>Raw_Data!F286</f>
        <v/>
      </c>
      <c r="J286">
        <f>Raw_Data!G286</f>
        <v/>
      </c>
      <c r="K286">
        <f>Raw_Data!H286</f>
        <v/>
      </c>
      <c r="L286" s="30">
        <f>Raw_Data!I286</f>
        <v/>
      </c>
      <c r="M286" s="31">
        <f>Raw_Data!J286</f>
        <v/>
      </c>
      <c r="N286" s="17">
        <f>K286*L286</f>
        <v/>
      </c>
      <c r="O286" s="17">
        <f>N286*(1-M286)</f>
        <v/>
      </c>
      <c r="P286" s="17">
        <f>Raw_Data!L286</f>
        <v/>
      </c>
      <c r="Q286" s="17">
        <f>O286-P286</f>
        <v/>
      </c>
      <c r="R286" s="31">
        <f>IF(O286=0,0,Q286/O286)</f>
        <v/>
      </c>
      <c r="S286">
        <f>XLOOKUP(F286,Lookups!$B$7:$B$11,Lookups!$C$7:$C$11,"Unknown")</f>
        <v/>
      </c>
      <c r="T286" s="31">
        <f>XLOOKUP(G286,Lookups!$E$7:$E$11,Lookups!$F$7:$F$11,0)</f>
        <v/>
      </c>
      <c r="U286" s="32">
        <f>R286-T286</f>
        <v/>
      </c>
      <c r="V286">
        <f>XLOOKUP(I286,Lookups!$H$7:$H$10,Lookups!$I$7:$I$10,"")</f>
        <v/>
      </c>
      <c r="W286">
        <f>IF(O286&gt;=50000,"HIGH VALUE","")</f>
        <v/>
      </c>
      <c r="X286">
        <f>IF(Q286&lt;0,"LOSS","")</f>
        <v/>
      </c>
      <c r="Y286">
        <f>IFS(M286&gt;=0.15,"Deep Discount",M286&gt;=0.1,"Moderate",TRUE,"Standard")</f>
        <v/>
      </c>
    </row>
    <row r="287">
      <c r="A287">
        <f>Raw_Data!A287</f>
        <v/>
      </c>
      <c r="B287" s="29">
        <f>Raw_Data!B287</f>
        <v/>
      </c>
      <c r="C287">
        <f>YEAR(B287)</f>
        <v/>
      </c>
      <c r="D287">
        <f>MONTH(B287)</f>
        <v/>
      </c>
      <c r="E287">
        <f>TEXT(B287,"MMM-YYYY")</f>
        <v/>
      </c>
      <c r="F287">
        <f>Raw_Data!C287</f>
        <v/>
      </c>
      <c r="G287">
        <f>Raw_Data!D287</f>
        <v/>
      </c>
      <c r="H287">
        <f>Raw_Data!E287</f>
        <v/>
      </c>
      <c r="I287">
        <f>Raw_Data!F287</f>
        <v/>
      </c>
      <c r="J287">
        <f>Raw_Data!G287</f>
        <v/>
      </c>
      <c r="K287">
        <f>Raw_Data!H287</f>
        <v/>
      </c>
      <c r="L287" s="30">
        <f>Raw_Data!I287</f>
        <v/>
      </c>
      <c r="M287" s="31">
        <f>Raw_Data!J287</f>
        <v/>
      </c>
      <c r="N287" s="17">
        <f>K287*L287</f>
        <v/>
      </c>
      <c r="O287" s="17">
        <f>N287*(1-M287)</f>
        <v/>
      </c>
      <c r="P287" s="17">
        <f>Raw_Data!L287</f>
        <v/>
      </c>
      <c r="Q287" s="17">
        <f>O287-P287</f>
        <v/>
      </c>
      <c r="R287" s="31">
        <f>IF(O287=0,0,Q287/O287)</f>
        <v/>
      </c>
      <c r="S287">
        <f>XLOOKUP(F287,Lookups!$B$7:$B$11,Lookups!$C$7:$C$11,"Unknown")</f>
        <v/>
      </c>
      <c r="T287" s="31">
        <f>XLOOKUP(G287,Lookups!$E$7:$E$11,Lookups!$F$7:$F$11,0)</f>
        <v/>
      </c>
      <c r="U287" s="32">
        <f>R287-T287</f>
        <v/>
      </c>
      <c r="V287">
        <f>XLOOKUP(I287,Lookups!$H$7:$H$10,Lookups!$I$7:$I$10,"")</f>
        <v/>
      </c>
      <c r="W287">
        <f>IF(O287&gt;=50000,"HIGH VALUE","")</f>
        <v/>
      </c>
      <c r="X287">
        <f>IF(Q287&lt;0,"LOSS","")</f>
        <v/>
      </c>
      <c r="Y287">
        <f>IFS(M287&gt;=0.15,"Deep Discount",M287&gt;=0.1,"Moderate",TRUE,"Standard")</f>
        <v/>
      </c>
    </row>
    <row r="288">
      <c r="A288">
        <f>Raw_Data!A288</f>
        <v/>
      </c>
      <c r="B288" s="29">
        <f>Raw_Data!B288</f>
        <v/>
      </c>
      <c r="C288">
        <f>YEAR(B288)</f>
        <v/>
      </c>
      <c r="D288">
        <f>MONTH(B288)</f>
        <v/>
      </c>
      <c r="E288">
        <f>TEXT(B288,"MMM-YYYY")</f>
        <v/>
      </c>
      <c r="F288">
        <f>Raw_Data!C288</f>
        <v/>
      </c>
      <c r="G288">
        <f>Raw_Data!D288</f>
        <v/>
      </c>
      <c r="H288">
        <f>Raw_Data!E288</f>
        <v/>
      </c>
      <c r="I288">
        <f>Raw_Data!F288</f>
        <v/>
      </c>
      <c r="J288">
        <f>Raw_Data!G288</f>
        <v/>
      </c>
      <c r="K288">
        <f>Raw_Data!H288</f>
        <v/>
      </c>
      <c r="L288" s="30">
        <f>Raw_Data!I288</f>
        <v/>
      </c>
      <c r="M288" s="31">
        <f>Raw_Data!J288</f>
        <v/>
      </c>
      <c r="N288" s="17">
        <f>K288*L288</f>
        <v/>
      </c>
      <c r="O288" s="17">
        <f>N288*(1-M288)</f>
        <v/>
      </c>
      <c r="P288" s="17">
        <f>Raw_Data!L288</f>
        <v/>
      </c>
      <c r="Q288" s="17">
        <f>O288-P288</f>
        <v/>
      </c>
      <c r="R288" s="31">
        <f>IF(O288=0,0,Q288/O288)</f>
        <v/>
      </c>
      <c r="S288">
        <f>XLOOKUP(F288,Lookups!$B$7:$B$11,Lookups!$C$7:$C$11,"Unknown")</f>
        <v/>
      </c>
      <c r="T288" s="31">
        <f>XLOOKUP(G288,Lookups!$E$7:$E$11,Lookups!$F$7:$F$11,0)</f>
        <v/>
      </c>
      <c r="U288" s="32">
        <f>R288-T288</f>
        <v/>
      </c>
      <c r="V288">
        <f>XLOOKUP(I288,Lookups!$H$7:$H$10,Lookups!$I$7:$I$10,"")</f>
        <v/>
      </c>
      <c r="W288">
        <f>IF(O288&gt;=50000,"HIGH VALUE","")</f>
        <v/>
      </c>
      <c r="X288">
        <f>IF(Q288&lt;0,"LOSS","")</f>
        <v/>
      </c>
      <c r="Y288">
        <f>IFS(M288&gt;=0.15,"Deep Discount",M288&gt;=0.1,"Moderate",TRUE,"Standard")</f>
        <v/>
      </c>
    </row>
    <row r="289">
      <c r="A289">
        <f>Raw_Data!A289</f>
        <v/>
      </c>
      <c r="B289" s="29">
        <f>Raw_Data!B289</f>
        <v/>
      </c>
      <c r="C289">
        <f>YEAR(B289)</f>
        <v/>
      </c>
      <c r="D289">
        <f>MONTH(B289)</f>
        <v/>
      </c>
      <c r="E289">
        <f>TEXT(B289,"MMM-YYYY")</f>
        <v/>
      </c>
      <c r="F289">
        <f>Raw_Data!C289</f>
        <v/>
      </c>
      <c r="G289">
        <f>Raw_Data!D289</f>
        <v/>
      </c>
      <c r="H289">
        <f>Raw_Data!E289</f>
        <v/>
      </c>
      <c r="I289">
        <f>Raw_Data!F289</f>
        <v/>
      </c>
      <c r="J289">
        <f>Raw_Data!G289</f>
        <v/>
      </c>
      <c r="K289">
        <f>Raw_Data!H289</f>
        <v/>
      </c>
      <c r="L289" s="30">
        <f>Raw_Data!I289</f>
        <v/>
      </c>
      <c r="M289" s="31">
        <f>Raw_Data!J289</f>
        <v/>
      </c>
      <c r="N289" s="17">
        <f>K289*L289</f>
        <v/>
      </c>
      <c r="O289" s="17">
        <f>N289*(1-M289)</f>
        <v/>
      </c>
      <c r="P289" s="17">
        <f>Raw_Data!L289</f>
        <v/>
      </c>
      <c r="Q289" s="17">
        <f>O289-P289</f>
        <v/>
      </c>
      <c r="R289" s="31">
        <f>IF(O289=0,0,Q289/O289)</f>
        <v/>
      </c>
      <c r="S289">
        <f>XLOOKUP(F289,Lookups!$B$7:$B$11,Lookups!$C$7:$C$11,"Unknown")</f>
        <v/>
      </c>
      <c r="T289" s="31">
        <f>XLOOKUP(G289,Lookups!$E$7:$E$11,Lookups!$F$7:$F$11,0)</f>
        <v/>
      </c>
      <c r="U289" s="32">
        <f>R289-T289</f>
        <v/>
      </c>
      <c r="V289">
        <f>XLOOKUP(I289,Lookups!$H$7:$H$10,Lookups!$I$7:$I$10,"")</f>
        <v/>
      </c>
      <c r="W289">
        <f>IF(O289&gt;=50000,"HIGH VALUE","")</f>
        <v/>
      </c>
      <c r="X289">
        <f>IF(Q289&lt;0,"LOSS","")</f>
        <v/>
      </c>
      <c r="Y289">
        <f>IFS(M289&gt;=0.15,"Deep Discount",M289&gt;=0.1,"Moderate",TRUE,"Standard")</f>
        <v/>
      </c>
    </row>
    <row r="290">
      <c r="A290">
        <f>Raw_Data!A290</f>
        <v/>
      </c>
      <c r="B290" s="29">
        <f>Raw_Data!B290</f>
        <v/>
      </c>
      <c r="C290">
        <f>YEAR(B290)</f>
        <v/>
      </c>
      <c r="D290">
        <f>MONTH(B290)</f>
        <v/>
      </c>
      <c r="E290">
        <f>TEXT(B290,"MMM-YYYY")</f>
        <v/>
      </c>
      <c r="F290">
        <f>Raw_Data!C290</f>
        <v/>
      </c>
      <c r="G290">
        <f>Raw_Data!D290</f>
        <v/>
      </c>
      <c r="H290">
        <f>Raw_Data!E290</f>
        <v/>
      </c>
      <c r="I290">
        <f>Raw_Data!F290</f>
        <v/>
      </c>
      <c r="J290">
        <f>Raw_Data!G290</f>
        <v/>
      </c>
      <c r="K290">
        <f>Raw_Data!H290</f>
        <v/>
      </c>
      <c r="L290" s="30">
        <f>Raw_Data!I290</f>
        <v/>
      </c>
      <c r="M290" s="31">
        <f>Raw_Data!J290</f>
        <v/>
      </c>
      <c r="N290" s="17">
        <f>K290*L290</f>
        <v/>
      </c>
      <c r="O290" s="17">
        <f>N290*(1-M290)</f>
        <v/>
      </c>
      <c r="P290" s="17">
        <f>Raw_Data!L290</f>
        <v/>
      </c>
      <c r="Q290" s="17">
        <f>O290-P290</f>
        <v/>
      </c>
      <c r="R290" s="31">
        <f>IF(O290=0,0,Q290/O290)</f>
        <v/>
      </c>
      <c r="S290">
        <f>XLOOKUP(F290,Lookups!$B$7:$B$11,Lookups!$C$7:$C$11,"Unknown")</f>
        <v/>
      </c>
      <c r="T290" s="31">
        <f>XLOOKUP(G290,Lookups!$E$7:$E$11,Lookups!$F$7:$F$11,0)</f>
        <v/>
      </c>
      <c r="U290" s="32">
        <f>R290-T290</f>
        <v/>
      </c>
      <c r="V290">
        <f>XLOOKUP(I290,Lookups!$H$7:$H$10,Lookups!$I$7:$I$10,"")</f>
        <v/>
      </c>
      <c r="W290">
        <f>IF(O290&gt;=50000,"HIGH VALUE","")</f>
        <v/>
      </c>
      <c r="X290">
        <f>IF(Q290&lt;0,"LOSS","")</f>
        <v/>
      </c>
      <c r="Y290">
        <f>IFS(M290&gt;=0.15,"Deep Discount",M290&gt;=0.1,"Moderate",TRUE,"Standard")</f>
        <v/>
      </c>
    </row>
    <row r="291">
      <c r="A291">
        <f>Raw_Data!A291</f>
        <v/>
      </c>
      <c r="B291" s="29">
        <f>Raw_Data!B291</f>
        <v/>
      </c>
      <c r="C291">
        <f>YEAR(B291)</f>
        <v/>
      </c>
      <c r="D291">
        <f>MONTH(B291)</f>
        <v/>
      </c>
      <c r="E291">
        <f>TEXT(B291,"MMM-YYYY")</f>
        <v/>
      </c>
      <c r="F291">
        <f>Raw_Data!C291</f>
        <v/>
      </c>
      <c r="G291">
        <f>Raw_Data!D291</f>
        <v/>
      </c>
      <c r="H291">
        <f>Raw_Data!E291</f>
        <v/>
      </c>
      <c r="I291">
        <f>Raw_Data!F291</f>
        <v/>
      </c>
      <c r="J291">
        <f>Raw_Data!G291</f>
        <v/>
      </c>
      <c r="K291">
        <f>Raw_Data!H291</f>
        <v/>
      </c>
      <c r="L291" s="30">
        <f>Raw_Data!I291</f>
        <v/>
      </c>
      <c r="M291" s="31">
        <f>Raw_Data!J291</f>
        <v/>
      </c>
      <c r="N291" s="17">
        <f>K291*L291</f>
        <v/>
      </c>
      <c r="O291" s="17">
        <f>N291*(1-M291)</f>
        <v/>
      </c>
      <c r="P291" s="17">
        <f>Raw_Data!L291</f>
        <v/>
      </c>
      <c r="Q291" s="17">
        <f>O291-P291</f>
        <v/>
      </c>
      <c r="R291" s="31">
        <f>IF(O291=0,0,Q291/O291)</f>
        <v/>
      </c>
      <c r="S291">
        <f>XLOOKUP(F291,Lookups!$B$7:$B$11,Lookups!$C$7:$C$11,"Unknown")</f>
        <v/>
      </c>
      <c r="T291" s="31">
        <f>XLOOKUP(G291,Lookups!$E$7:$E$11,Lookups!$F$7:$F$11,0)</f>
        <v/>
      </c>
      <c r="U291" s="32">
        <f>R291-T291</f>
        <v/>
      </c>
      <c r="V291">
        <f>XLOOKUP(I291,Lookups!$H$7:$H$10,Lookups!$I$7:$I$10,"")</f>
        <v/>
      </c>
      <c r="W291">
        <f>IF(O291&gt;=50000,"HIGH VALUE","")</f>
        <v/>
      </c>
      <c r="X291">
        <f>IF(Q291&lt;0,"LOSS","")</f>
        <v/>
      </c>
      <c r="Y291">
        <f>IFS(M291&gt;=0.15,"Deep Discount",M291&gt;=0.1,"Moderate",TRUE,"Standard")</f>
        <v/>
      </c>
    </row>
    <row r="292">
      <c r="A292">
        <f>Raw_Data!A292</f>
        <v/>
      </c>
      <c r="B292" s="29">
        <f>Raw_Data!B292</f>
        <v/>
      </c>
      <c r="C292">
        <f>YEAR(B292)</f>
        <v/>
      </c>
      <c r="D292">
        <f>MONTH(B292)</f>
        <v/>
      </c>
      <c r="E292">
        <f>TEXT(B292,"MMM-YYYY")</f>
        <v/>
      </c>
      <c r="F292">
        <f>Raw_Data!C292</f>
        <v/>
      </c>
      <c r="G292">
        <f>Raw_Data!D292</f>
        <v/>
      </c>
      <c r="H292">
        <f>Raw_Data!E292</f>
        <v/>
      </c>
      <c r="I292">
        <f>Raw_Data!F292</f>
        <v/>
      </c>
      <c r="J292">
        <f>Raw_Data!G292</f>
        <v/>
      </c>
      <c r="K292">
        <f>Raw_Data!H292</f>
        <v/>
      </c>
      <c r="L292" s="30">
        <f>Raw_Data!I292</f>
        <v/>
      </c>
      <c r="M292" s="31">
        <f>Raw_Data!J292</f>
        <v/>
      </c>
      <c r="N292" s="17">
        <f>K292*L292</f>
        <v/>
      </c>
      <c r="O292" s="17">
        <f>N292*(1-M292)</f>
        <v/>
      </c>
      <c r="P292" s="17">
        <f>Raw_Data!L292</f>
        <v/>
      </c>
      <c r="Q292" s="17">
        <f>O292-P292</f>
        <v/>
      </c>
      <c r="R292" s="31">
        <f>IF(O292=0,0,Q292/O292)</f>
        <v/>
      </c>
      <c r="S292">
        <f>XLOOKUP(F292,Lookups!$B$7:$B$11,Lookups!$C$7:$C$11,"Unknown")</f>
        <v/>
      </c>
      <c r="T292" s="31">
        <f>XLOOKUP(G292,Lookups!$E$7:$E$11,Lookups!$F$7:$F$11,0)</f>
        <v/>
      </c>
      <c r="U292" s="32">
        <f>R292-T292</f>
        <v/>
      </c>
      <c r="V292">
        <f>XLOOKUP(I292,Lookups!$H$7:$H$10,Lookups!$I$7:$I$10,"")</f>
        <v/>
      </c>
      <c r="W292">
        <f>IF(O292&gt;=50000,"HIGH VALUE","")</f>
        <v/>
      </c>
      <c r="X292">
        <f>IF(Q292&lt;0,"LOSS","")</f>
        <v/>
      </c>
      <c r="Y292">
        <f>IFS(M292&gt;=0.15,"Deep Discount",M292&gt;=0.1,"Moderate",TRUE,"Standard")</f>
        <v/>
      </c>
    </row>
    <row r="293">
      <c r="A293">
        <f>Raw_Data!A293</f>
        <v/>
      </c>
      <c r="B293" s="29">
        <f>Raw_Data!B293</f>
        <v/>
      </c>
      <c r="C293">
        <f>YEAR(B293)</f>
        <v/>
      </c>
      <c r="D293">
        <f>MONTH(B293)</f>
        <v/>
      </c>
      <c r="E293">
        <f>TEXT(B293,"MMM-YYYY")</f>
        <v/>
      </c>
      <c r="F293">
        <f>Raw_Data!C293</f>
        <v/>
      </c>
      <c r="G293">
        <f>Raw_Data!D293</f>
        <v/>
      </c>
      <c r="H293">
        <f>Raw_Data!E293</f>
        <v/>
      </c>
      <c r="I293">
        <f>Raw_Data!F293</f>
        <v/>
      </c>
      <c r="J293">
        <f>Raw_Data!G293</f>
        <v/>
      </c>
      <c r="K293">
        <f>Raw_Data!H293</f>
        <v/>
      </c>
      <c r="L293" s="30">
        <f>Raw_Data!I293</f>
        <v/>
      </c>
      <c r="M293" s="31">
        <f>Raw_Data!J293</f>
        <v/>
      </c>
      <c r="N293" s="17">
        <f>K293*L293</f>
        <v/>
      </c>
      <c r="O293" s="17">
        <f>N293*(1-M293)</f>
        <v/>
      </c>
      <c r="P293" s="17">
        <f>Raw_Data!L293</f>
        <v/>
      </c>
      <c r="Q293" s="17">
        <f>O293-P293</f>
        <v/>
      </c>
      <c r="R293" s="31">
        <f>IF(O293=0,0,Q293/O293)</f>
        <v/>
      </c>
      <c r="S293">
        <f>XLOOKUP(F293,Lookups!$B$7:$B$11,Lookups!$C$7:$C$11,"Unknown")</f>
        <v/>
      </c>
      <c r="T293" s="31">
        <f>XLOOKUP(G293,Lookups!$E$7:$E$11,Lookups!$F$7:$F$11,0)</f>
        <v/>
      </c>
      <c r="U293" s="32">
        <f>R293-T293</f>
        <v/>
      </c>
      <c r="V293">
        <f>XLOOKUP(I293,Lookups!$H$7:$H$10,Lookups!$I$7:$I$10,"")</f>
        <v/>
      </c>
      <c r="W293">
        <f>IF(O293&gt;=50000,"HIGH VALUE","")</f>
        <v/>
      </c>
      <c r="X293">
        <f>IF(Q293&lt;0,"LOSS","")</f>
        <v/>
      </c>
      <c r="Y293">
        <f>IFS(M293&gt;=0.15,"Deep Discount",M293&gt;=0.1,"Moderate",TRUE,"Standard")</f>
        <v/>
      </c>
    </row>
    <row r="294">
      <c r="A294">
        <f>Raw_Data!A294</f>
        <v/>
      </c>
      <c r="B294" s="29">
        <f>Raw_Data!B294</f>
        <v/>
      </c>
      <c r="C294">
        <f>YEAR(B294)</f>
        <v/>
      </c>
      <c r="D294">
        <f>MONTH(B294)</f>
        <v/>
      </c>
      <c r="E294">
        <f>TEXT(B294,"MMM-YYYY")</f>
        <v/>
      </c>
      <c r="F294">
        <f>Raw_Data!C294</f>
        <v/>
      </c>
      <c r="G294">
        <f>Raw_Data!D294</f>
        <v/>
      </c>
      <c r="H294">
        <f>Raw_Data!E294</f>
        <v/>
      </c>
      <c r="I294">
        <f>Raw_Data!F294</f>
        <v/>
      </c>
      <c r="J294">
        <f>Raw_Data!G294</f>
        <v/>
      </c>
      <c r="K294">
        <f>Raw_Data!H294</f>
        <v/>
      </c>
      <c r="L294" s="30">
        <f>Raw_Data!I294</f>
        <v/>
      </c>
      <c r="M294" s="31">
        <f>Raw_Data!J294</f>
        <v/>
      </c>
      <c r="N294" s="17">
        <f>K294*L294</f>
        <v/>
      </c>
      <c r="O294" s="17">
        <f>N294*(1-M294)</f>
        <v/>
      </c>
      <c r="P294" s="17">
        <f>Raw_Data!L294</f>
        <v/>
      </c>
      <c r="Q294" s="17">
        <f>O294-P294</f>
        <v/>
      </c>
      <c r="R294" s="31">
        <f>IF(O294=0,0,Q294/O294)</f>
        <v/>
      </c>
      <c r="S294">
        <f>XLOOKUP(F294,Lookups!$B$7:$B$11,Lookups!$C$7:$C$11,"Unknown")</f>
        <v/>
      </c>
      <c r="T294" s="31">
        <f>XLOOKUP(G294,Lookups!$E$7:$E$11,Lookups!$F$7:$F$11,0)</f>
        <v/>
      </c>
      <c r="U294" s="32">
        <f>R294-T294</f>
        <v/>
      </c>
      <c r="V294">
        <f>XLOOKUP(I294,Lookups!$H$7:$H$10,Lookups!$I$7:$I$10,"")</f>
        <v/>
      </c>
      <c r="W294">
        <f>IF(O294&gt;=50000,"HIGH VALUE","")</f>
        <v/>
      </c>
      <c r="X294">
        <f>IF(Q294&lt;0,"LOSS","")</f>
        <v/>
      </c>
      <c r="Y294">
        <f>IFS(M294&gt;=0.15,"Deep Discount",M294&gt;=0.1,"Moderate",TRUE,"Standard")</f>
        <v/>
      </c>
    </row>
    <row r="295">
      <c r="A295">
        <f>Raw_Data!A295</f>
        <v/>
      </c>
      <c r="B295" s="29">
        <f>Raw_Data!B295</f>
        <v/>
      </c>
      <c r="C295">
        <f>YEAR(B295)</f>
        <v/>
      </c>
      <c r="D295">
        <f>MONTH(B295)</f>
        <v/>
      </c>
      <c r="E295">
        <f>TEXT(B295,"MMM-YYYY")</f>
        <v/>
      </c>
      <c r="F295">
        <f>Raw_Data!C295</f>
        <v/>
      </c>
      <c r="G295">
        <f>Raw_Data!D295</f>
        <v/>
      </c>
      <c r="H295">
        <f>Raw_Data!E295</f>
        <v/>
      </c>
      <c r="I295">
        <f>Raw_Data!F295</f>
        <v/>
      </c>
      <c r="J295">
        <f>Raw_Data!G295</f>
        <v/>
      </c>
      <c r="K295">
        <f>Raw_Data!H295</f>
        <v/>
      </c>
      <c r="L295" s="30">
        <f>Raw_Data!I295</f>
        <v/>
      </c>
      <c r="M295" s="31">
        <f>Raw_Data!J295</f>
        <v/>
      </c>
      <c r="N295" s="17">
        <f>K295*L295</f>
        <v/>
      </c>
      <c r="O295" s="17">
        <f>N295*(1-M295)</f>
        <v/>
      </c>
      <c r="P295" s="17">
        <f>Raw_Data!L295</f>
        <v/>
      </c>
      <c r="Q295" s="17">
        <f>O295-P295</f>
        <v/>
      </c>
      <c r="R295" s="31">
        <f>IF(O295=0,0,Q295/O295)</f>
        <v/>
      </c>
      <c r="S295">
        <f>XLOOKUP(F295,Lookups!$B$7:$B$11,Lookups!$C$7:$C$11,"Unknown")</f>
        <v/>
      </c>
      <c r="T295" s="31">
        <f>XLOOKUP(G295,Lookups!$E$7:$E$11,Lookups!$F$7:$F$11,0)</f>
        <v/>
      </c>
      <c r="U295" s="32">
        <f>R295-T295</f>
        <v/>
      </c>
      <c r="V295">
        <f>XLOOKUP(I295,Lookups!$H$7:$H$10,Lookups!$I$7:$I$10,"")</f>
        <v/>
      </c>
      <c r="W295">
        <f>IF(O295&gt;=50000,"HIGH VALUE","")</f>
        <v/>
      </c>
      <c r="X295">
        <f>IF(Q295&lt;0,"LOSS","")</f>
        <v/>
      </c>
      <c r="Y295">
        <f>IFS(M295&gt;=0.15,"Deep Discount",M295&gt;=0.1,"Moderate",TRUE,"Standard")</f>
        <v/>
      </c>
    </row>
    <row r="296">
      <c r="A296">
        <f>Raw_Data!A296</f>
        <v/>
      </c>
      <c r="B296" s="29">
        <f>Raw_Data!B296</f>
        <v/>
      </c>
      <c r="C296">
        <f>YEAR(B296)</f>
        <v/>
      </c>
      <c r="D296">
        <f>MONTH(B296)</f>
        <v/>
      </c>
      <c r="E296">
        <f>TEXT(B296,"MMM-YYYY")</f>
        <v/>
      </c>
      <c r="F296">
        <f>Raw_Data!C296</f>
        <v/>
      </c>
      <c r="G296">
        <f>Raw_Data!D296</f>
        <v/>
      </c>
      <c r="H296">
        <f>Raw_Data!E296</f>
        <v/>
      </c>
      <c r="I296">
        <f>Raw_Data!F296</f>
        <v/>
      </c>
      <c r="J296">
        <f>Raw_Data!G296</f>
        <v/>
      </c>
      <c r="K296">
        <f>Raw_Data!H296</f>
        <v/>
      </c>
      <c r="L296" s="30">
        <f>Raw_Data!I296</f>
        <v/>
      </c>
      <c r="M296" s="31">
        <f>Raw_Data!J296</f>
        <v/>
      </c>
      <c r="N296" s="17">
        <f>K296*L296</f>
        <v/>
      </c>
      <c r="O296" s="17">
        <f>N296*(1-M296)</f>
        <v/>
      </c>
      <c r="P296" s="17">
        <f>Raw_Data!L296</f>
        <v/>
      </c>
      <c r="Q296" s="17">
        <f>O296-P296</f>
        <v/>
      </c>
      <c r="R296" s="31">
        <f>IF(O296=0,0,Q296/O296)</f>
        <v/>
      </c>
      <c r="S296">
        <f>XLOOKUP(F296,Lookups!$B$7:$B$11,Lookups!$C$7:$C$11,"Unknown")</f>
        <v/>
      </c>
      <c r="T296" s="31">
        <f>XLOOKUP(G296,Lookups!$E$7:$E$11,Lookups!$F$7:$F$11,0)</f>
        <v/>
      </c>
      <c r="U296" s="32">
        <f>R296-T296</f>
        <v/>
      </c>
      <c r="V296">
        <f>XLOOKUP(I296,Lookups!$H$7:$H$10,Lookups!$I$7:$I$10,"")</f>
        <v/>
      </c>
      <c r="W296">
        <f>IF(O296&gt;=50000,"HIGH VALUE","")</f>
        <v/>
      </c>
      <c r="X296">
        <f>IF(Q296&lt;0,"LOSS","")</f>
        <v/>
      </c>
      <c r="Y296">
        <f>IFS(M296&gt;=0.15,"Deep Discount",M296&gt;=0.1,"Moderate",TRUE,"Standard")</f>
        <v/>
      </c>
    </row>
    <row r="297">
      <c r="A297">
        <f>Raw_Data!A297</f>
        <v/>
      </c>
      <c r="B297" s="29">
        <f>Raw_Data!B297</f>
        <v/>
      </c>
      <c r="C297">
        <f>YEAR(B297)</f>
        <v/>
      </c>
      <c r="D297">
        <f>MONTH(B297)</f>
        <v/>
      </c>
      <c r="E297">
        <f>TEXT(B297,"MMM-YYYY")</f>
        <v/>
      </c>
      <c r="F297">
        <f>Raw_Data!C297</f>
        <v/>
      </c>
      <c r="G297">
        <f>Raw_Data!D297</f>
        <v/>
      </c>
      <c r="H297">
        <f>Raw_Data!E297</f>
        <v/>
      </c>
      <c r="I297">
        <f>Raw_Data!F297</f>
        <v/>
      </c>
      <c r="J297">
        <f>Raw_Data!G297</f>
        <v/>
      </c>
      <c r="K297">
        <f>Raw_Data!H297</f>
        <v/>
      </c>
      <c r="L297" s="30">
        <f>Raw_Data!I297</f>
        <v/>
      </c>
      <c r="M297" s="31">
        <f>Raw_Data!J297</f>
        <v/>
      </c>
      <c r="N297" s="17">
        <f>K297*L297</f>
        <v/>
      </c>
      <c r="O297" s="17">
        <f>N297*(1-M297)</f>
        <v/>
      </c>
      <c r="P297" s="17">
        <f>Raw_Data!L297</f>
        <v/>
      </c>
      <c r="Q297" s="17">
        <f>O297-P297</f>
        <v/>
      </c>
      <c r="R297" s="31">
        <f>IF(O297=0,0,Q297/O297)</f>
        <v/>
      </c>
      <c r="S297">
        <f>XLOOKUP(F297,Lookups!$B$7:$B$11,Lookups!$C$7:$C$11,"Unknown")</f>
        <v/>
      </c>
      <c r="T297" s="31">
        <f>XLOOKUP(G297,Lookups!$E$7:$E$11,Lookups!$F$7:$F$11,0)</f>
        <v/>
      </c>
      <c r="U297" s="32">
        <f>R297-T297</f>
        <v/>
      </c>
      <c r="V297">
        <f>XLOOKUP(I297,Lookups!$H$7:$H$10,Lookups!$I$7:$I$10,"")</f>
        <v/>
      </c>
      <c r="W297">
        <f>IF(O297&gt;=50000,"HIGH VALUE","")</f>
        <v/>
      </c>
      <c r="X297">
        <f>IF(Q297&lt;0,"LOSS","")</f>
        <v/>
      </c>
      <c r="Y297">
        <f>IFS(M297&gt;=0.15,"Deep Discount",M297&gt;=0.1,"Moderate",TRUE,"Standard")</f>
        <v/>
      </c>
    </row>
    <row r="298">
      <c r="A298">
        <f>Raw_Data!A298</f>
        <v/>
      </c>
      <c r="B298" s="29">
        <f>Raw_Data!B298</f>
        <v/>
      </c>
      <c r="C298">
        <f>YEAR(B298)</f>
        <v/>
      </c>
      <c r="D298">
        <f>MONTH(B298)</f>
        <v/>
      </c>
      <c r="E298">
        <f>TEXT(B298,"MMM-YYYY")</f>
        <v/>
      </c>
      <c r="F298">
        <f>Raw_Data!C298</f>
        <v/>
      </c>
      <c r="G298">
        <f>Raw_Data!D298</f>
        <v/>
      </c>
      <c r="H298">
        <f>Raw_Data!E298</f>
        <v/>
      </c>
      <c r="I298">
        <f>Raw_Data!F298</f>
        <v/>
      </c>
      <c r="J298">
        <f>Raw_Data!G298</f>
        <v/>
      </c>
      <c r="K298">
        <f>Raw_Data!H298</f>
        <v/>
      </c>
      <c r="L298" s="30">
        <f>Raw_Data!I298</f>
        <v/>
      </c>
      <c r="M298" s="31">
        <f>Raw_Data!J298</f>
        <v/>
      </c>
      <c r="N298" s="17">
        <f>K298*L298</f>
        <v/>
      </c>
      <c r="O298" s="17">
        <f>N298*(1-M298)</f>
        <v/>
      </c>
      <c r="P298" s="17">
        <f>Raw_Data!L298</f>
        <v/>
      </c>
      <c r="Q298" s="17">
        <f>O298-P298</f>
        <v/>
      </c>
      <c r="R298" s="31">
        <f>IF(O298=0,0,Q298/O298)</f>
        <v/>
      </c>
      <c r="S298">
        <f>XLOOKUP(F298,Lookups!$B$7:$B$11,Lookups!$C$7:$C$11,"Unknown")</f>
        <v/>
      </c>
      <c r="T298" s="31">
        <f>XLOOKUP(G298,Lookups!$E$7:$E$11,Lookups!$F$7:$F$11,0)</f>
        <v/>
      </c>
      <c r="U298" s="32">
        <f>R298-T298</f>
        <v/>
      </c>
      <c r="V298">
        <f>XLOOKUP(I298,Lookups!$H$7:$H$10,Lookups!$I$7:$I$10,"")</f>
        <v/>
      </c>
      <c r="W298">
        <f>IF(O298&gt;=50000,"HIGH VALUE","")</f>
        <v/>
      </c>
      <c r="X298">
        <f>IF(Q298&lt;0,"LOSS","")</f>
        <v/>
      </c>
      <c r="Y298">
        <f>IFS(M298&gt;=0.15,"Deep Discount",M298&gt;=0.1,"Moderate",TRUE,"Standard")</f>
        <v/>
      </c>
    </row>
    <row r="299">
      <c r="A299">
        <f>Raw_Data!A299</f>
        <v/>
      </c>
      <c r="B299" s="29">
        <f>Raw_Data!B299</f>
        <v/>
      </c>
      <c r="C299">
        <f>YEAR(B299)</f>
        <v/>
      </c>
      <c r="D299">
        <f>MONTH(B299)</f>
        <v/>
      </c>
      <c r="E299">
        <f>TEXT(B299,"MMM-YYYY")</f>
        <v/>
      </c>
      <c r="F299">
        <f>Raw_Data!C299</f>
        <v/>
      </c>
      <c r="G299">
        <f>Raw_Data!D299</f>
        <v/>
      </c>
      <c r="H299">
        <f>Raw_Data!E299</f>
        <v/>
      </c>
      <c r="I299">
        <f>Raw_Data!F299</f>
        <v/>
      </c>
      <c r="J299">
        <f>Raw_Data!G299</f>
        <v/>
      </c>
      <c r="K299">
        <f>Raw_Data!H299</f>
        <v/>
      </c>
      <c r="L299" s="30">
        <f>Raw_Data!I299</f>
        <v/>
      </c>
      <c r="M299" s="31">
        <f>Raw_Data!J299</f>
        <v/>
      </c>
      <c r="N299" s="17">
        <f>K299*L299</f>
        <v/>
      </c>
      <c r="O299" s="17">
        <f>N299*(1-M299)</f>
        <v/>
      </c>
      <c r="P299" s="17">
        <f>Raw_Data!L299</f>
        <v/>
      </c>
      <c r="Q299" s="17">
        <f>O299-P299</f>
        <v/>
      </c>
      <c r="R299" s="31">
        <f>IF(O299=0,0,Q299/O299)</f>
        <v/>
      </c>
      <c r="S299">
        <f>XLOOKUP(F299,Lookups!$B$7:$B$11,Lookups!$C$7:$C$11,"Unknown")</f>
        <v/>
      </c>
      <c r="T299" s="31">
        <f>XLOOKUP(G299,Lookups!$E$7:$E$11,Lookups!$F$7:$F$11,0)</f>
        <v/>
      </c>
      <c r="U299" s="32">
        <f>R299-T299</f>
        <v/>
      </c>
      <c r="V299">
        <f>XLOOKUP(I299,Lookups!$H$7:$H$10,Lookups!$I$7:$I$10,"")</f>
        <v/>
      </c>
      <c r="W299">
        <f>IF(O299&gt;=50000,"HIGH VALUE","")</f>
        <v/>
      </c>
      <c r="X299">
        <f>IF(Q299&lt;0,"LOSS","")</f>
        <v/>
      </c>
      <c r="Y299">
        <f>IFS(M299&gt;=0.15,"Deep Discount",M299&gt;=0.1,"Moderate",TRUE,"Standard")</f>
        <v/>
      </c>
    </row>
    <row r="300">
      <c r="A300">
        <f>Raw_Data!A300</f>
        <v/>
      </c>
      <c r="B300" s="29">
        <f>Raw_Data!B300</f>
        <v/>
      </c>
      <c r="C300">
        <f>YEAR(B300)</f>
        <v/>
      </c>
      <c r="D300">
        <f>MONTH(B300)</f>
        <v/>
      </c>
      <c r="E300">
        <f>TEXT(B300,"MMM-YYYY")</f>
        <v/>
      </c>
      <c r="F300">
        <f>Raw_Data!C300</f>
        <v/>
      </c>
      <c r="G300">
        <f>Raw_Data!D300</f>
        <v/>
      </c>
      <c r="H300">
        <f>Raw_Data!E300</f>
        <v/>
      </c>
      <c r="I300">
        <f>Raw_Data!F300</f>
        <v/>
      </c>
      <c r="J300">
        <f>Raw_Data!G300</f>
        <v/>
      </c>
      <c r="K300">
        <f>Raw_Data!H300</f>
        <v/>
      </c>
      <c r="L300" s="30">
        <f>Raw_Data!I300</f>
        <v/>
      </c>
      <c r="M300" s="31">
        <f>Raw_Data!J300</f>
        <v/>
      </c>
      <c r="N300" s="17">
        <f>K300*L300</f>
        <v/>
      </c>
      <c r="O300" s="17">
        <f>N300*(1-M300)</f>
        <v/>
      </c>
      <c r="P300" s="17">
        <f>Raw_Data!L300</f>
        <v/>
      </c>
      <c r="Q300" s="17">
        <f>O300-P300</f>
        <v/>
      </c>
      <c r="R300" s="31">
        <f>IF(O300=0,0,Q300/O300)</f>
        <v/>
      </c>
      <c r="S300">
        <f>XLOOKUP(F300,Lookups!$B$7:$B$11,Lookups!$C$7:$C$11,"Unknown")</f>
        <v/>
      </c>
      <c r="T300" s="31">
        <f>XLOOKUP(G300,Lookups!$E$7:$E$11,Lookups!$F$7:$F$11,0)</f>
        <v/>
      </c>
      <c r="U300" s="32">
        <f>R300-T300</f>
        <v/>
      </c>
      <c r="V300">
        <f>XLOOKUP(I300,Lookups!$H$7:$H$10,Lookups!$I$7:$I$10,"")</f>
        <v/>
      </c>
      <c r="W300">
        <f>IF(O300&gt;=50000,"HIGH VALUE","")</f>
        <v/>
      </c>
      <c r="X300">
        <f>IF(Q300&lt;0,"LOSS","")</f>
        <v/>
      </c>
      <c r="Y300">
        <f>IFS(M300&gt;=0.15,"Deep Discount",M300&gt;=0.1,"Moderate",TRUE,"Standard")</f>
        <v/>
      </c>
    </row>
    <row r="301">
      <c r="A301">
        <f>Raw_Data!A301</f>
        <v/>
      </c>
      <c r="B301" s="29">
        <f>Raw_Data!B301</f>
        <v/>
      </c>
      <c r="C301">
        <f>YEAR(B301)</f>
        <v/>
      </c>
      <c r="D301">
        <f>MONTH(B301)</f>
        <v/>
      </c>
      <c r="E301">
        <f>TEXT(B301,"MMM-YYYY")</f>
        <v/>
      </c>
      <c r="F301">
        <f>Raw_Data!C301</f>
        <v/>
      </c>
      <c r="G301">
        <f>Raw_Data!D301</f>
        <v/>
      </c>
      <c r="H301">
        <f>Raw_Data!E301</f>
        <v/>
      </c>
      <c r="I301">
        <f>Raw_Data!F301</f>
        <v/>
      </c>
      <c r="J301">
        <f>Raw_Data!G301</f>
        <v/>
      </c>
      <c r="K301">
        <f>Raw_Data!H301</f>
        <v/>
      </c>
      <c r="L301" s="30">
        <f>Raw_Data!I301</f>
        <v/>
      </c>
      <c r="M301" s="31">
        <f>Raw_Data!J301</f>
        <v/>
      </c>
      <c r="N301" s="17">
        <f>K301*L301</f>
        <v/>
      </c>
      <c r="O301" s="17">
        <f>N301*(1-M301)</f>
        <v/>
      </c>
      <c r="P301" s="17">
        <f>Raw_Data!L301</f>
        <v/>
      </c>
      <c r="Q301" s="17">
        <f>O301-P301</f>
        <v/>
      </c>
      <c r="R301" s="31">
        <f>IF(O301=0,0,Q301/O301)</f>
        <v/>
      </c>
      <c r="S301">
        <f>XLOOKUP(F301,Lookups!$B$7:$B$11,Lookups!$C$7:$C$11,"Unknown")</f>
        <v/>
      </c>
      <c r="T301" s="31">
        <f>XLOOKUP(G301,Lookups!$E$7:$E$11,Lookups!$F$7:$F$11,0)</f>
        <v/>
      </c>
      <c r="U301" s="32">
        <f>R301-T301</f>
        <v/>
      </c>
      <c r="V301">
        <f>XLOOKUP(I301,Lookups!$H$7:$H$10,Lookups!$I$7:$I$10,"")</f>
        <v/>
      </c>
      <c r="W301">
        <f>IF(O301&gt;=50000,"HIGH VALUE","")</f>
        <v/>
      </c>
      <c r="X301">
        <f>IF(Q301&lt;0,"LOSS","")</f>
        <v/>
      </c>
      <c r="Y301">
        <f>IFS(M301&gt;=0.15,"Deep Discount",M301&gt;=0.1,"Moderate",TRUE,"Standard")</f>
        <v/>
      </c>
    </row>
    <row r="302">
      <c r="A302">
        <f>Raw_Data!A302</f>
        <v/>
      </c>
      <c r="B302" s="29">
        <f>Raw_Data!B302</f>
        <v/>
      </c>
      <c r="C302">
        <f>YEAR(B302)</f>
        <v/>
      </c>
      <c r="D302">
        <f>MONTH(B302)</f>
        <v/>
      </c>
      <c r="E302">
        <f>TEXT(B302,"MMM-YYYY")</f>
        <v/>
      </c>
      <c r="F302">
        <f>Raw_Data!C302</f>
        <v/>
      </c>
      <c r="G302">
        <f>Raw_Data!D302</f>
        <v/>
      </c>
      <c r="H302">
        <f>Raw_Data!E302</f>
        <v/>
      </c>
      <c r="I302">
        <f>Raw_Data!F302</f>
        <v/>
      </c>
      <c r="J302">
        <f>Raw_Data!G302</f>
        <v/>
      </c>
      <c r="K302">
        <f>Raw_Data!H302</f>
        <v/>
      </c>
      <c r="L302" s="30">
        <f>Raw_Data!I302</f>
        <v/>
      </c>
      <c r="M302" s="31">
        <f>Raw_Data!J302</f>
        <v/>
      </c>
      <c r="N302" s="17">
        <f>K302*L302</f>
        <v/>
      </c>
      <c r="O302" s="17">
        <f>N302*(1-M302)</f>
        <v/>
      </c>
      <c r="P302" s="17">
        <f>Raw_Data!L302</f>
        <v/>
      </c>
      <c r="Q302" s="17">
        <f>O302-P302</f>
        <v/>
      </c>
      <c r="R302" s="31">
        <f>IF(O302=0,0,Q302/O302)</f>
        <v/>
      </c>
      <c r="S302">
        <f>XLOOKUP(F302,Lookups!$B$7:$B$11,Lookups!$C$7:$C$11,"Unknown")</f>
        <v/>
      </c>
      <c r="T302" s="31">
        <f>XLOOKUP(G302,Lookups!$E$7:$E$11,Lookups!$F$7:$F$11,0)</f>
        <v/>
      </c>
      <c r="U302" s="32">
        <f>R302-T302</f>
        <v/>
      </c>
      <c r="V302">
        <f>XLOOKUP(I302,Lookups!$H$7:$H$10,Lookups!$I$7:$I$10,"")</f>
        <v/>
      </c>
      <c r="W302">
        <f>IF(O302&gt;=50000,"HIGH VALUE","")</f>
        <v/>
      </c>
      <c r="X302">
        <f>IF(Q302&lt;0,"LOSS","")</f>
        <v/>
      </c>
      <c r="Y302">
        <f>IFS(M302&gt;=0.15,"Deep Discount",M302&gt;=0.1,"Moderate",TRUE,"Standard")</f>
        <v/>
      </c>
    </row>
    <row r="303">
      <c r="A303">
        <f>Raw_Data!A303</f>
        <v/>
      </c>
      <c r="B303" s="29">
        <f>Raw_Data!B303</f>
        <v/>
      </c>
      <c r="C303">
        <f>YEAR(B303)</f>
        <v/>
      </c>
      <c r="D303">
        <f>MONTH(B303)</f>
        <v/>
      </c>
      <c r="E303">
        <f>TEXT(B303,"MMM-YYYY")</f>
        <v/>
      </c>
      <c r="F303">
        <f>Raw_Data!C303</f>
        <v/>
      </c>
      <c r="G303">
        <f>Raw_Data!D303</f>
        <v/>
      </c>
      <c r="H303">
        <f>Raw_Data!E303</f>
        <v/>
      </c>
      <c r="I303">
        <f>Raw_Data!F303</f>
        <v/>
      </c>
      <c r="J303">
        <f>Raw_Data!G303</f>
        <v/>
      </c>
      <c r="K303">
        <f>Raw_Data!H303</f>
        <v/>
      </c>
      <c r="L303" s="30">
        <f>Raw_Data!I303</f>
        <v/>
      </c>
      <c r="M303" s="31">
        <f>Raw_Data!J303</f>
        <v/>
      </c>
      <c r="N303" s="17">
        <f>K303*L303</f>
        <v/>
      </c>
      <c r="O303" s="17">
        <f>N303*(1-M303)</f>
        <v/>
      </c>
      <c r="P303" s="17">
        <f>Raw_Data!L303</f>
        <v/>
      </c>
      <c r="Q303" s="17">
        <f>O303-P303</f>
        <v/>
      </c>
      <c r="R303" s="31">
        <f>IF(O303=0,0,Q303/O303)</f>
        <v/>
      </c>
      <c r="S303">
        <f>XLOOKUP(F303,Lookups!$B$7:$B$11,Lookups!$C$7:$C$11,"Unknown")</f>
        <v/>
      </c>
      <c r="T303" s="31">
        <f>XLOOKUP(G303,Lookups!$E$7:$E$11,Lookups!$F$7:$F$11,0)</f>
        <v/>
      </c>
      <c r="U303" s="32">
        <f>R303-T303</f>
        <v/>
      </c>
      <c r="V303">
        <f>XLOOKUP(I303,Lookups!$H$7:$H$10,Lookups!$I$7:$I$10,"")</f>
        <v/>
      </c>
      <c r="W303">
        <f>IF(O303&gt;=50000,"HIGH VALUE","")</f>
        <v/>
      </c>
      <c r="X303">
        <f>IF(Q303&lt;0,"LOSS","")</f>
        <v/>
      </c>
      <c r="Y303">
        <f>IFS(M303&gt;=0.15,"Deep Discount",M303&gt;=0.1,"Moderate",TRUE,"Standard")</f>
        <v/>
      </c>
    </row>
    <row r="304">
      <c r="A304">
        <f>Raw_Data!A304</f>
        <v/>
      </c>
      <c r="B304" s="29">
        <f>Raw_Data!B304</f>
        <v/>
      </c>
      <c r="C304">
        <f>YEAR(B304)</f>
        <v/>
      </c>
      <c r="D304">
        <f>MONTH(B304)</f>
        <v/>
      </c>
      <c r="E304">
        <f>TEXT(B304,"MMM-YYYY")</f>
        <v/>
      </c>
      <c r="F304">
        <f>Raw_Data!C304</f>
        <v/>
      </c>
      <c r="G304">
        <f>Raw_Data!D304</f>
        <v/>
      </c>
      <c r="H304">
        <f>Raw_Data!E304</f>
        <v/>
      </c>
      <c r="I304">
        <f>Raw_Data!F304</f>
        <v/>
      </c>
      <c r="J304">
        <f>Raw_Data!G304</f>
        <v/>
      </c>
      <c r="K304">
        <f>Raw_Data!H304</f>
        <v/>
      </c>
      <c r="L304" s="30">
        <f>Raw_Data!I304</f>
        <v/>
      </c>
      <c r="M304" s="31">
        <f>Raw_Data!J304</f>
        <v/>
      </c>
      <c r="N304" s="17">
        <f>K304*L304</f>
        <v/>
      </c>
      <c r="O304" s="17">
        <f>N304*(1-M304)</f>
        <v/>
      </c>
      <c r="P304" s="17">
        <f>Raw_Data!L304</f>
        <v/>
      </c>
      <c r="Q304" s="17">
        <f>O304-P304</f>
        <v/>
      </c>
      <c r="R304" s="31">
        <f>IF(O304=0,0,Q304/O304)</f>
        <v/>
      </c>
      <c r="S304">
        <f>XLOOKUP(F304,Lookups!$B$7:$B$11,Lookups!$C$7:$C$11,"Unknown")</f>
        <v/>
      </c>
      <c r="T304" s="31">
        <f>XLOOKUP(G304,Lookups!$E$7:$E$11,Lookups!$F$7:$F$11,0)</f>
        <v/>
      </c>
      <c r="U304" s="32">
        <f>R304-T304</f>
        <v/>
      </c>
      <c r="V304">
        <f>XLOOKUP(I304,Lookups!$H$7:$H$10,Lookups!$I$7:$I$10,"")</f>
        <v/>
      </c>
      <c r="W304">
        <f>IF(O304&gt;=50000,"HIGH VALUE","")</f>
        <v/>
      </c>
      <c r="X304">
        <f>IF(Q304&lt;0,"LOSS","")</f>
        <v/>
      </c>
      <c r="Y304">
        <f>IFS(M304&gt;=0.15,"Deep Discount",M304&gt;=0.1,"Moderate",TRUE,"Standard")</f>
        <v/>
      </c>
    </row>
    <row r="305">
      <c r="A305">
        <f>Raw_Data!A305</f>
        <v/>
      </c>
      <c r="B305" s="29">
        <f>Raw_Data!B305</f>
        <v/>
      </c>
      <c r="C305">
        <f>YEAR(B305)</f>
        <v/>
      </c>
      <c r="D305">
        <f>MONTH(B305)</f>
        <v/>
      </c>
      <c r="E305">
        <f>TEXT(B305,"MMM-YYYY")</f>
        <v/>
      </c>
      <c r="F305">
        <f>Raw_Data!C305</f>
        <v/>
      </c>
      <c r="G305">
        <f>Raw_Data!D305</f>
        <v/>
      </c>
      <c r="H305">
        <f>Raw_Data!E305</f>
        <v/>
      </c>
      <c r="I305">
        <f>Raw_Data!F305</f>
        <v/>
      </c>
      <c r="J305">
        <f>Raw_Data!G305</f>
        <v/>
      </c>
      <c r="K305">
        <f>Raw_Data!H305</f>
        <v/>
      </c>
      <c r="L305" s="30">
        <f>Raw_Data!I305</f>
        <v/>
      </c>
      <c r="M305" s="31">
        <f>Raw_Data!J305</f>
        <v/>
      </c>
      <c r="N305" s="17">
        <f>K305*L305</f>
        <v/>
      </c>
      <c r="O305" s="17">
        <f>N305*(1-M305)</f>
        <v/>
      </c>
      <c r="P305" s="17">
        <f>Raw_Data!L305</f>
        <v/>
      </c>
      <c r="Q305" s="17">
        <f>O305-P305</f>
        <v/>
      </c>
      <c r="R305" s="31">
        <f>IF(O305=0,0,Q305/O305)</f>
        <v/>
      </c>
      <c r="S305">
        <f>XLOOKUP(F305,Lookups!$B$7:$B$11,Lookups!$C$7:$C$11,"Unknown")</f>
        <v/>
      </c>
      <c r="T305" s="31">
        <f>XLOOKUP(G305,Lookups!$E$7:$E$11,Lookups!$F$7:$F$11,0)</f>
        <v/>
      </c>
      <c r="U305" s="32">
        <f>R305-T305</f>
        <v/>
      </c>
      <c r="V305">
        <f>XLOOKUP(I305,Lookups!$H$7:$H$10,Lookups!$I$7:$I$10,"")</f>
        <v/>
      </c>
      <c r="W305">
        <f>IF(O305&gt;=50000,"HIGH VALUE","")</f>
        <v/>
      </c>
      <c r="X305">
        <f>IF(Q305&lt;0,"LOSS","")</f>
        <v/>
      </c>
      <c r="Y305">
        <f>IFS(M305&gt;=0.15,"Deep Discount",M305&gt;=0.1,"Moderate",TRUE,"Standard")</f>
        <v/>
      </c>
    </row>
    <row r="306">
      <c r="A306">
        <f>Raw_Data!A306</f>
        <v/>
      </c>
      <c r="B306" s="29">
        <f>Raw_Data!B306</f>
        <v/>
      </c>
      <c r="C306">
        <f>YEAR(B306)</f>
        <v/>
      </c>
      <c r="D306">
        <f>MONTH(B306)</f>
        <v/>
      </c>
      <c r="E306">
        <f>TEXT(B306,"MMM-YYYY")</f>
        <v/>
      </c>
      <c r="F306">
        <f>Raw_Data!C306</f>
        <v/>
      </c>
      <c r="G306">
        <f>Raw_Data!D306</f>
        <v/>
      </c>
      <c r="H306">
        <f>Raw_Data!E306</f>
        <v/>
      </c>
      <c r="I306">
        <f>Raw_Data!F306</f>
        <v/>
      </c>
      <c r="J306">
        <f>Raw_Data!G306</f>
        <v/>
      </c>
      <c r="K306">
        <f>Raw_Data!H306</f>
        <v/>
      </c>
      <c r="L306" s="30">
        <f>Raw_Data!I306</f>
        <v/>
      </c>
      <c r="M306" s="31">
        <f>Raw_Data!J306</f>
        <v/>
      </c>
      <c r="N306" s="17">
        <f>K306*L306</f>
        <v/>
      </c>
      <c r="O306" s="17">
        <f>N306*(1-M306)</f>
        <v/>
      </c>
      <c r="P306" s="17">
        <f>Raw_Data!L306</f>
        <v/>
      </c>
      <c r="Q306" s="17">
        <f>O306-P306</f>
        <v/>
      </c>
      <c r="R306" s="31">
        <f>IF(O306=0,0,Q306/O306)</f>
        <v/>
      </c>
      <c r="S306">
        <f>XLOOKUP(F306,Lookups!$B$7:$B$11,Lookups!$C$7:$C$11,"Unknown")</f>
        <v/>
      </c>
      <c r="T306" s="31">
        <f>XLOOKUP(G306,Lookups!$E$7:$E$11,Lookups!$F$7:$F$11,0)</f>
        <v/>
      </c>
      <c r="U306" s="32">
        <f>R306-T306</f>
        <v/>
      </c>
      <c r="V306">
        <f>XLOOKUP(I306,Lookups!$H$7:$H$10,Lookups!$I$7:$I$10,"")</f>
        <v/>
      </c>
      <c r="W306">
        <f>IF(O306&gt;=50000,"HIGH VALUE","")</f>
        <v/>
      </c>
      <c r="X306">
        <f>IF(Q306&lt;0,"LOSS","")</f>
        <v/>
      </c>
      <c r="Y306">
        <f>IFS(M306&gt;=0.15,"Deep Discount",M306&gt;=0.1,"Moderate",TRUE,"Standard")</f>
        <v/>
      </c>
    </row>
    <row r="307">
      <c r="A307">
        <f>Raw_Data!A307</f>
        <v/>
      </c>
      <c r="B307" s="29">
        <f>Raw_Data!B307</f>
        <v/>
      </c>
      <c r="C307">
        <f>YEAR(B307)</f>
        <v/>
      </c>
      <c r="D307">
        <f>MONTH(B307)</f>
        <v/>
      </c>
      <c r="E307">
        <f>TEXT(B307,"MMM-YYYY")</f>
        <v/>
      </c>
      <c r="F307">
        <f>Raw_Data!C307</f>
        <v/>
      </c>
      <c r="G307">
        <f>Raw_Data!D307</f>
        <v/>
      </c>
      <c r="H307">
        <f>Raw_Data!E307</f>
        <v/>
      </c>
      <c r="I307">
        <f>Raw_Data!F307</f>
        <v/>
      </c>
      <c r="J307">
        <f>Raw_Data!G307</f>
        <v/>
      </c>
      <c r="K307">
        <f>Raw_Data!H307</f>
        <v/>
      </c>
      <c r="L307" s="30">
        <f>Raw_Data!I307</f>
        <v/>
      </c>
      <c r="M307" s="31">
        <f>Raw_Data!J307</f>
        <v/>
      </c>
      <c r="N307" s="17">
        <f>K307*L307</f>
        <v/>
      </c>
      <c r="O307" s="17">
        <f>N307*(1-M307)</f>
        <v/>
      </c>
      <c r="P307" s="17">
        <f>Raw_Data!L307</f>
        <v/>
      </c>
      <c r="Q307" s="17">
        <f>O307-P307</f>
        <v/>
      </c>
      <c r="R307" s="31">
        <f>IF(O307=0,0,Q307/O307)</f>
        <v/>
      </c>
      <c r="S307">
        <f>XLOOKUP(F307,Lookups!$B$7:$B$11,Lookups!$C$7:$C$11,"Unknown")</f>
        <v/>
      </c>
      <c r="T307" s="31">
        <f>XLOOKUP(G307,Lookups!$E$7:$E$11,Lookups!$F$7:$F$11,0)</f>
        <v/>
      </c>
      <c r="U307" s="32">
        <f>R307-T307</f>
        <v/>
      </c>
      <c r="V307">
        <f>XLOOKUP(I307,Lookups!$H$7:$H$10,Lookups!$I$7:$I$10,"")</f>
        <v/>
      </c>
      <c r="W307">
        <f>IF(O307&gt;=50000,"HIGH VALUE","")</f>
        <v/>
      </c>
      <c r="X307">
        <f>IF(Q307&lt;0,"LOSS","")</f>
        <v/>
      </c>
      <c r="Y307">
        <f>IFS(M307&gt;=0.15,"Deep Discount",M307&gt;=0.1,"Moderate",TRUE,"Standard")</f>
        <v/>
      </c>
    </row>
    <row r="308">
      <c r="A308">
        <f>Raw_Data!A308</f>
        <v/>
      </c>
      <c r="B308" s="29">
        <f>Raw_Data!B308</f>
        <v/>
      </c>
      <c r="C308">
        <f>YEAR(B308)</f>
        <v/>
      </c>
      <c r="D308">
        <f>MONTH(B308)</f>
        <v/>
      </c>
      <c r="E308">
        <f>TEXT(B308,"MMM-YYYY")</f>
        <v/>
      </c>
      <c r="F308">
        <f>Raw_Data!C308</f>
        <v/>
      </c>
      <c r="G308">
        <f>Raw_Data!D308</f>
        <v/>
      </c>
      <c r="H308">
        <f>Raw_Data!E308</f>
        <v/>
      </c>
      <c r="I308">
        <f>Raw_Data!F308</f>
        <v/>
      </c>
      <c r="J308">
        <f>Raw_Data!G308</f>
        <v/>
      </c>
      <c r="K308">
        <f>Raw_Data!H308</f>
        <v/>
      </c>
      <c r="L308" s="30">
        <f>Raw_Data!I308</f>
        <v/>
      </c>
      <c r="M308" s="31">
        <f>Raw_Data!J308</f>
        <v/>
      </c>
      <c r="N308" s="17">
        <f>K308*L308</f>
        <v/>
      </c>
      <c r="O308" s="17">
        <f>N308*(1-M308)</f>
        <v/>
      </c>
      <c r="P308" s="17">
        <f>Raw_Data!L308</f>
        <v/>
      </c>
      <c r="Q308" s="17">
        <f>O308-P308</f>
        <v/>
      </c>
      <c r="R308" s="31">
        <f>IF(O308=0,0,Q308/O308)</f>
        <v/>
      </c>
      <c r="S308">
        <f>XLOOKUP(F308,Lookups!$B$7:$B$11,Lookups!$C$7:$C$11,"Unknown")</f>
        <v/>
      </c>
      <c r="T308" s="31">
        <f>XLOOKUP(G308,Lookups!$E$7:$E$11,Lookups!$F$7:$F$11,0)</f>
        <v/>
      </c>
      <c r="U308" s="32">
        <f>R308-T308</f>
        <v/>
      </c>
      <c r="V308">
        <f>XLOOKUP(I308,Lookups!$H$7:$H$10,Lookups!$I$7:$I$10,"")</f>
        <v/>
      </c>
      <c r="W308">
        <f>IF(O308&gt;=50000,"HIGH VALUE","")</f>
        <v/>
      </c>
      <c r="X308">
        <f>IF(Q308&lt;0,"LOSS","")</f>
        <v/>
      </c>
      <c r="Y308">
        <f>IFS(M308&gt;=0.15,"Deep Discount",M308&gt;=0.1,"Moderate",TRUE,"Standard")</f>
        <v/>
      </c>
    </row>
    <row r="309">
      <c r="A309">
        <f>Raw_Data!A309</f>
        <v/>
      </c>
      <c r="B309" s="29">
        <f>Raw_Data!B309</f>
        <v/>
      </c>
      <c r="C309">
        <f>YEAR(B309)</f>
        <v/>
      </c>
      <c r="D309">
        <f>MONTH(B309)</f>
        <v/>
      </c>
      <c r="E309">
        <f>TEXT(B309,"MMM-YYYY")</f>
        <v/>
      </c>
      <c r="F309">
        <f>Raw_Data!C309</f>
        <v/>
      </c>
      <c r="G309">
        <f>Raw_Data!D309</f>
        <v/>
      </c>
      <c r="H309">
        <f>Raw_Data!E309</f>
        <v/>
      </c>
      <c r="I309">
        <f>Raw_Data!F309</f>
        <v/>
      </c>
      <c r="J309">
        <f>Raw_Data!G309</f>
        <v/>
      </c>
      <c r="K309">
        <f>Raw_Data!H309</f>
        <v/>
      </c>
      <c r="L309" s="30">
        <f>Raw_Data!I309</f>
        <v/>
      </c>
      <c r="M309" s="31">
        <f>Raw_Data!J309</f>
        <v/>
      </c>
      <c r="N309" s="17">
        <f>K309*L309</f>
        <v/>
      </c>
      <c r="O309" s="17">
        <f>N309*(1-M309)</f>
        <v/>
      </c>
      <c r="P309" s="17">
        <f>Raw_Data!L309</f>
        <v/>
      </c>
      <c r="Q309" s="17">
        <f>O309-P309</f>
        <v/>
      </c>
      <c r="R309" s="31">
        <f>IF(O309=0,0,Q309/O309)</f>
        <v/>
      </c>
      <c r="S309">
        <f>XLOOKUP(F309,Lookups!$B$7:$B$11,Lookups!$C$7:$C$11,"Unknown")</f>
        <v/>
      </c>
      <c r="T309" s="31">
        <f>XLOOKUP(G309,Lookups!$E$7:$E$11,Lookups!$F$7:$F$11,0)</f>
        <v/>
      </c>
      <c r="U309" s="32">
        <f>R309-T309</f>
        <v/>
      </c>
      <c r="V309">
        <f>XLOOKUP(I309,Lookups!$H$7:$H$10,Lookups!$I$7:$I$10,"")</f>
        <v/>
      </c>
      <c r="W309">
        <f>IF(O309&gt;=50000,"HIGH VALUE","")</f>
        <v/>
      </c>
      <c r="X309">
        <f>IF(Q309&lt;0,"LOSS","")</f>
        <v/>
      </c>
      <c r="Y309">
        <f>IFS(M309&gt;=0.15,"Deep Discount",M309&gt;=0.1,"Moderate",TRUE,"Standard")</f>
        <v/>
      </c>
    </row>
    <row r="310">
      <c r="A310">
        <f>Raw_Data!A310</f>
        <v/>
      </c>
      <c r="B310" s="29">
        <f>Raw_Data!B310</f>
        <v/>
      </c>
      <c r="C310">
        <f>YEAR(B310)</f>
        <v/>
      </c>
      <c r="D310">
        <f>MONTH(B310)</f>
        <v/>
      </c>
      <c r="E310">
        <f>TEXT(B310,"MMM-YYYY")</f>
        <v/>
      </c>
      <c r="F310">
        <f>Raw_Data!C310</f>
        <v/>
      </c>
      <c r="G310">
        <f>Raw_Data!D310</f>
        <v/>
      </c>
      <c r="H310">
        <f>Raw_Data!E310</f>
        <v/>
      </c>
      <c r="I310">
        <f>Raw_Data!F310</f>
        <v/>
      </c>
      <c r="J310">
        <f>Raw_Data!G310</f>
        <v/>
      </c>
      <c r="K310">
        <f>Raw_Data!H310</f>
        <v/>
      </c>
      <c r="L310" s="30">
        <f>Raw_Data!I310</f>
        <v/>
      </c>
      <c r="M310" s="31">
        <f>Raw_Data!J310</f>
        <v/>
      </c>
      <c r="N310" s="17">
        <f>K310*L310</f>
        <v/>
      </c>
      <c r="O310" s="17">
        <f>N310*(1-M310)</f>
        <v/>
      </c>
      <c r="P310" s="17">
        <f>Raw_Data!L310</f>
        <v/>
      </c>
      <c r="Q310" s="17">
        <f>O310-P310</f>
        <v/>
      </c>
      <c r="R310" s="31">
        <f>IF(O310=0,0,Q310/O310)</f>
        <v/>
      </c>
      <c r="S310">
        <f>XLOOKUP(F310,Lookups!$B$7:$B$11,Lookups!$C$7:$C$11,"Unknown")</f>
        <v/>
      </c>
      <c r="T310" s="31">
        <f>XLOOKUP(G310,Lookups!$E$7:$E$11,Lookups!$F$7:$F$11,0)</f>
        <v/>
      </c>
      <c r="U310" s="32">
        <f>R310-T310</f>
        <v/>
      </c>
      <c r="V310">
        <f>XLOOKUP(I310,Lookups!$H$7:$H$10,Lookups!$I$7:$I$10,"")</f>
        <v/>
      </c>
      <c r="W310">
        <f>IF(O310&gt;=50000,"HIGH VALUE","")</f>
        <v/>
      </c>
      <c r="X310">
        <f>IF(Q310&lt;0,"LOSS","")</f>
        <v/>
      </c>
      <c r="Y310">
        <f>IFS(M310&gt;=0.15,"Deep Discount",M310&gt;=0.1,"Moderate",TRUE,"Standard")</f>
        <v/>
      </c>
    </row>
    <row r="311">
      <c r="A311">
        <f>Raw_Data!A311</f>
        <v/>
      </c>
      <c r="B311" s="29">
        <f>Raw_Data!B311</f>
        <v/>
      </c>
      <c r="C311">
        <f>YEAR(B311)</f>
        <v/>
      </c>
      <c r="D311">
        <f>MONTH(B311)</f>
        <v/>
      </c>
      <c r="E311">
        <f>TEXT(B311,"MMM-YYYY")</f>
        <v/>
      </c>
      <c r="F311">
        <f>Raw_Data!C311</f>
        <v/>
      </c>
      <c r="G311">
        <f>Raw_Data!D311</f>
        <v/>
      </c>
      <c r="H311">
        <f>Raw_Data!E311</f>
        <v/>
      </c>
      <c r="I311">
        <f>Raw_Data!F311</f>
        <v/>
      </c>
      <c r="J311">
        <f>Raw_Data!G311</f>
        <v/>
      </c>
      <c r="K311">
        <f>Raw_Data!H311</f>
        <v/>
      </c>
      <c r="L311" s="30">
        <f>Raw_Data!I311</f>
        <v/>
      </c>
      <c r="M311" s="31">
        <f>Raw_Data!J311</f>
        <v/>
      </c>
      <c r="N311" s="17">
        <f>K311*L311</f>
        <v/>
      </c>
      <c r="O311" s="17">
        <f>N311*(1-M311)</f>
        <v/>
      </c>
      <c r="P311" s="17">
        <f>Raw_Data!L311</f>
        <v/>
      </c>
      <c r="Q311" s="17">
        <f>O311-P311</f>
        <v/>
      </c>
      <c r="R311" s="31">
        <f>IF(O311=0,0,Q311/O311)</f>
        <v/>
      </c>
      <c r="S311">
        <f>XLOOKUP(F311,Lookups!$B$7:$B$11,Lookups!$C$7:$C$11,"Unknown")</f>
        <v/>
      </c>
      <c r="T311" s="31">
        <f>XLOOKUP(G311,Lookups!$E$7:$E$11,Lookups!$F$7:$F$11,0)</f>
        <v/>
      </c>
      <c r="U311" s="32">
        <f>R311-T311</f>
        <v/>
      </c>
      <c r="V311">
        <f>XLOOKUP(I311,Lookups!$H$7:$H$10,Lookups!$I$7:$I$10,"")</f>
        <v/>
      </c>
      <c r="W311">
        <f>IF(O311&gt;=50000,"HIGH VALUE","")</f>
        <v/>
      </c>
      <c r="X311">
        <f>IF(Q311&lt;0,"LOSS","")</f>
        <v/>
      </c>
      <c r="Y311">
        <f>IFS(M311&gt;=0.15,"Deep Discount",M311&gt;=0.1,"Moderate",TRUE,"Standard")</f>
        <v/>
      </c>
    </row>
    <row r="312">
      <c r="A312">
        <f>Raw_Data!A312</f>
        <v/>
      </c>
      <c r="B312" s="29">
        <f>Raw_Data!B312</f>
        <v/>
      </c>
      <c r="C312">
        <f>YEAR(B312)</f>
        <v/>
      </c>
      <c r="D312">
        <f>MONTH(B312)</f>
        <v/>
      </c>
      <c r="E312">
        <f>TEXT(B312,"MMM-YYYY")</f>
        <v/>
      </c>
      <c r="F312">
        <f>Raw_Data!C312</f>
        <v/>
      </c>
      <c r="G312">
        <f>Raw_Data!D312</f>
        <v/>
      </c>
      <c r="H312">
        <f>Raw_Data!E312</f>
        <v/>
      </c>
      <c r="I312">
        <f>Raw_Data!F312</f>
        <v/>
      </c>
      <c r="J312">
        <f>Raw_Data!G312</f>
        <v/>
      </c>
      <c r="K312">
        <f>Raw_Data!H312</f>
        <v/>
      </c>
      <c r="L312" s="30">
        <f>Raw_Data!I312</f>
        <v/>
      </c>
      <c r="M312" s="31">
        <f>Raw_Data!J312</f>
        <v/>
      </c>
      <c r="N312" s="17">
        <f>K312*L312</f>
        <v/>
      </c>
      <c r="O312" s="17">
        <f>N312*(1-M312)</f>
        <v/>
      </c>
      <c r="P312" s="17">
        <f>Raw_Data!L312</f>
        <v/>
      </c>
      <c r="Q312" s="17">
        <f>O312-P312</f>
        <v/>
      </c>
      <c r="R312" s="31">
        <f>IF(O312=0,0,Q312/O312)</f>
        <v/>
      </c>
      <c r="S312">
        <f>XLOOKUP(F312,Lookups!$B$7:$B$11,Lookups!$C$7:$C$11,"Unknown")</f>
        <v/>
      </c>
      <c r="T312" s="31">
        <f>XLOOKUP(G312,Lookups!$E$7:$E$11,Lookups!$F$7:$F$11,0)</f>
        <v/>
      </c>
      <c r="U312" s="32">
        <f>R312-T312</f>
        <v/>
      </c>
      <c r="V312">
        <f>XLOOKUP(I312,Lookups!$H$7:$H$10,Lookups!$I$7:$I$10,"")</f>
        <v/>
      </c>
      <c r="W312">
        <f>IF(O312&gt;=50000,"HIGH VALUE","")</f>
        <v/>
      </c>
      <c r="X312">
        <f>IF(Q312&lt;0,"LOSS","")</f>
        <v/>
      </c>
      <c r="Y312">
        <f>IFS(M312&gt;=0.15,"Deep Discount",M312&gt;=0.1,"Moderate",TRUE,"Standard")</f>
        <v/>
      </c>
    </row>
    <row r="313">
      <c r="A313">
        <f>Raw_Data!A313</f>
        <v/>
      </c>
      <c r="B313" s="29">
        <f>Raw_Data!B313</f>
        <v/>
      </c>
      <c r="C313">
        <f>YEAR(B313)</f>
        <v/>
      </c>
      <c r="D313">
        <f>MONTH(B313)</f>
        <v/>
      </c>
      <c r="E313">
        <f>TEXT(B313,"MMM-YYYY")</f>
        <v/>
      </c>
      <c r="F313">
        <f>Raw_Data!C313</f>
        <v/>
      </c>
      <c r="G313">
        <f>Raw_Data!D313</f>
        <v/>
      </c>
      <c r="H313">
        <f>Raw_Data!E313</f>
        <v/>
      </c>
      <c r="I313">
        <f>Raw_Data!F313</f>
        <v/>
      </c>
      <c r="J313">
        <f>Raw_Data!G313</f>
        <v/>
      </c>
      <c r="K313">
        <f>Raw_Data!H313</f>
        <v/>
      </c>
      <c r="L313" s="30">
        <f>Raw_Data!I313</f>
        <v/>
      </c>
      <c r="M313" s="31">
        <f>Raw_Data!J313</f>
        <v/>
      </c>
      <c r="N313" s="17">
        <f>K313*L313</f>
        <v/>
      </c>
      <c r="O313" s="17">
        <f>N313*(1-M313)</f>
        <v/>
      </c>
      <c r="P313" s="17">
        <f>Raw_Data!L313</f>
        <v/>
      </c>
      <c r="Q313" s="17">
        <f>O313-P313</f>
        <v/>
      </c>
      <c r="R313" s="31">
        <f>IF(O313=0,0,Q313/O313)</f>
        <v/>
      </c>
      <c r="S313">
        <f>XLOOKUP(F313,Lookups!$B$7:$B$11,Lookups!$C$7:$C$11,"Unknown")</f>
        <v/>
      </c>
      <c r="T313" s="31">
        <f>XLOOKUP(G313,Lookups!$E$7:$E$11,Lookups!$F$7:$F$11,0)</f>
        <v/>
      </c>
      <c r="U313" s="32">
        <f>R313-T313</f>
        <v/>
      </c>
      <c r="V313">
        <f>XLOOKUP(I313,Lookups!$H$7:$H$10,Lookups!$I$7:$I$10,"")</f>
        <v/>
      </c>
      <c r="W313">
        <f>IF(O313&gt;=50000,"HIGH VALUE","")</f>
        <v/>
      </c>
      <c r="X313">
        <f>IF(Q313&lt;0,"LOSS","")</f>
        <v/>
      </c>
      <c r="Y313">
        <f>IFS(M313&gt;=0.15,"Deep Discount",M313&gt;=0.1,"Moderate",TRUE,"Standard")</f>
        <v/>
      </c>
    </row>
    <row r="314">
      <c r="A314">
        <f>Raw_Data!A314</f>
        <v/>
      </c>
      <c r="B314" s="29">
        <f>Raw_Data!B314</f>
        <v/>
      </c>
      <c r="C314">
        <f>YEAR(B314)</f>
        <v/>
      </c>
      <c r="D314">
        <f>MONTH(B314)</f>
        <v/>
      </c>
      <c r="E314">
        <f>TEXT(B314,"MMM-YYYY")</f>
        <v/>
      </c>
      <c r="F314">
        <f>Raw_Data!C314</f>
        <v/>
      </c>
      <c r="G314">
        <f>Raw_Data!D314</f>
        <v/>
      </c>
      <c r="H314">
        <f>Raw_Data!E314</f>
        <v/>
      </c>
      <c r="I314">
        <f>Raw_Data!F314</f>
        <v/>
      </c>
      <c r="J314">
        <f>Raw_Data!G314</f>
        <v/>
      </c>
      <c r="K314">
        <f>Raw_Data!H314</f>
        <v/>
      </c>
      <c r="L314" s="30">
        <f>Raw_Data!I314</f>
        <v/>
      </c>
      <c r="M314" s="31">
        <f>Raw_Data!J314</f>
        <v/>
      </c>
      <c r="N314" s="17">
        <f>K314*L314</f>
        <v/>
      </c>
      <c r="O314" s="17">
        <f>N314*(1-M314)</f>
        <v/>
      </c>
      <c r="P314" s="17">
        <f>Raw_Data!L314</f>
        <v/>
      </c>
      <c r="Q314" s="17">
        <f>O314-P314</f>
        <v/>
      </c>
      <c r="R314" s="31">
        <f>IF(O314=0,0,Q314/O314)</f>
        <v/>
      </c>
      <c r="S314">
        <f>XLOOKUP(F314,Lookups!$B$7:$B$11,Lookups!$C$7:$C$11,"Unknown")</f>
        <v/>
      </c>
      <c r="T314" s="31">
        <f>XLOOKUP(G314,Lookups!$E$7:$E$11,Lookups!$F$7:$F$11,0)</f>
        <v/>
      </c>
      <c r="U314" s="32">
        <f>R314-T314</f>
        <v/>
      </c>
      <c r="V314">
        <f>XLOOKUP(I314,Lookups!$H$7:$H$10,Lookups!$I$7:$I$10,"")</f>
        <v/>
      </c>
      <c r="W314">
        <f>IF(O314&gt;=50000,"HIGH VALUE","")</f>
        <v/>
      </c>
      <c r="X314">
        <f>IF(Q314&lt;0,"LOSS","")</f>
        <v/>
      </c>
      <c r="Y314">
        <f>IFS(M314&gt;=0.15,"Deep Discount",M314&gt;=0.1,"Moderate",TRUE,"Standard")</f>
        <v/>
      </c>
    </row>
    <row r="315">
      <c r="A315">
        <f>Raw_Data!A315</f>
        <v/>
      </c>
      <c r="B315" s="29">
        <f>Raw_Data!B315</f>
        <v/>
      </c>
      <c r="C315">
        <f>YEAR(B315)</f>
        <v/>
      </c>
      <c r="D315">
        <f>MONTH(B315)</f>
        <v/>
      </c>
      <c r="E315">
        <f>TEXT(B315,"MMM-YYYY")</f>
        <v/>
      </c>
      <c r="F315">
        <f>Raw_Data!C315</f>
        <v/>
      </c>
      <c r="G315">
        <f>Raw_Data!D315</f>
        <v/>
      </c>
      <c r="H315">
        <f>Raw_Data!E315</f>
        <v/>
      </c>
      <c r="I315">
        <f>Raw_Data!F315</f>
        <v/>
      </c>
      <c r="J315">
        <f>Raw_Data!G315</f>
        <v/>
      </c>
      <c r="K315">
        <f>Raw_Data!H315</f>
        <v/>
      </c>
      <c r="L315" s="30">
        <f>Raw_Data!I315</f>
        <v/>
      </c>
      <c r="M315" s="31">
        <f>Raw_Data!J315</f>
        <v/>
      </c>
      <c r="N315" s="17">
        <f>K315*L315</f>
        <v/>
      </c>
      <c r="O315" s="17">
        <f>N315*(1-M315)</f>
        <v/>
      </c>
      <c r="P315" s="17">
        <f>Raw_Data!L315</f>
        <v/>
      </c>
      <c r="Q315" s="17">
        <f>O315-P315</f>
        <v/>
      </c>
      <c r="R315" s="31">
        <f>IF(O315=0,0,Q315/O315)</f>
        <v/>
      </c>
      <c r="S315">
        <f>XLOOKUP(F315,Lookups!$B$7:$B$11,Lookups!$C$7:$C$11,"Unknown")</f>
        <v/>
      </c>
      <c r="T315" s="31">
        <f>XLOOKUP(G315,Lookups!$E$7:$E$11,Lookups!$F$7:$F$11,0)</f>
        <v/>
      </c>
      <c r="U315" s="32">
        <f>R315-T315</f>
        <v/>
      </c>
      <c r="V315">
        <f>XLOOKUP(I315,Lookups!$H$7:$H$10,Lookups!$I$7:$I$10,"")</f>
        <v/>
      </c>
      <c r="W315">
        <f>IF(O315&gt;=50000,"HIGH VALUE","")</f>
        <v/>
      </c>
      <c r="X315">
        <f>IF(Q315&lt;0,"LOSS","")</f>
        <v/>
      </c>
      <c r="Y315">
        <f>IFS(M315&gt;=0.15,"Deep Discount",M315&gt;=0.1,"Moderate",TRUE,"Standard")</f>
        <v/>
      </c>
    </row>
    <row r="316">
      <c r="A316">
        <f>Raw_Data!A316</f>
        <v/>
      </c>
      <c r="B316" s="29">
        <f>Raw_Data!B316</f>
        <v/>
      </c>
      <c r="C316">
        <f>YEAR(B316)</f>
        <v/>
      </c>
      <c r="D316">
        <f>MONTH(B316)</f>
        <v/>
      </c>
      <c r="E316">
        <f>TEXT(B316,"MMM-YYYY")</f>
        <v/>
      </c>
      <c r="F316">
        <f>Raw_Data!C316</f>
        <v/>
      </c>
      <c r="G316">
        <f>Raw_Data!D316</f>
        <v/>
      </c>
      <c r="H316">
        <f>Raw_Data!E316</f>
        <v/>
      </c>
      <c r="I316">
        <f>Raw_Data!F316</f>
        <v/>
      </c>
      <c r="J316">
        <f>Raw_Data!G316</f>
        <v/>
      </c>
      <c r="K316">
        <f>Raw_Data!H316</f>
        <v/>
      </c>
      <c r="L316" s="30">
        <f>Raw_Data!I316</f>
        <v/>
      </c>
      <c r="M316" s="31">
        <f>Raw_Data!J316</f>
        <v/>
      </c>
      <c r="N316" s="17">
        <f>K316*L316</f>
        <v/>
      </c>
      <c r="O316" s="17">
        <f>N316*(1-M316)</f>
        <v/>
      </c>
      <c r="P316" s="17">
        <f>Raw_Data!L316</f>
        <v/>
      </c>
      <c r="Q316" s="17">
        <f>O316-P316</f>
        <v/>
      </c>
      <c r="R316" s="31">
        <f>IF(O316=0,0,Q316/O316)</f>
        <v/>
      </c>
      <c r="S316">
        <f>XLOOKUP(F316,Lookups!$B$7:$B$11,Lookups!$C$7:$C$11,"Unknown")</f>
        <v/>
      </c>
      <c r="T316" s="31">
        <f>XLOOKUP(G316,Lookups!$E$7:$E$11,Lookups!$F$7:$F$11,0)</f>
        <v/>
      </c>
      <c r="U316" s="32">
        <f>R316-T316</f>
        <v/>
      </c>
      <c r="V316">
        <f>XLOOKUP(I316,Lookups!$H$7:$H$10,Lookups!$I$7:$I$10,"")</f>
        <v/>
      </c>
      <c r="W316">
        <f>IF(O316&gt;=50000,"HIGH VALUE","")</f>
        <v/>
      </c>
      <c r="X316">
        <f>IF(Q316&lt;0,"LOSS","")</f>
        <v/>
      </c>
      <c r="Y316">
        <f>IFS(M316&gt;=0.15,"Deep Discount",M316&gt;=0.1,"Moderate",TRUE,"Standard")</f>
        <v/>
      </c>
    </row>
    <row r="317">
      <c r="A317">
        <f>Raw_Data!A317</f>
        <v/>
      </c>
      <c r="B317" s="29">
        <f>Raw_Data!B317</f>
        <v/>
      </c>
      <c r="C317">
        <f>YEAR(B317)</f>
        <v/>
      </c>
      <c r="D317">
        <f>MONTH(B317)</f>
        <v/>
      </c>
      <c r="E317">
        <f>TEXT(B317,"MMM-YYYY")</f>
        <v/>
      </c>
      <c r="F317">
        <f>Raw_Data!C317</f>
        <v/>
      </c>
      <c r="G317">
        <f>Raw_Data!D317</f>
        <v/>
      </c>
      <c r="H317">
        <f>Raw_Data!E317</f>
        <v/>
      </c>
      <c r="I317">
        <f>Raw_Data!F317</f>
        <v/>
      </c>
      <c r="J317">
        <f>Raw_Data!G317</f>
        <v/>
      </c>
      <c r="K317">
        <f>Raw_Data!H317</f>
        <v/>
      </c>
      <c r="L317" s="30">
        <f>Raw_Data!I317</f>
        <v/>
      </c>
      <c r="M317" s="31">
        <f>Raw_Data!J317</f>
        <v/>
      </c>
      <c r="N317" s="17">
        <f>K317*L317</f>
        <v/>
      </c>
      <c r="O317" s="17">
        <f>N317*(1-M317)</f>
        <v/>
      </c>
      <c r="P317" s="17">
        <f>Raw_Data!L317</f>
        <v/>
      </c>
      <c r="Q317" s="17">
        <f>O317-P317</f>
        <v/>
      </c>
      <c r="R317" s="31">
        <f>IF(O317=0,0,Q317/O317)</f>
        <v/>
      </c>
      <c r="S317">
        <f>XLOOKUP(F317,Lookups!$B$7:$B$11,Lookups!$C$7:$C$11,"Unknown")</f>
        <v/>
      </c>
      <c r="T317" s="31">
        <f>XLOOKUP(G317,Lookups!$E$7:$E$11,Lookups!$F$7:$F$11,0)</f>
        <v/>
      </c>
      <c r="U317" s="32">
        <f>R317-T317</f>
        <v/>
      </c>
      <c r="V317">
        <f>XLOOKUP(I317,Lookups!$H$7:$H$10,Lookups!$I$7:$I$10,"")</f>
        <v/>
      </c>
      <c r="W317">
        <f>IF(O317&gt;=50000,"HIGH VALUE","")</f>
        <v/>
      </c>
      <c r="X317">
        <f>IF(Q317&lt;0,"LOSS","")</f>
        <v/>
      </c>
      <c r="Y317">
        <f>IFS(M317&gt;=0.15,"Deep Discount",M317&gt;=0.1,"Moderate",TRUE,"Standard")</f>
        <v/>
      </c>
    </row>
    <row r="318">
      <c r="A318">
        <f>Raw_Data!A318</f>
        <v/>
      </c>
      <c r="B318" s="29">
        <f>Raw_Data!B318</f>
        <v/>
      </c>
      <c r="C318">
        <f>YEAR(B318)</f>
        <v/>
      </c>
      <c r="D318">
        <f>MONTH(B318)</f>
        <v/>
      </c>
      <c r="E318">
        <f>TEXT(B318,"MMM-YYYY")</f>
        <v/>
      </c>
      <c r="F318">
        <f>Raw_Data!C318</f>
        <v/>
      </c>
      <c r="G318">
        <f>Raw_Data!D318</f>
        <v/>
      </c>
      <c r="H318">
        <f>Raw_Data!E318</f>
        <v/>
      </c>
      <c r="I318">
        <f>Raw_Data!F318</f>
        <v/>
      </c>
      <c r="J318">
        <f>Raw_Data!G318</f>
        <v/>
      </c>
      <c r="K318">
        <f>Raw_Data!H318</f>
        <v/>
      </c>
      <c r="L318" s="30">
        <f>Raw_Data!I318</f>
        <v/>
      </c>
      <c r="M318" s="31">
        <f>Raw_Data!J318</f>
        <v/>
      </c>
      <c r="N318" s="17">
        <f>K318*L318</f>
        <v/>
      </c>
      <c r="O318" s="17">
        <f>N318*(1-M318)</f>
        <v/>
      </c>
      <c r="P318" s="17">
        <f>Raw_Data!L318</f>
        <v/>
      </c>
      <c r="Q318" s="17">
        <f>O318-P318</f>
        <v/>
      </c>
      <c r="R318" s="31">
        <f>IF(O318=0,0,Q318/O318)</f>
        <v/>
      </c>
      <c r="S318">
        <f>XLOOKUP(F318,Lookups!$B$7:$B$11,Lookups!$C$7:$C$11,"Unknown")</f>
        <v/>
      </c>
      <c r="T318" s="31">
        <f>XLOOKUP(G318,Lookups!$E$7:$E$11,Lookups!$F$7:$F$11,0)</f>
        <v/>
      </c>
      <c r="U318" s="32">
        <f>R318-T318</f>
        <v/>
      </c>
      <c r="V318">
        <f>XLOOKUP(I318,Lookups!$H$7:$H$10,Lookups!$I$7:$I$10,"")</f>
        <v/>
      </c>
      <c r="W318">
        <f>IF(O318&gt;=50000,"HIGH VALUE","")</f>
        <v/>
      </c>
      <c r="X318">
        <f>IF(Q318&lt;0,"LOSS","")</f>
        <v/>
      </c>
      <c r="Y318">
        <f>IFS(M318&gt;=0.15,"Deep Discount",M318&gt;=0.1,"Moderate",TRUE,"Standard")</f>
        <v/>
      </c>
    </row>
    <row r="319">
      <c r="A319">
        <f>Raw_Data!A319</f>
        <v/>
      </c>
      <c r="B319" s="29">
        <f>Raw_Data!B319</f>
        <v/>
      </c>
      <c r="C319">
        <f>YEAR(B319)</f>
        <v/>
      </c>
      <c r="D319">
        <f>MONTH(B319)</f>
        <v/>
      </c>
      <c r="E319">
        <f>TEXT(B319,"MMM-YYYY")</f>
        <v/>
      </c>
      <c r="F319">
        <f>Raw_Data!C319</f>
        <v/>
      </c>
      <c r="G319">
        <f>Raw_Data!D319</f>
        <v/>
      </c>
      <c r="H319">
        <f>Raw_Data!E319</f>
        <v/>
      </c>
      <c r="I319">
        <f>Raw_Data!F319</f>
        <v/>
      </c>
      <c r="J319">
        <f>Raw_Data!G319</f>
        <v/>
      </c>
      <c r="K319">
        <f>Raw_Data!H319</f>
        <v/>
      </c>
      <c r="L319" s="30">
        <f>Raw_Data!I319</f>
        <v/>
      </c>
      <c r="M319" s="31">
        <f>Raw_Data!J319</f>
        <v/>
      </c>
      <c r="N319" s="17">
        <f>K319*L319</f>
        <v/>
      </c>
      <c r="O319" s="17">
        <f>N319*(1-M319)</f>
        <v/>
      </c>
      <c r="P319" s="17">
        <f>Raw_Data!L319</f>
        <v/>
      </c>
      <c r="Q319" s="17">
        <f>O319-P319</f>
        <v/>
      </c>
      <c r="R319" s="31">
        <f>IF(O319=0,0,Q319/O319)</f>
        <v/>
      </c>
      <c r="S319">
        <f>XLOOKUP(F319,Lookups!$B$7:$B$11,Lookups!$C$7:$C$11,"Unknown")</f>
        <v/>
      </c>
      <c r="T319" s="31">
        <f>XLOOKUP(G319,Lookups!$E$7:$E$11,Lookups!$F$7:$F$11,0)</f>
        <v/>
      </c>
      <c r="U319" s="32">
        <f>R319-T319</f>
        <v/>
      </c>
      <c r="V319">
        <f>XLOOKUP(I319,Lookups!$H$7:$H$10,Lookups!$I$7:$I$10,"")</f>
        <v/>
      </c>
      <c r="W319">
        <f>IF(O319&gt;=50000,"HIGH VALUE","")</f>
        <v/>
      </c>
      <c r="X319">
        <f>IF(Q319&lt;0,"LOSS","")</f>
        <v/>
      </c>
      <c r="Y319">
        <f>IFS(M319&gt;=0.15,"Deep Discount",M319&gt;=0.1,"Moderate",TRUE,"Standard")</f>
        <v/>
      </c>
    </row>
    <row r="320">
      <c r="A320">
        <f>Raw_Data!A320</f>
        <v/>
      </c>
      <c r="B320" s="29">
        <f>Raw_Data!B320</f>
        <v/>
      </c>
      <c r="C320">
        <f>YEAR(B320)</f>
        <v/>
      </c>
      <c r="D320">
        <f>MONTH(B320)</f>
        <v/>
      </c>
      <c r="E320">
        <f>TEXT(B320,"MMM-YYYY")</f>
        <v/>
      </c>
      <c r="F320">
        <f>Raw_Data!C320</f>
        <v/>
      </c>
      <c r="G320">
        <f>Raw_Data!D320</f>
        <v/>
      </c>
      <c r="H320">
        <f>Raw_Data!E320</f>
        <v/>
      </c>
      <c r="I320">
        <f>Raw_Data!F320</f>
        <v/>
      </c>
      <c r="J320">
        <f>Raw_Data!G320</f>
        <v/>
      </c>
      <c r="K320">
        <f>Raw_Data!H320</f>
        <v/>
      </c>
      <c r="L320" s="30">
        <f>Raw_Data!I320</f>
        <v/>
      </c>
      <c r="M320" s="31">
        <f>Raw_Data!J320</f>
        <v/>
      </c>
      <c r="N320" s="17">
        <f>K320*L320</f>
        <v/>
      </c>
      <c r="O320" s="17">
        <f>N320*(1-M320)</f>
        <v/>
      </c>
      <c r="P320" s="17">
        <f>Raw_Data!L320</f>
        <v/>
      </c>
      <c r="Q320" s="17">
        <f>O320-P320</f>
        <v/>
      </c>
      <c r="R320" s="31">
        <f>IF(O320=0,0,Q320/O320)</f>
        <v/>
      </c>
      <c r="S320">
        <f>XLOOKUP(F320,Lookups!$B$7:$B$11,Lookups!$C$7:$C$11,"Unknown")</f>
        <v/>
      </c>
      <c r="T320" s="31">
        <f>XLOOKUP(G320,Lookups!$E$7:$E$11,Lookups!$F$7:$F$11,0)</f>
        <v/>
      </c>
      <c r="U320" s="32">
        <f>R320-T320</f>
        <v/>
      </c>
      <c r="V320">
        <f>XLOOKUP(I320,Lookups!$H$7:$H$10,Lookups!$I$7:$I$10,"")</f>
        <v/>
      </c>
      <c r="W320">
        <f>IF(O320&gt;=50000,"HIGH VALUE","")</f>
        <v/>
      </c>
      <c r="X320">
        <f>IF(Q320&lt;0,"LOSS","")</f>
        <v/>
      </c>
      <c r="Y320">
        <f>IFS(M320&gt;=0.15,"Deep Discount",M320&gt;=0.1,"Moderate",TRUE,"Standard")</f>
        <v/>
      </c>
    </row>
    <row r="321">
      <c r="A321">
        <f>Raw_Data!A321</f>
        <v/>
      </c>
      <c r="B321" s="29">
        <f>Raw_Data!B321</f>
        <v/>
      </c>
      <c r="C321">
        <f>YEAR(B321)</f>
        <v/>
      </c>
      <c r="D321">
        <f>MONTH(B321)</f>
        <v/>
      </c>
      <c r="E321">
        <f>TEXT(B321,"MMM-YYYY")</f>
        <v/>
      </c>
      <c r="F321">
        <f>Raw_Data!C321</f>
        <v/>
      </c>
      <c r="G321">
        <f>Raw_Data!D321</f>
        <v/>
      </c>
      <c r="H321">
        <f>Raw_Data!E321</f>
        <v/>
      </c>
      <c r="I321">
        <f>Raw_Data!F321</f>
        <v/>
      </c>
      <c r="J321">
        <f>Raw_Data!G321</f>
        <v/>
      </c>
      <c r="K321">
        <f>Raw_Data!H321</f>
        <v/>
      </c>
      <c r="L321" s="30">
        <f>Raw_Data!I321</f>
        <v/>
      </c>
      <c r="M321" s="31">
        <f>Raw_Data!J321</f>
        <v/>
      </c>
      <c r="N321" s="17">
        <f>K321*L321</f>
        <v/>
      </c>
      <c r="O321" s="17">
        <f>N321*(1-M321)</f>
        <v/>
      </c>
      <c r="P321" s="17">
        <f>Raw_Data!L321</f>
        <v/>
      </c>
      <c r="Q321" s="17">
        <f>O321-P321</f>
        <v/>
      </c>
      <c r="R321" s="31">
        <f>IF(O321=0,0,Q321/O321)</f>
        <v/>
      </c>
      <c r="S321">
        <f>XLOOKUP(F321,Lookups!$B$7:$B$11,Lookups!$C$7:$C$11,"Unknown")</f>
        <v/>
      </c>
      <c r="T321" s="31">
        <f>XLOOKUP(G321,Lookups!$E$7:$E$11,Lookups!$F$7:$F$11,0)</f>
        <v/>
      </c>
      <c r="U321" s="32">
        <f>R321-T321</f>
        <v/>
      </c>
      <c r="V321">
        <f>XLOOKUP(I321,Lookups!$H$7:$H$10,Lookups!$I$7:$I$10,"")</f>
        <v/>
      </c>
      <c r="W321">
        <f>IF(O321&gt;=50000,"HIGH VALUE","")</f>
        <v/>
      </c>
      <c r="X321">
        <f>IF(Q321&lt;0,"LOSS","")</f>
        <v/>
      </c>
      <c r="Y321">
        <f>IFS(M321&gt;=0.15,"Deep Discount",M321&gt;=0.1,"Moderate",TRUE,"Standard")</f>
        <v/>
      </c>
    </row>
    <row r="322">
      <c r="A322">
        <f>Raw_Data!A322</f>
        <v/>
      </c>
      <c r="B322" s="29">
        <f>Raw_Data!B322</f>
        <v/>
      </c>
      <c r="C322">
        <f>YEAR(B322)</f>
        <v/>
      </c>
      <c r="D322">
        <f>MONTH(B322)</f>
        <v/>
      </c>
      <c r="E322">
        <f>TEXT(B322,"MMM-YYYY")</f>
        <v/>
      </c>
      <c r="F322">
        <f>Raw_Data!C322</f>
        <v/>
      </c>
      <c r="G322">
        <f>Raw_Data!D322</f>
        <v/>
      </c>
      <c r="H322">
        <f>Raw_Data!E322</f>
        <v/>
      </c>
      <c r="I322">
        <f>Raw_Data!F322</f>
        <v/>
      </c>
      <c r="J322">
        <f>Raw_Data!G322</f>
        <v/>
      </c>
      <c r="K322">
        <f>Raw_Data!H322</f>
        <v/>
      </c>
      <c r="L322" s="30">
        <f>Raw_Data!I322</f>
        <v/>
      </c>
      <c r="M322" s="31">
        <f>Raw_Data!J322</f>
        <v/>
      </c>
      <c r="N322" s="17">
        <f>K322*L322</f>
        <v/>
      </c>
      <c r="O322" s="17">
        <f>N322*(1-M322)</f>
        <v/>
      </c>
      <c r="P322" s="17">
        <f>Raw_Data!L322</f>
        <v/>
      </c>
      <c r="Q322" s="17">
        <f>O322-P322</f>
        <v/>
      </c>
      <c r="R322" s="31">
        <f>IF(O322=0,0,Q322/O322)</f>
        <v/>
      </c>
      <c r="S322">
        <f>XLOOKUP(F322,Lookups!$B$7:$B$11,Lookups!$C$7:$C$11,"Unknown")</f>
        <v/>
      </c>
      <c r="T322" s="31">
        <f>XLOOKUP(G322,Lookups!$E$7:$E$11,Lookups!$F$7:$F$11,0)</f>
        <v/>
      </c>
      <c r="U322" s="32">
        <f>R322-T322</f>
        <v/>
      </c>
      <c r="V322">
        <f>XLOOKUP(I322,Lookups!$H$7:$H$10,Lookups!$I$7:$I$10,"")</f>
        <v/>
      </c>
      <c r="W322">
        <f>IF(O322&gt;=50000,"HIGH VALUE","")</f>
        <v/>
      </c>
      <c r="X322">
        <f>IF(Q322&lt;0,"LOSS","")</f>
        <v/>
      </c>
      <c r="Y322">
        <f>IFS(M322&gt;=0.15,"Deep Discount",M322&gt;=0.1,"Moderate",TRUE,"Standard")</f>
        <v/>
      </c>
    </row>
    <row r="323">
      <c r="A323">
        <f>Raw_Data!A323</f>
        <v/>
      </c>
      <c r="B323" s="29">
        <f>Raw_Data!B323</f>
        <v/>
      </c>
      <c r="C323">
        <f>YEAR(B323)</f>
        <v/>
      </c>
      <c r="D323">
        <f>MONTH(B323)</f>
        <v/>
      </c>
      <c r="E323">
        <f>TEXT(B323,"MMM-YYYY")</f>
        <v/>
      </c>
      <c r="F323">
        <f>Raw_Data!C323</f>
        <v/>
      </c>
      <c r="G323">
        <f>Raw_Data!D323</f>
        <v/>
      </c>
      <c r="H323">
        <f>Raw_Data!E323</f>
        <v/>
      </c>
      <c r="I323">
        <f>Raw_Data!F323</f>
        <v/>
      </c>
      <c r="J323">
        <f>Raw_Data!G323</f>
        <v/>
      </c>
      <c r="K323">
        <f>Raw_Data!H323</f>
        <v/>
      </c>
      <c r="L323" s="30">
        <f>Raw_Data!I323</f>
        <v/>
      </c>
      <c r="M323" s="31">
        <f>Raw_Data!J323</f>
        <v/>
      </c>
      <c r="N323" s="17">
        <f>K323*L323</f>
        <v/>
      </c>
      <c r="O323" s="17">
        <f>N323*(1-M323)</f>
        <v/>
      </c>
      <c r="P323" s="17">
        <f>Raw_Data!L323</f>
        <v/>
      </c>
      <c r="Q323" s="17">
        <f>O323-P323</f>
        <v/>
      </c>
      <c r="R323" s="31">
        <f>IF(O323=0,0,Q323/O323)</f>
        <v/>
      </c>
      <c r="S323">
        <f>XLOOKUP(F323,Lookups!$B$7:$B$11,Lookups!$C$7:$C$11,"Unknown")</f>
        <v/>
      </c>
      <c r="T323" s="31">
        <f>XLOOKUP(G323,Lookups!$E$7:$E$11,Lookups!$F$7:$F$11,0)</f>
        <v/>
      </c>
      <c r="U323" s="32">
        <f>R323-T323</f>
        <v/>
      </c>
      <c r="V323">
        <f>XLOOKUP(I323,Lookups!$H$7:$H$10,Lookups!$I$7:$I$10,"")</f>
        <v/>
      </c>
      <c r="W323">
        <f>IF(O323&gt;=50000,"HIGH VALUE","")</f>
        <v/>
      </c>
      <c r="X323">
        <f>IF(Q323&lt;0,"LOSS","")</f>
        <v/>
      </c>
      <c r="Y323">
        <f>IFS(M323&gt;=0.15,"Deep Discount",M323&gt;=0.1,"Moderate",TRUE,"Standard")</f>
        <v/>
      </c>
    </row>
    <row r="324">
      <c r="A324">
        <f>Raw_Data!A324</f>
        <v/>
      </c>
      <c r="B324" s="29">
        <f>Raw_Data!B324</f>
        <v/>
      </c>
      <c r="C324">
        <f>YEAR(B324)</f>
        <v/>
      </c>
      <c r="D324">
        <f>MONTH(B324)</f>
        <v/>
      </c>
      <c r="E324">
        <f>TEXT(B324,"MMM-YYYY")</f>
        <v/>
      </c>
      <c r="F324">
        <f>Raw_Data!C324</f>
        <v/>
      </c>
      <c r="G324">
        <f>Raw_Data!D324</f>
        <v/>
      </c>
      <c r="H324">
        <f>Raw_Data!E324</f>
        <v/>
      </c>
      <c r="I324">
        <f>Raw_Data!F324</f>
        <v/>
      </c>
      <c r="J324">
        <f>Raw_Data!G324</f>
        <v/>
      </c>
      <c r="K324">
        <f>Raw_Data!H324</f>
        <v/>
      </c>
      <c r="L324" s="30">
        <f>Raw_Data!I324</f>
        <v/>
      </c>
      <c r="M324" s="31">
        <f>Raw_Data!J324</f>
        <v/>
      </c>
      <c r="N324" s="17">
        <f>K324*L324</f>
        <v/>
      </c>
      <c r="O324" s="17">
        <f>N324*(1-M324)</f>
        <v/>
      </c>
      <c r="P324" s="17">
        <f>Raw_Data!L324</f>
        <v/>
      </c>
      <c r="Q324" s="17">
        <f>O324-P324</f>
        <v/>
      </c>
      <c r="R324" s="31">
        <f>IF(O324=0,0,Q324/O324)</f>
        <v/>
      </c>
      <c r="S324">
        <f>XLOOKUP(F324,Lookups!$B$7:$B$11,Lookups!$C$7:$C$11,"Unknown")</f>
        <v/>
      </c>
      <c r="T324" s="31">
        <f>XLOOKUP(G324,Lookups!$E$7:$E$11,Lookups!$F$7:$F$11,0)</f>
        <v/>
      </c>
      <c r="U324" s="32">
        <f>R324-T324</f>
        <v/>
      </c>
      <c r="V324">
        <f>XLOOKUP(I324,Lookups!$H$7:$H$10,Lookups!$I$7:$I$10,"")</f>
        <v/>
      </c>
      <c r="W324">
        <f>IF(O324&gt;=50000,"HIGH VALUE","")</f>
        <v/>
      </c>
      <c r="X324">
        <f>IF(Q324&lt;0,"LOSS","")</f>
        <v/>
      </c>
      <c r="Y324">
        <f>IFS(M324&gt;=0.15,"Deep Discount",M324&gt;=0.1,"Moderate",TRUE,"Standard")</f>
        <v/>
      </c>
    </row>
    <row r="325">
      <c r="A325">
        <f>Raw_Data!A325</f>
        <v/>
      </c>
      <c r="B325" s="29">
        <f>Raw_Data!B325</f>
        <v/>
      </c>
      <c r="C325">
        <f>YEAR(B325)</f>
        <v/>
      </c>
      <c r="D325">
        <f>MONTH(B325)</f>
        <v/>
      </c>
      <c r="E325">
        <f>TEXT(B325,"MMM-YYYY")</f>
        <v/>
      </c>
      <c r="F325">
        <f>Raw_Data!C325</f>
        <v/>
      </c>
      <c r="G325">
        <f>Raw_Data!D325</f>
        <v/>
      </c>
      <c r="H325">
        <f>Raw_Data!E325</f>
        <v/>
      </c>
      <c r="I325">
        <f>Raw_Data!F325</f>
        <v/>
      </c>
      <c r="J325">
        <f>Raw_Data!G325</f>
        <v/>
      </c>
      <c r="K325">
        <f>Raw_Data!H325</f>
        <v/>
      </c>
      <c r="L325" s="30">
        <f>Raw_Data!I325</f>
        <v/>
      </c>
      <c r="M325" s="31">
        <f>Raw_Data!J325</f>
        <v/>
      </c>
      <c r="N325" s="17">
        <f>K325*L325</f>
        <v/>
      </c>
      <c r="O325" s="17">
        <f>N325*(1-M325)</f>
        <v/>
      </c>
      <c r="P325" s="17">
        <f>Raw_Data!L325</f>
        <v/>
      </c>
      <c r="Q325" s="17">
        <f>O325-P325</f>
        <v/>
      </c>
      <c r="R325" s="31">
        <f>IF(O325=0,0,Q325/O325)</f>
        <v/>
      </c>
      <c r="S325">
        <f>XLOOKUP(F325,Lookups!$B$7:$B$11,Lookups!$C$7:$C$11,"Unknown")</f>
        <v/>
      </c>
      <c r="T325" s="31">
        <f>XLOOKUP(G325,Lookups!$E$7:$E$11,Lookups!$F$7:$F$11,0)</f>
        <v/>
      </c>
      <c r="U325" s="32">
        <f>R325-T325</f>
        <v/>
      </c>
      <c r="V325">
        <f>XLOOKUP(I325,Lookups!$H$7:$H$10,Lookups!$I$7:$I$10,"")</f>
        <v/>
      </c>
      <c r="W325">
        <f>IF(O325&gt;=50000,"HIGH VALUE","")</f>
        <v/>
      </c>
      <c r="X325">
        <f>IF(Q325&lt;0,"LOSS","")</f>
        <v/>
      </c>
      <c r="Y325">
        <f>IFS(M325&gt;=0.15,"Deep Discount",M325&gt;=0.1,"Moderate",TRUE,"Standard")</f>
        <v/>
      </c>
    </row>
    <row r="326">
      <c r="A326">
        <f>Raw_Data!A326</f>
        <v/>
      </c>
      <c r="B326" s="29">
        <f>Raw_Data!B326</f>
        <v/>
      </c>
      <c r="C326">
        <f>YEAR(B326)</f>
        <v/>
      </c>
      <c r="D326">
        <f>MONTH(B326)</f>
        <v/>
      </c>
      <c r="E326">
        <f>TEXT(B326,"MMM-YYYY")</f>
        <v/>
      </c>
      <c r="F326">
        <f>Raw_Data!C326</f>
        <v/>
      </c>
      <c r="G326">
        <f>Raw_Data!D326</f>
        <v/>
      </c>
      <c r="H326">
        <f>Raw_Data!E326</f>
        <v/>
      </c>
      <c r="I326">
        <f>Raw_Data!F326</f>
        <v/>
      </c>
      <c r="J326">
        <f>Raw_Data!G326</f>
        <v/>
      </c>
      <c r="K326">
        <f>Raw_Data!H326</f>
        <v/>
      </c>
      <c r="L326" s="30">
        <f>Raw_Data!I326</f>
        <v/>
      </c>
      <c r="M326" s="31">
        <f>Raw_Data!J326</f>
        <v/>
      </c>
      <c r="N326" s="17">
        <f>K326*L326</f>
        <v/>
      </c>
      <c r="O326" s="17">
        <f>N326*(1-M326)</f>
        <v/>
      </c>
      <c r="P326" s="17">
        <f>Raw_Data!L326</f>
        <v/>
      </c>
      <c r="Q326" s="17">
        <f>O326-P326</f>
        <v/>
      </c>
      <c r="R326" s="31">
        <f>IF(O326=0,0,Q326/O326)</f>
        <v/>
      </c>
      <c r="S326">
        <f>XLOOKUP(F326,Lookups!$B$7:$B$11,Lookups!$C$7:$C$11,"Unknown")</f>
        <v/>
      </c>
      <c r="T326" s="31">
        <f>XLOOKUP(G326,Lookups!$E$7:$E$11,Lookups!$F$7:$F$11,0)</f>
        <v/>
      </c>
      <c r="U326" s="32">
        <f>R326-T326</f>
        <v/>
      </c>
      <c r="V326">
        <f>XLOOKUP(I326,Lookups!$H$7:$H$10,Lookups!$I$7:$I$10,"")</f>
        <v/>
      </c>
      <c r="W326">
        <f>IF(O326&gt;=50000,"HIGH VALUE","")</f>
        <v/>
      </c>
      <c r="X326">
        <f>IF(Q326&lt;0,"LOSS","")</f>
        <v/>
      </c>
      <c r="Y326">
        <f>IFS(M326&gt;=0.15,"Deep Discount",M326&gt;=0.1,"Moderate",TRUE,"Standard")</f>
        <v/>
      </c>
    </row>
    <row r="327">
      <c r="A327">
        <f>Raw_Data!A327</f>
        <v/>
      </c>
      <c r="B327" s="29">
        <f>Raw_Data!B327</f>
        <v/>
      </c>
      <c r="C327">
        <f>YEAR(B327)</f>
        <v/>
      </c>
      <c r="D327">
        <f>MONTH(B327)</f>
        <v/>
      </c>
      <c r="E327">
        <f>TEXT(B327,"MMM-YYYY")</f>
        <v/>
      </c>
      <c r="F327">
        <f>Raw_Data!C327</f>
        <v/>
      </c>
      <c r="G327">
        <f>Raw_Data!D327</f>
        <v/>
      </c>
      <c r="H327">
        <f>Raw_Data!E327</f>
        <v/>
      </c>
      <c r="I327">
        <f>Raw_Data!F327</f>
        <v/>
      </c>
      <c r="J327">
        <f>Raw_Data!G327</f>
        <v/>
      </c>
      <c r="K327">
        <f>Raw_Data!H327</f>
        <v/>
      </c>
      <c r="L327" s="30">
        <f>Raw_Data!I327</f>
        <v/>
      </c>
      <c r="M327" s="31">
        <f>Raw_Data!J327</f>
        <v/>
      </c>
      <c r="N327" s="17">
        <f>K327*L327</f>
        <v/>
      </c>
      <c r="O327" s="17">
        <f>N327*(1-M327)</f>
        <v/>
      </c>
      <c r="P327" s="17">
        <f>Raw_Data!L327</f>
        <v/>
      </c>
      <c r="Q327" s="17">
        <f>O327-P327</f>
        <v/>
      </c>
      <c r="R327" s="31">
        <f>IF(O327=0,0,Q327/O327)</f>
        <v/>
      </c>
      <c r="S327">
        <f>XLOOKUP(F327,Lookups!$B$7:$B$11,Lookups!$C$7:$C$11,"Unknown")</f>
        <v/>
      </c>
      <c r="T327" s="31">
        <f>XLOOKUP(G327,Lookups!$E$7:$E$11,Lookups!$F$7:$F$11,0)</f>
        <v/>
      </c>
      <c r="U327" s="32">
        <f>R327-T327</f>
        <v/>
      </c>
      <c r="V327">
        <f>XLOOKUP(I327,Lookups!$H$7:$H$10,Lookups!$I$7:$I$10,"")</f>
        <v/>
      </c>
      <c r="W327">
        <f>IF(O327&gt;=50000,"HIGH VALUE","")</f>
        <v/>
      </c>
      <c r="X327">
        <f>IF(Q327&lt;0,"LOSS","")</f>
        <v/>
      </c>
      <c r="Y327">
        <f>IFS(M327&gt;=0.15,"Deep Discount",M327&gt;=0.1,"Moderate",TRUE,"Standard")</f>
        <v/>
      </c>
    </row>
    <row r="328">
      <c r="A328">
        <f>Raw_Data!A328</f>
        <v/>
      </c>
      <c r="B328" s="29">
        <f>Raw_Data!B328</f>
        <v/>
      </c>
      <c r="C328">
        <f>YEAR(B328)</f>
        <v/>
      </c>
      <c r="D328">
        <f>MONTH(B328)</f>
        <v/>
      </c>
      <c r="E328">
        <f>TEXT(B328,"MMM-YYYY")</f>
        <v/>
      </c>
      <c r="F328">
        <f>Raw_Data!C328</f>
        <v/>
      </c>
      <c r="G328">
        <f>Raw_Data!D328</f>
        <v/>
      </c>
      <c r="H328">
        <f>Raw_Data!E328</f>
        <v/>
      </c>
      <c r="I328">
        <f>Raw_Data!F328</f>
        <v/>
      </c>
      <c r="J328">
        <f>Raw_Data!G328</f>
        <v/>
      </c>
      <c r="K328">
        <f>Raw_Data!H328</f>
        <v/>
      </c>
      <c r="L328" s="30">
        <f>Raw_Data!I328</f>
        <v/>
      </c>
      <c r="M328" s="31">
        <f>Raw_Data!J328</f>
        <v/>
      </c>
      <c r="N328" s="17">
        <f>K328*L328</f>
        <v/>
      </c>
      <c r="O328" s="17">
        <f>N328*(1-M328)</f>
        <v/>
      </c>
      <c r="P328" s="17">
        <f>Raw_Data!L328</f>
        <v/>
      </c>
      <c r="Q328" s="17">
        <f>O328-P328</f>
        <v/>
      </c>
      <c r="R328" s="31">
        <f>IF(O328=0,0,Q328/O328)</f>
        <v/>
      </c>
      <c r="S328">
        <f>XLOOKUP(F328,Lookups!$B$7:$B$11,Lookups!$C$7:$C$11,"Unknown")</f>
        <v/>
      </c>
      <c r="T328" s="31">
        <f>XLOOKUP(G328,Lookups!$E$7:$E$11,Lookups!$F$7:$F$11,0)</f>
        <v/>
      </c>
      <c r="U328" s="32">
        <f>R328-T328</f>
        <v/>
      </c>
      <c r="V328">
        <f>XLOOKUP(I328,Lookups!$H$7:$H$10,Lookups!$I$7:$I$10,"")</f>
        <v/>
      </c>
      <c r="W328">
        <f>IF(O328&gt;=50000,"HIGH VALUE","")</f>
        <v/>
      </c>
      <c r="X328">
        <f>IF(Q328&lt;0,"LOSS","")</f>
        <v/>
      </c>
      <c r="Y328">
        <f>IFS(M328&gt;=0.15,"Deep Discount",M328&gt;=0.1,"Moderate",TRUE,"Standard")</f>
        <v/>
      </c>
    </row>
    <row r="329">
      <c r="A329">
        <f>Raw_Data!A329</f>
        <v/>
      </c>
      <c r="B329" s="29">
        <f>Raw_Data!B329</f>
        <v/>
      </c>
      <c r="C329">
        <f>YEAR(B329)</f>
        <v/>
      </c>
      <c r="D329">
        <f>MONTH(B329)</f>
        <v/>
      </c>
      <c r="E329">
        <f>TEXT(B329,"MMM-YYYY")</f>
        <v/>
      </c>
      <c r="F329">
        <f>Raw_Data!C329</f>
        <v/>
      </c>
      <c r="G329">
        <f>Raw_Data!D329</f>
        <v/>
      </c>
      <c r="H329">
        <f>Raw_Data!E329</f>
        <v/>
      </c>
      <c r="I329">
        <f>Raw_Data!F329</f>
        <v/>
      </c>
      <c r="J329">
        <f>Raw_Data!G329</f>
        <v/>
      </c>
      <c r="K329">
        <f>Raw_Data!H329</f>
        <v/>
      </c>
      <c r="L329" s="30">
        <f>Raw_Data!I329</f>
        <v/>
      </c>
      <c r="M329" s="31">
        <f>Raw_Data!J329</f>
        <v/>
      </c>
      <c r="N329" s="17">
        <f>K329*L329</f>
        <v/>
      </c>
      <c r="O329" s="17">
        <f>N329*(1-M329)</f>
        <v/>
      </c>
      <c r="P329" s="17">
        <f>Raw_Data!L329</f>
        <v/>
      </c>
      <c r="Q329" s="17">
        <f>O329-P329</f>
        <v/>
      </c>
      <c r="R329" s="31">
        <f>IF(O329=0,0,Q329/O329)</f>
        <v/>
      </c>
      <c r="S329">
        <f>XLOOKUP(F329,Lookups!$B$7:$B$11,Lookups!$C$7:$C$11,"Unknown")</f>
        <v/>
      </c>
      <c r="T329" s="31">
        <f>XLOOKUP(G329,Lookups!$E$7:$E$11,Lookups!$F$7:$F$11,0)</f>
        <v/>
      </c>
      <c r="U329" s="32">
        <f>R329-T329</f>
        <v/>
      </c>
      <c r="V329">
        <f>XLOOKUP(I329,Lookups!$H$7:$H$10,Lookups!$I$7:$I$10,"")</f>
        <v/>
      </c>
      <c r="W329">
        <f>IF(O329&gt;=50000,"HIGH VALUE","")</f>
        <v/>
      </c>
      <c r="X329">
        <f>IF(Q329&lt;0,"LOSS","")</f>
        <v/>
      </c>
      <c r="Y329">
        <f>IFS(M329&gt;=0.15,"Deep Discount",M329&gt;=0.1,"Moderate",TRUE,"Standard")</f>
        <v/>
      </c>
    </row>
    <row r="330">
      <c r="A330">
        <f>Raw_Data!A330</f>
        <v/>
      </c>
      <c r="B330" s="29">
        <f>Raw_Data!B330</f>
        <v/>
      </c>
      <c r="C330">
        <f>YEAR(B330)</f>
        <v/>
      </c>
      <c r="D330">
        <f>MONTH(B330)</f>
        <v/>
      </c>
      <c r="E330">
        <f>TEXT(B330,"MMM-YYYY")</f>
        <v/>
      </c>
      <c r="F330">
        <f>Raw_Data!C330</f>
        <v/>
      </c>
      <c r="G330">
        <f>Raw_Data!D330</f>
        <v/>
      </c>
      <c r="H330">
        <f>Raw_Data!E330</f>
        <v/>
      </c>
      <c r="I330">
        <f>Raw_Data!F330</f>
        <v/>
      </c>
      <c r="J330">
        <f>Raw_Data!G330</f>
        <v/>
      </c>
      <c r="K330">
        <f>Raw_Data!H330</f>
        <v/>
      </c>
      <c r="L330" s="30">
        <f>Raw_Data!I330</f>
        <v/>
      </c>
      <c r="M330" s="31">
        <f>Raw_Data!J330</f>
        <v/>
      </c>
      <c r="N330" s="17">
        <f>K330*L330</f>
        <v/>
      </c>
      <c r="O330" s="17">
        <f>N330*(1-M330)</f>
        <v/>
      </c>
      <c r="P330" s="17">
        <f>Raw_Data!L330</f>
        <v/>
      </c>
      <c r="Q330" s="17">
        <f>O330-P330</f>
        <v/>
      </c>
      <c r="R330" s="31">
        <f>IF(O330=0,0,Q330/O330)</f>
        <v/>
      </c>
      <c r="S330">
        <f>XLOOKUP(F330,Lookups!$B$7:$B$11,Lookups!$C$7:$C$11,"Unknown")</f>
        <v/>
      </c>
      <c r="T330" s="31">
        <f>XLOOKUP(G330,Lookups!$E$7:$E$11,Lookups!$F$7:$F$11,0)</f>
        <v/>
      </c>
      <c r="U330" s="32">
        <f>R330-T330</f>
        <v/>
      </c>
      <c r="V330">
        <f>XLOOKUP(I330,Lookups!$H$7:$H$10,Lookups!$I$7:$I$10,"")</f>
        <v/>
      </c>
      <c r="W330">
        <f>IF(O330&gt;=50000,"HIGH VALUE","")</f>
        <v/>
      </c>
      <c r="X330">
        <f>IF(Q330&lt;0,"LOSS","")</f>
        <v/>
      </c>
      <c r="Y330">
        <f>IFS(M330&gt;=0.15,"Deep Discount",M330&gt;=0.1,"Moderate",TRUE,"Standard")</f>
        <v/>
      </c>
    </row>
    <row r="331">
      <c r="A331">
        <f>Raw_Data!A331</f>
        <v/>
      </c>
      <c r="B331" s="29">
        <f>Raw_Data!B331</f>
        <v/>
      </c>
      <c r="C331">
        <f>YEAR(B331)</f>
        <v/>
      </c>
      <c r="D331">
        <f>MONTH(B331)</f>
        <v/>
      </c>
      <c r="E331">
        <f>TEXT(B331,"MMM-YYYY")</f>
        <v/>
      </c>
      <c r="F331">
        <f>Raw_Data!C331</f>
        <v/>
      </c>
      <c r="G331">
        <f>Raw_Data!D331</f>
        <v/>
      </c>
      <c r="H331">
        <f>Raw_Data!E331</f>
        <v/>
      </c>
      <c r="I331">
        <f>Raw_Data!F331</f>
        <v/>
      </c>
      <c r="J331">
        <f>Raw_Data!G331</f>
        <v/>
      </c>
      <c r="K331">
        <f>Raw_Data!H331</f>
        <v/>
      </c>
      <c r="L331" s="30">
        <f>Raw_Data!I331</f>
        <v/>
      </c>
      <c r="M331" s="31">
        <f>Raw_Data!J331</f>
        <v/>
      </c>
      <c r="N331" s="17">
        <f>K331*L331</f>
        <v/>
      </c>
      <c r="O331" s="17">
        <f>N331*(1-M331)</f>
        <v/>
      </c>
      <c r="P331" s="17">
        <f>Raw_Data!L331</f>
        <v/>
      </c>
      <c r="Q331" s="17">
        <f>O331-P331</f>
        <v/>
      </c>
      <c r="R331" s="31">
        <f>IF(O331=0,0,Q331/O331)</f>
        <v/>
      </c>
      <c r="S331">
        <f>XLOOKUP(F331,Lookups!$B$7:$B$11,Lookups!$C$7:$C$11,"Unknown")</f>
        <v/>
      </c>
      <c r="T331" s="31">
        <f>XLOOKUP(G331,Lookups!$E$7:$E$11,Lookups!$F$7:$F$11,0)</f>
        <v/>
      </c>
      <c r="U331" s="32">
        <f>R331-T331</f>
        <v/>
      </c>
      <c r="V331">
        <f>XLOOKUP(I331,Lookups!$H$7:$H$10,Lookups!$I$7:$I$10,"")</f>
        <v/>
      </c>
      <c r="W331">
        <f>IF(O331&gt;=50000,"HIGH VALUE","")</f>
        <v/>
      </c>
      <c r="X331">
        <f>IF(Q331&lt;0,"LOSS","")</f>
        <v/>
      </c>
      <c r="Y331">
        <f>IFS(M331&gt;=0.15,"Deep Discount",M331&gt;=0.1,"Moderate",TRUE,"Standard")</f>
        <v/>
      </c>
    </row>
    <row r="332">
      <c r="A332">
        <f>Raw_Data!A332</f>
        <v/>
      </c>
      <c r="B332" s="29">
        <f>Raw_Data!B332</f>
        <v/>
      </c>
      <c r="C332">
        <f>YEAR(B332)</f>
        <v/>
      </c>
      <c r="D332">
        <f>MONTH(B332)</f>
        <v/>
      </c>
      <c r="E332">
        <f>TEXT(B332,"MMM-YYYY")</f>
        <v/>
      </c>
      <c r="F332">
        <f>Raw_Data!C332</f>
        <v/>
      </c>
      <c r="G332">
        <f>Raw_Data!D332</f>
        <v/>
      </c>
      <c r="H332">
        <f>Raw_Data!E332</f>
        <v/>
      </c>
      <c r="I332">
        <f>Raw_Data!F332</f>
        <v/>
      </c>
      <c r="J332">
        <f>Raw_Data!G332</f>
        <v/>
      </c>
      <c r="K332">
        <f>Raw_Data!H332</f>
        <v/>
      </c>
      <c r="L332" s="30">
        <f>Raw_Data!I332</f>
        <v/>
      </c>
      <c r="M332" s="31">
        <f>Raw_Data!J332</f>
        <v/>
      </c>
      <c r="N332" s="17">
        <f>K332*L332</f>
        <v/>
      </c>
      <c r="O332" s="17">
        <f>N332*(1-M332)</f>
        <v/>
      </c>
      <c r="P332" s="17">
        <f>Raw_Data!L332</f>
        <v/>
      </c>
      <c r="Q332" s="17">
        <f>O332-P332</f>
        <v/>
      </c>
      <c r="R332" s="31">
        <f>IF(O332=0,0,Q332/O332)</f>
        <v/>
      </c>
      <c r="S332">
        <f>XLOOKUP(F332,Lookups!$B$7:$B$11,Lookups!$C$7:$C$11,"Unknown")</f>
        <v/>
      </c>
      <c r="T332" s="31">
        <f>XLOOKUP(G332,Lookups!$E$7:$E$11,Lookups!$F$7:$F$11,0)</f>
        <v/>
      </c>
      <c r="U332" s="32">
        <f>R332-T332</f>
        <v/>
      </c>
      <c r="V332">
        <f>XLOOKUP(I332,Lookups!$H$7:$H$10,Lookups!$I$7:$I$10,"")</f>
        <v/>
      </c>
      <c r="W332">
        <f>IF(O332&gt;=50000,"HIGH VALUE","")</f>
        <v/>
      </c>
      <c r="X332">
        <f>IF(Q332&lt;0,"LOSS","")</f>
        <v/>
      </c>
      <c r="Y332">
        <f>IFS(M332&gt;=0.15,"Deep Discount",M332&gt;=0.1,"Moderate",TRUE,"Standard")</f>
        <v/>
      </c>
    </row>
    <row r="333">
      <c r="A333">
        <f>Raw_Data!A333</f>
        <v/>
      </c>
      <c r="B333" s="29">
        <f>Raw_Data!B333</f>
        <v/>
      </c>
      <c r="C333">
        <f>YEAR(B333)</f>
        <v/>
      </c>
      <c r="D333">
        <f>MONTH(B333)</f>
        <v/>
      </c>
      <c r="E333">
        <f>TEXT(B333,"MMM-YYYY")</f>
        <v/>
      </c>
      <c r="F333">
        <f>Raw_Data!C333</f>
        <v/>
      </c>
      <c r="G333">
        <f>Raw_Data!D333</f>
        <v/>
      </c>
      <c r="H333">
        <f>Raw_Data!E333</f>
        <v/>
      </c>
      <c r="I333">
        <f>Raw_Data!F333</f>
        <v/>
      </c>
      <c r="J333">
        <f>Raw_Data!G333</f>
        <v/>
      </c>
      <c r="K333">
        <f>Raw_Data!H333</f>
        <v/>
      </c>
      <c r="L333" s="30">
        <f>Raw_Data!I333</f>
        <v/>
      </c>
      <c r="M333" s="31">
        <f>Raw_Data!J333</f>
        <v/>
      </c>
      <c r="N333" s="17">
        <f>K333*L333</f>
        <v/>
      </c>
      <c r="O333" s="17">
        <f>N333*(1-M333)</f>
        <v/>
      </c>
      <c r="P333" s="17">
        <f>Raw_Data!L333</f>
        <v/>
      </c>
      <c r="Q333" s="17">
        <f>O333-P333</f>
        <v/>
      </c>
      <c r="R333" s="31">
        <f>IF(O333=0,0,Q333/O333)</f>
        <v/>
      </c>
      <c r="S333">
        <f>XLOOKUP(F333,Lookups!$B$7:$B$11,Lookups!$C$7:$C$11,"Unknown")</f>
        <v/>
      </c>
      <c r="T333" s="31">
        <f>XLOOKUP(G333,Lookups!$E$7:$E$11,Lookups!$F$7:$F$11,0)</f>
        <v/>
      </c>
      <c r="U333" s="32">
        <f>R333-T333</f>
        <v/>
      </c>
      <c r="V333">
        <f>XLOOKUP(I333,Lookups!$H$7:$H$10,Lookups!$I$7:$I$10,"")</f>
        <v/>
      </c>
      <c r="W333">
        <f>IF(O333&gt;=50000,"HIGH VALUE","")</f>
        <v/>
      </c>
      <c r="X333">
        <f>IF(Q333&lt;0,"LOSS","")</f>
        <v/>
      </c>
      <c r="Y333">
        <f>IFS(M333&gt;=0.15,"Deep Discount",M333&gt;=0.1,"Moderate",TRUE,"Standard")</f>
        <v/>
      </c>
    </row>
    <row r="334">
      <c r="A334">
        <f>Raw_Data!A334</f>
        <v/>
      </c>
      <c r="B334" s="29">
        <f>Raw_Data!B334</f>
        <v/>
      </c>
      <c r="C334">
        <f>YEAR(B334)</f>
        <v/>
      </c>
      <c r="D334">
        <f>MONTH(B334)</f>
        <v/>
      </c>
      <c r="E334">
        <f>TEXT(B334,"MMM-YYYY")</f>
        <v/>
      </c>
      <c r="F334">
        <f>Raw_Data!C334</f>
        <v/>
      </c>
      <c r="G334">
        <f>Raw_Data!D334</f>
        <v/>
      </c>
      <c r="H334">
        <f>Raw_Data!E334</f>
        <v/>
      </c>
      <c r="I334">
        <f>Raw_Data!F334</f>
        <v/>
      </c>
      <c r="J334">
        <f>Raw_Data!G334</f>
        <v/>
      </c>
      <c r="K334">
        <f>Raw_Data!H334</f>
        <v/>
      </c>
      <c r="L334" s="30">
        <f>Raw_Data!I334</f>
        <v/>
      </c>
      <c r="M334" s="31">
        <f>Raw_Data!J334</f>
        <v/>
      </c>
      <c r="N334" s="17">
        <f>K334*L334</f>
        <v/>
      </c>
      <c r="O334" s="17">
        <f>N334*(1-M334)</f>
        <v/>
      </c>
      <c r="P334" s="17">
        <f>Raw_Data!L334</f>
        <v/>
      </c>
      <c r="Q334" s="17">
        <f>O334-P334</f>
        <v/>
      </c>
      <c r="R334" s="31">
        <f>IF(O334=0,0,Q334/O334)</f>
        <v/>
      </c>
      <c r="S334">
        <f>XLOOKUP(F334,Lookups!$B$7:$B$11,Lookups!$C$7:$C$11,"Unknown")</f>
        <v/>
      </c>
      <c r="T334" s="31">
        <f>XLOOKUP(G334,Lookups!$E$7:$E$11,Lookups!$F$7:$F$11,0)</f>
        <v/>
      </c>
      <c r="U334" s="32">
        <f>R334-T334</f>
        <v/>
      </c>
      <c r="V334">
        <f>XLOOKUP(I334,Lookups!$H$7:$H$10,Lookups!$I$7:$I$10,"")</f>
        <v/>
      </c>
      <c r="W334">
        <f>IF(O334&gt;=50000,"HIGH VALUE","")</f>
        <v/>
      </c>
      <c r="X334">
        <f>IF(Q334&lt;0,"LOSS","")</f>
        <v/>
      </c>
      <c r="Y334">
        <f>IFS(M334&gt;=0.15,"Deep Discount",M334&gt;=0.1,"Moderate",TRUE,"Standard")</f>
        <v/>
      </c>
    </row>
    <row r="335">
      <c r="A335">
        <f>Raw_Data!A335</f>
        <v/>
      </c>
      <c r="B335" s="29">
        <f>Raw_Data!B335</f>
        <v/>
      </c>
      <c r="C335">
        <f>YEAR(B335)</f>
        <v/>
      </c>
      <c r="D335">
        <f>MONTH(B335)</f>
        <v/>
      </c>
      <c r="E335">
        <f>TEXT(B335,"MMM-YYYY")</f>
        <v/>
      </c>
      <c r="F335">
        <f>Raw_Data!C335</f>
        <v/>
      </c>
      <c r="G335">
        <f>Raw_Data!D335</f>
        <v/>
      </c>
      <c r="H335">
        <f>Raw_Data!E335</f>
        <v/>
      </c>
      <c r="I335">
        <f>Raw_Data!F335</f>
        <v/>
      </c>
      <c r="J335">
        <f>Raw_Data!G335</f>
        <v/>
      </c>
      <c r="K335">
        <f>Raw_Data!H335</f>
        <v/>
      </c>
      <c r="L335" s="30">
        <f>Raw_Data!I335</f>
        <v/>
      </c>
      <c r="M335" s="31">
        <f>Raw_Data!J335</f>
        <v/>
      </c>
      <c r="N335" s="17">
        <f>K335*L335</f>
        <v/>
      </c>
      <c r="O335" s="17">
        <f>N335*(1-M335)</f>
        <v/>
      </c>
      <c r="P335" s="17">
        <f>Raw_Data!L335</f>
        <v/>
      </c>
      <c r="Q335" s="17">
        <f>O335-P335</f>
        <v/>
      </c>
      <c r="R335" s="31">
        <f>IF(O335=0,0,Q335/O335)</f>
        <v/>
      </c>
      <c r="S335">
        <f>XLOOKUP(F335,Lookups!$B$7:$B$11,Lookups!$C$7:$C$11,"Unknown")</f>
        <v/>
      </c>
      <c r="T335" s="31">
        <f>XLOOKUP(G335,Lookups!$E$7:$E$11,Lookups!$F$7:$F$11,0)</f>
        <v/>
      </c>
      <c r="U335" s="32">
        <f>R335-T335</f>
        <v/>
      </c>
      <c r="V335">
        <f>XLOOKUP(I335,Lookups!$H$7:$H$10,Lookups!$I$7:$I$10,"")</f>
        <v/>
      </c>
      <c r="W335">
        <f>IF(O335&gt;=50000,"HIGH VALUE","")</f>
        <v/>
      </c>
      <c r="X335">
        <f>IF(Q335&lt;0,"LOSS","")</f>
        <v/>
      </c>
      <c r="Y335">
        <f>IFS(M335&gt;=0.15,"Deep Discount",M335&gt;=0.1,"Moderate",TRUE,"Standard")</f>
        <v/>
      </c>
    </row>
    <row r="336">
      <c r="A336">
        <f>Raw_Data!A336</f>
        <v/>
      </c>
      <c r="B336" s="29">
        <f>Raw_Data!B336</f>
        <v/>
      </c>
      <c r="C336">
        <f>YEAR(B336)</f>
        <v/>
      </c>
      <c r="D336">
        <f>MONTH(B336)</f>
        <v/>
      </c>
      <c r="E336">
        <f>TEXT(B336,"MMM-YYYY")</f>
        <v/>
      </c>
      <c r="F336">
        <f>Raw_Data!C336</f>
        <v/>
      </c>
      <c r="G336">
        <f>Raw_Data!D336</f>
        <v/>
      </c>
      <c r="H336">
        <f>Raw_Data!E336</f>
        <v/>
      </c>
      <c r="I336">
        <f>Raw_Data!F336</f>
        <v/>
      </c>
      <c r="J336">
        <f>Raw_Data!G336</f>
        <v/>
      </c>
      <c r="K336">
        <f>Raw_Data!H336</f>
        <v/>
      </c>
      <c r="L336" s="30">
        <f>Raw_Data!I336</f>
        <v/>
      </c>
      <c r="M336" s="31">
        <f>Raw_Data!J336</f>
        <v/>
      </c>
      <c r="N336" s="17">
        <f>K336*L336</f>
        <v/>
      </c>
      <c r="O336" s="17">
        <f>N336*(1-M336)</f>
        <v/>
      </c>
      <c r="P336" s="17">
        <f>Raw_Data!L336</f>
        <v/>
      </c>
      <c r="Q336" s="17">
        <f>O336-P336</f>
        <v/>
      </c>
      <c r="R336" s="31">
        <f>IF(O336=0,0,Q336/O336)</f>
        <v/>
      </c>
      <c r="S336">
        <f>XLOOKUP(F336,Lookups!$B$7:$B$11,Lookups!$C$7:$C$11,"Unknown")</f>
        <v/>
      </c>
      <c r="T336" s="31">
        <f>XLOOKUP(G336,Lookups!$E$7:$E$11,Lookups!$F$7:$F$11,0)</f>
        <v/>
      </c>
      <c r="U336" s="32">
        <f>R336-T336</f>
        <v/>
      </c>
      <c r="V336">
        <f>XLOOKUP(I336,Lookups!$H$7:$H$10,Lookups!$I$7:$I$10,"")</f>
        <v/>
      </c>
      <c r="W336">
        <f>IF(O336&gt;=50000,"HIGH VALUE","")</f>
        <v/>
      </c>
      <c r="X336">
        <f>IF(Q336&lt;0,"LOSS","")</f>
        <v/>
      </c>
      <c r="Y336">
        <f>IFS(M336&gt;=0.15,"Deep Discount",M336&gt;=0.1,"Moderate",TRUE,"Standard")</f>
        <v/>
      </c>
    </row>
    <row r="337">
      <c r="A337">
        <f>Raw_Data!A337</f>
        <v/>
      </c>
      <c r="B337" s="29">
        <f>Raw_Data!B337</f>
        <v/>
      </c>
      <c r="C337">
        <f>YEAR(B337)</f>
        <v/>
      </c>
      <c r="D337">
        <f>MONTH(B337)</f>
        <v/>
      </c>
      <c r="E337">
        <f>TEXT(B337,"MMM-YYYY")</f>
        <v/>
      </c>
      <c r="F337">
        <f>Raw_Data!C337</f>
        <v/>
      </c>
      <c r="G337">
        <f>Raw_Data!D337</f>
        <v/>
      </c>
      <c r="H337">
        <f>Raw_Data!E337</f>
        <v/>
      </c>
      <c r="I337">
        <f>Raw_Data!F337</f>
        <v/>
      </c>
      <c r="J337">
        <f>Raw_Data!G337</f>
        <v/>
      </c>
      <c r="K337">
        <f>Raw_Data!H337</f>
        <v/>
      </c>
      <c r="L337" s="30">
        <f>Raw_Data!I337</f>
        <v/>
      </c>
      <c r="M337" s="31">
        <f>Raw_Data!J337</f>
        <v/>
      </c>
      <c r="N337" s="17">
        <f>K337*L337</f>
        <v/>
      </c>
      <c r="O337" s="17">
        <f>N337*(1-M337)</f>
        <v/>
      </c>
      <c r="P337" s="17">
        <f>Raw_Data!L337</f>
        <v/>
      </c>
      <c r="Q337" s="17">
        <f>O337-P337</f>
        <v/>
      </c>
      <c r="R337" s="31">
        <f>IF(O337=0,0,Q337/O337)</f>
        <v/>
      </c>
      <c r="S337">
        <f>XLOOKUP(F337,Lookups!$B$7:$B$11,Lookups!$C$7:$C$11,"Unknown")</f>
        <v/>
      </c>
      <c r="T337" s="31">
        <f>XLOOKUP(G337,Lookups!$E$7:$E$11,Lookups!$F$7:$F$11,0)</f>
        <v/>
      </c>
      <c r="U337" s="32">
        <f>R337-T337</f>
        <v/>
      </c>
      <c r="V337">
        <f>XLOOKUP(I337,Lookups!$H$7:$H$10,Lookups!$I$7:$I$10,"")</f>
        <v/>
      </c>
      <c r="W337">
        <f>IF(O337&gt;=50000,"HIGH VALUE","")</f>
        <v/>
      </c>
      <c r="X337">
        <f>IF(Q337&lt;0,"LOSS","")</f>
        <v/>
      </c>
      <c r="Y337">
        <f>IFS(M337&gt;=0.15,"Deep Discount",M337&gt;=0.1,"Moderate",TRUE,"Standard")</f>
        <v/>
      </c>
    </row>
    <row r="338">
      <c r="A338">
        <f>Raw_Data!A338</f>
        <v/>
      </c>
      <c r="B338" s="29">
        <f>Raw_Data!B338</f>
        <v/>
      </c>
      <c r="C338">
        <f>YEAR(B338)</f>
        <v/>
      </c>
      <c r="D338">
        <f>MONTH(B338)</f>
        <v/>
      </c>
      <c r="E338">
        <f>TEXT(B338,"MMM-YYYY")</f>
        <v/>
      </c>
      <c r="F338">
        <f>Raw_Data!C338</f>
        <v/>
      </c>
      <c r="G338">
        <f>Raw_Data!D338</f>
        <v/>
      </c>
      <c r="H338">
        <f>Raw_Data!E338</f>
        <v/>
      </c>
      <c r="I338">
        <f>Raw_Data!F338</f>
        <v/>
      </c>
      <c r="J338">
        <f>Raw_Data!G338</f>
        <v/>
      </c>
      <c r="K338">
        <f>Raw_Data!H338</f>
        <v/>
      </c>
      <c r="L338" s="30">
        <f>Raw_Data!I338</f>
        <v/>
      </c>
      <c r="M338" s="31">
        <f>Raw_Data!J338</f>
        <v/>
      </c>
      <c r="N338" s="17">
        <f>K338*L338</f>
        <v/>
      </c>
      <c r="O338" s="17">
        <f>N338*(1-M338)</f>
        <v/>
      </c>
      <c r="P338" s="17">
        <f>Raw_Data!L338</f>
        <v/>
      </c>
      <c r="Q338" s="17">
        <f>O338-P338</f>
        <v/>
      </c>
      <c r="R338" s="31">
        <f>IF(O338=0,0,Q338/O338)</f>
        <v/>
      </c>
      <c r="S338">
        <f>XLOOKUP(F338,Lookups!$B$7:$B$11,Lookups!$C$7:$C$11,"Unknown")</f>
        <v/>
      </c>
      <c r="T338" s="31">
        <f>XLOOKUP(G338,Lookups!$E$7:$E$11,Lookups!$F$7:$F$11,0)</f>
        <v/>
      </c>
      <c r="U338" s="32">
        <f>R338-T338</f>
        <v/>
      </c>
      <c r="V338">
        <f>XLOOKUP(I338,Lookups!$H$7:$H$10,Lookups!$I$7:$I$10,"")</f>
        <v/>
      </c>
      <c r="W338">
        <f>IF(O338&gt;=50000,"HIGH VALUE","")</f>
        <v/>
      </c>
      <c r="X338">
        <f>IF(Q338&lt;0,"LOSS","")</f>
        <v/>
      </c>
      <c r="Y338">
        <f>IFS(M338&gt;=0.15,"Deep Discount",M338&gt;=0.1,"Moderate",TRUE,"Standard")</f>
        <v/>
      </c>
    </row>
    <row r="339">
      <c r="A339">
        <f>Raw_Data!A339</f>
        <v/>
      </c>
      <c r="B339" s="29">
        <f>Raw_Data!B339</f>
        <v/>
      </c>
      <c r="C339">
        <f>YEAR(B339)</f>
        <v/>
      </c>
      <c r="D339">
        <f>MONTH(B339)</f>
        <v/>
      </c>
      <c r="E339">
        <f>TEXT(B339,"MMM-YYYY")</f>
        <v/>
      </c>
      <c r="F339">
        <f>Raw_Data!C339</f>
        <v/>
      </c>
      <c r="G339">
        <f>Raw_Data!D339</f>
        <v/>
      </c>
      <c r="H339">
        <f>Raw_Data!E339</f>
        <v/>
      </c>
      <c r="I339">
        <f>Raw_Data!F339</f>
        <v/>
      </c>
      <c r="J339">
        <f>Raw_Data!G339</f>
        <v/>
      </c>
      <c r="K339">
        <f>Raw_Data!H339</f>
        <v/>
      </c>
      <c r="L339" s="30">
        <f>Raw_Data!I339</f>
        <v/>
      </c>
      <c r="M339" s="31">
        <f>Raw_Data!J339</f>
        <v/>
      </c>
      <c r="N339" s="17">
        <f>K339*L339</f>
        <v/>
      </c>
      <c r="O339" s="17">
        <f>N339*(1-M339)</f>
        <v/>
      </c>
      <c r="P339" s="17">
        <f>Raw_Data!L339</f>
        <v/>
      </c>
      <c r="Q339" s="17">
        <f>O339-P339</f>
        <v/>
      </c>
      <c r="R339" s="31">
        <f>IF(O339=0,0,Q339/O339)</f>
        <v/>
      </c>
      <c r="S339">
        <f>XLOOKUP(F339,Lookups!$B$7:$B$11,Lookups!$C$7:$C$11,"Unknown")</f>
        <v/>
      </c>
      <c r="T339" s="31">
        <f>XLOOKUP(G339,Lookups!$E$7:$E$11,Lookups!$F$7:$F$11,0)</f>
        <v/>
      </c>
      <c r="U339" s="32">
        <f>R339-T339</f>
        <v/>
      </c>
      <c r="V339">
        <f>XLOOKUP(I339,Lookups!$H$7:$H$10,Lookups!$I$7:$I$10,"")</f>
        <v/>
      </c>
      <c r="W339">
        <f>IF(O339&gt;=50000,"HIGH VALUE","")</f>
        <v/>
      </c>
      <c r="X339">
        <f>IF(Q339&lt;0,"LOSS","")</f>
        <v/>
      </c>
      <c r="Y339">
        <f>IFS(M339&gt;=0.15,"Deep Discount",M339&gt;=0.1,"Moderate",TRUE,"Standard")</f>
        <v/>
      </c>
    </row>
    <row r="340">
      <c r="A340">
        <f>Raw_Data!A340</f>
        <v/>
      </c>
      <c r="B340" s="29">
        <f>Raw_Data!B340</f>
        <v/>
      </c>
      <c r="C340">
        <f>YEAR(B340)</f>
        <v/>
      </c>
      <c r="D340">
        <f>MONTH(B340)</f>
        <v/>
      </c>
      <c r="E340">
        <f>TEXT(B340,"MMM-YYYY")</f>
        <v/>
      </c>
      <c r="F340">
        <f>Raw_Data!C340</f>
        <v/>
      </c>
      <c r="G340">
        <f>Raw_Data!D340</f>
        <v/>
      </c>
      <c r="H340">
        <f>Raw_Data!E340</f>
        <v/>
      </c>
      <c r="I340">
        <f>Raw_Data!F340</f>
        <v/>
      </c>
      <c r="J340">
        <f>Raw_Data!G340</f>
        <v/>
      </c>
      <c r="K340">
        <f>Raw_Data!H340</f>
        <v/>
      </c>
      <c r="L340" s="30">
        <f>Raw_Data!I340</f>
        <v/>
      </c>
      <c r="M340" s="31">
        <f>Raw_Data!J340</f>
        <v/>
      </c>
      <c r="N340" s="17">
        <f>K340*L340</f>
        <v/>
      </c>
      <c r="O340" s="17">
        <f>N340*(1-M340)</f>
        <v/>
      </c>
      <c r="P340" s="17">
        <f>Raw_Data!L340</f>
        <v/>
      </c>
      <c r="Q340" s="17">
        <f>O340-P340</f>
        <v/>
      </c>
      <c r="R340" s="31">
        <f>IF(O340=0,0,Q340/O340)</f>
        <v/>
      </c>
      <c r="S340">
        <f>XLOOKUP(F340,Lookups!$B$7:$B$11,Lookups!$C$7:$C$11,"Unknown")</f>
        <v/>
      </c>
      <c r="T340" s="31">
        <f>XLOOKUP(G340,Lookups!$E$7:$E$11,Lookups!$F$7:$F$11,0)</f>
        <v/>
      </c>
      <c r="U340" s="32">
        <f>R340-T340</f>
        <v/>
      </c>
      <c r="V340">
        <f>XLOOKUP(I340,Lookups!$H$7:$H$10,Lookups!$I$7:$I$10,"")</f>
        <v/>
      </c>
      <c r="W340">
        <f>IF(O340&gt;=50000,"HIGH VALUE","")</f>
        <v/>
      </c>
      <c r="X340">
        <f>IF(Q340&lt;0,"LOSS","")</f>
        <v/>
      </c>
      <c r="Y340">
        <f>IFS(M340&gt;=0.15,"Deep Discount",M340&gt;=0.1,"Moderate",TRUE,"Standard")</f>
        <v/>
      </c>
    </row>
    <row r="341">
      <c r="A341">
        <f>Raw_Data!A341</f>
        <v/>
      </c>
      <c r="B341" s="29">
        <f>Raw_Data!B341</f>
        <v/>
      </c>
      <c r="C341">
        <f>YEAR(B341)</f>
        <v/>
      </c>
      <c r="D341">
        <f>MONTH(B341)</f>
        <v/>
      </c>
      <c r="E341">
        <f>TEXT(B341,"MMM-YYYY")</f>
        <v/>
      </c>
      <c r="F341">
        <f>Raw_Data!C341</f>
        <v/>
      </c>
      <c r="G341">
        <f>Raw_Data!D341</f>
        <v/>
      </c>
      <c r="H341">
        <f>Raw_Data!E341</f>
        <v/>
      </c>
      <c r="I341">
        <f>Raw_Data!F341</f>
        <v/>
      </c>
      <c r="J341">
        <f>Raw_Data!G341</f>
        <v/>
      </c>
      <c r="K341">
        <f>Raw_Data!H341</f>
        <v/>
      </c>
      <c r="L341" s="30">
        <f>Raw_Data!I341</f>
        <v/>
      </c>
      <c r="M341" s="31">
        <f>Raw_Data!J341</f>
        <v/>
      </c>
      <c r="N341" s="17">
        <f>K341*L341</f>
        <v/>
      </c>
      <c r="O341" s="17">
        <f>N341*(1-M341)</f>
        <v/>
      </c>
      <c r="P341" s="17">
        <f>Raw_Data!L341</f>
        <v/>
      </c>
      <c r="Q341" s="17">
        <f>O341-P341</f>
        <v/>
      </c>
      <c r="R341" s="31">
        <f>IF(O341=0,0,Q341/O341)</f>
        <v/>
      </c>
      <c r="S341">
        <f>XLOOKUP(F341,Lookups!$B$7:$B$11,Lookups!$C$7:$C$11,"Unknown")</f>
        <v/>
      </c>
      <c r="T341" s="31">
        <f>XLOOKUP(G341,Lookups!$E$7:$E$11,Lookups!$F$7:$F$11,0)</f>
        <v/>
      </c>
      <c r="U341" s="32">
        <f>R341-T341</f>
        <v/>
      </c>
      <c r="V341">
        <f>XLOOKUP(I341,Lookups!$H$7:$H$10,Lookups!$I$7:$I$10,"")</f>
        <v/>
      </c>
      <c r="W341">
        <f>IF(O341&gt;=50000,"HIGH VALUE","")</f>
        <v/>
      </c>
      <c r="X341">
        <f>IF(Q341&lt;0,"LOSS","")</f>
        <v/>
      </c>
      <c r="Y341">
        <f>IFS(M341&gt;=0.15,"Deep Discount",M341&gt;=0.1,"Moderate",TRUE,"Standard")</f>
        <v/>
      </c>
    </row>
    <row r="342">
      <c r="A342">
        <f>Raw_Data!A342</f>
        <v/>
      </c>
      <c r="B342" s="29">
        <f>Raw_Data!B342</f>
        <v/>
      </c>
      <c r="C342">
        <f>YEAR(B342)</f>
        <v/>
      </c>
      <c r="D342">
        <f>MONTH(B342)</f>
        <v/>
      </c>
      <c r="E342">
        <f>TEXT(B342,"MMM-YYYY")</f>
        <v/>
      </c>
      <c r="F342">
        <f>Raw_Data!C342</f>
        <v/>
      </c>
      <c r="G342">
        <f>Raw_Data!D342</f>
        <v/>
      </c>
      <c r="H342">
        <f>Raw_Data!E342</f>
        <v/>
      </c>
      <c r="I342">
        <f>Raw_Data!F342</f>
        <v/>
      </c>
      <c r="J342">
        <f>Raw_Data!G342</f>
        <v/>
      </c>
      <c r="K342">
        <f>Raw_Data!H342</f>
        <v/>
      </c>
      <c r="L342" s="30">
        <f>Raw_Data!I342</f>
        <v/>
      </c>
      <c r="M342" s="31">
        <f>Raw_Data!J342</f>
        <v/>
      </c>
      <c r="N342" s="17">
        <f>K342*L342</f>
        <v/>
      </c>
      <c r="O342" s="17">
        <f>N342*(1-M342)</f>
        <v/>
      </c>
      <c r="P342" s="17">
        <f>Raw_Data!L342</f>
        <v/>
      </c>
      <c r="Q342" s="17">
        <f>O342-P342</f>
        <v/>
      </c>
      <c r="R342" s="31">
        <f>IF(O342=0,0,Q342/O342)</f>
        <v/>
      </c>
      <c r="S342">
        <f>XLOOKUP(F342,Lookups!$B$7:$B$11,Lookups!$C$7:$C$11,"Unknown")</f>
        <v/>
      </c>
      <c r="T342" s="31">
        <f>XLOOKUP(G342,Lookups!$E$7:$E$11,Lookups!$F$7:$F$11,0)</f>
        <v/>
      </c>
      <c r="U342" s="32">
        <f>R342-T342</f>
        <v/>
      </c>
      <c r="V342">
        <f>XLOOKUP(I342,Lookups!$H$7:$H$10,Lookups!$I$7:$I$10,"")</f>
        <v/>
      </c>
      <c r="W342">
        <f>IF(O342&gt;=50000,"HIGH VALUE","")</f>
        <v/>
      </c>
      <c r="X342">
        <f>IF(Q342&lt;0,"LOSS","")</f>
        <v/>
      </c>
      <c r="Y342">
        <f>IFS(M342&gt;=0.15,"Deep Discount",M342&gt;=0.1,"Moderate",TRUE,"Standard")</f>
        <v/>
      </c>
    </row>
    <row r="343">
      <c r="A343">
        <f>Raw_Data!A343</f>
        <v/>
      </c>
      <c r="B343" s="29">
        <f>Raw_Data!B343</f>
        <v/>
      </c>
      <c r="C343">
        <f>YEAR(B343)</f>
        <v/>
      </c>
      <c r="D343">
        <f>MONTH(B343)</f>
        <v/>
      </c>
      <c r="E343">
        <f>TEXT(B343,"MMM-YYYY")</f>
        <v/>
      </c>
      <c r="F343">
        <f>Raw_Data!C343</f>
        <v/>
      </c>
      <c r="G343">
        <f>Raw_Data!D343</f>
        <v/>
      </c>
      <c r="H343">
        <f>Raw_Data!E343</f>
        <v/>
      </c>
      <c r="I343">
        <f>Raw_Data!F343</f>
        <v/>
      </c>
      <c r="J343">
        <f>Raw_Data!G343</f>
        <v/>
      </c>
      <c r="K343">
        <f>Raw_Data!H343</f>
        <v/>
      </c>
      <c r="L343" s="30">
        <f>Raw_Data!I343</f>
        <v/>
      </c>
      <c r="M343" s="31">
        <f>Raw_Data!J343</f>
        <v/>
      </c>
      <c r="N343" s="17">
        <f>K343*L343</f>
        <v/>
      </c>
      <c r="O343" s="17">
        <f>N343*(1-M343)</f>
        <v/>
      </c>
      <c r="P343" s="17">
        <f>Raw_Data!L343</f>
        <v/>
      </c>
      <c r="Q343" s="17">
        <f>O343-P343</f>
        <v/>
      </c>
      <c r="R343" s="31">
        <f>IF(O343=0,0,Q343/O343)</f>
        <v/>
      </c>
      <c r="S343">
        <f>XLOOKUP(F343,Lookups!$B$7:$B$11,Lookups!$C$7:$C$11,"Unknown")</f>
        <v/>
      </c>
      <c r="T343" s="31">
        <f>XLOOKUP(G343,Lookups!$E$7:$E$11,Lookups!$F$7:$F$11,0)</f>
        <v/>
      </c>
      <c r="U343" s="32">
        <f>R343-T343</f>
        <v/>
      </c>
      <c r="V343">
        <f>XLOOKUP(I343,Lookups!$H$7:$H$10,Lookups!$I$7:$I$10,"")</f>
        <v/>
      </c>
      <c r="W343">
        <f>IF(O343&gt;=50000,"HIGH VALUE","")</f>
        <v/>
      </c>
      <c r="X343">
        <f>IF(Q343&lt;0,"LOSS","")</f>
        <v/>
      </c>
      <c r="Y343">
        <f>IFS(M343&gt;=0.15,"Deep Discount",M343&gt;=0.1,"Moderate",TRUE,"Standard")</f>
        <v/>
      </c>
    </row>
    <row r="344">
      <c r="A344">
        <f>Raw_Data!A344</f>
        <v/>
      </c>
      <c r="B344" s="29">
        <f>Raw_Data!B344</f>
        <v/>
      </c>
      <c r="C344">
        <f>YEAR(B344)</f>
        <v/>
      </c>
      <c r="D344">
        <f>MONTH(B344)</f>
        <v/>
      </c>
      <c r="E344">
        <f>TEXT(B344,"MMM-YYYY")</f>
        <v/>
      </c>
      <c r="F344">
        <f>Raw_Data!C344</f>
        <v/>
      </c>
      <c r="G344">
        <f>Raw_Data!D344</f>
        <v/>
      </c>
      <c r="H344">
        <f>Raw_Data!E344</f>
        <v/>
      </c>
      <c r="I344">
        <f>Raw_Data!F344</f>
        <v/>
      </c>
      <c r="J344">
        <f>Raw_Data!G344</f>
        <v/>
      </c>
      <c r="K344">
        <f>Raw_Data!H344</f>
        <v/>
      </c>
      <c r="L344" s="30">
        <f>Raw_Data!I344</f>
        <v/>
      </c>
      <c r="M344" s="31">
        <f>Raw_Data!J344</f>
        <v/>
      </c>
      <c r="N344" s="17">
        <f>K344*L344</f>
        <v/>
      </c>
      <c r="O344" s="17">
        <f>N344*(1-M344)</f>
        <v/>
      </c>
      <c r="P344" s="17">
        <f>Raw_Data!L344</f>
        <v/>
      </c>
      <c r="Q344" s="17">
        <f>O344-P344</f>
        <v/>
      </c>
      <c r="R344" s="31">
        <f>IF(O344=0,0,Q344/O344)</f>
        <v/>
      </c>
      <c r="S344">
        <f>XLOOKUP(F344,Lookups!$B$7:$B$11,Lookups!$C$7:$C$11,"Unknown")</f>
        <v/>
      </c>
      <c r="T344" s="31">
        <f>XLOOKUP(G344,Lookups!$E$7:$E$11,Lookups!$F$7:$F$11,0)</f>
        <v/>
      </c>
      <c r="U344" s="32">
        <f>R344-T344</f>
        <v/>
      </c>
      <c r="V344">
        <f>XLOOKUP(I344,Lookups!$H$7:$H$10,Lookups!$I$7:$I$10,"")</f>
        <v/>
      </c>
      <c r="W344">
        <f>IF(O344&gt;=50000,"HIGH VALUE","")</f>
        <v/>
      </c>
      <c r="X344">
        <f>IF(Q344&lt;0,"LOSS","")</f>
        <v/>
      </c>
      <c r="Y344">
        <f>IFS(M344&gt;=0.15,"Deep Discount",M344&gt;=0.1,"Moderate",TRUE,"Standard")</f>
        <v/>
      </c>
    </row>
    <row r="345">
      <c r="A345">
        <f>Raw_Data!A345</f>
        <v/>
      </c>
      <c r="B345" s="29">
        <f>Raw_Data!B345</f>
        <v/>
      </c>
      <c r="C345">
        <f>YEAR(B345)</f>
        <v/>
      </c>
      <c r="D345">
        <f>MONTH(B345)</f>
        <v/>
      </c>
      <c r="E345">
        <f>TEXT(B345,"MMM-YYYY")</f>
        <v/>
      </c>
      <c r="F345">
        <f>Raw_Data!C345</f>
        <v/>
      </c>
      <c r="G345">
        <f>Raw_Data!D345</f>
        <v/>
      </c>
      <c r="H345">
        <f>Raw_Data!E345</f>
        <v/>
      </c>
      <c r="I345">
        <f>Raw_Data!F345</f>
        <v/>
      </c>
      <c r="J345">
        <f>Raw_Data!G345</f>
        <v/>
      </c>
      <c r="K345">
        <f>Raw_Data!H345</f>
        <v/>
      </c>
      <c r="L345" s="30">
        <f>Raw_Data!I345</f>
        <v/>
      </c>
      <c r="M345" s="31">
        <f>Raw_Data!J345</f>
        <v/>
      </c>
      <c r="N345" s="17">
        <f>K345*L345</f>
        <v/>
      </c>
      <c r="O345" s="17">
        <f>N345*(1-M345)</f>
        <v/>
      </c>
      <c r="P345" s="17">
        <f>Raw_Data!L345</f>
        <v/>
      </c>
      <c r="Q345" s="17">
        <f>O345-P345</f>
        <v/>
      </c>
      <c r="R345" s="31">
        <f>IF(O345=0,0,Q345/O345)</f>
        <v/>
      </c>
      <c r="S345">
        <f>XLOOKUP(F345,Lookups!$B$7:$B$11,Lookups!$C$7:$C$11,"Unknown")</f>
        <v/>
      </c>
      <c r="T345" s="31">
        <f>XLOOKUP(G345,Lookups!$E$7:$E$11,Lookups!$F$7:$F$11,0)</f>
        <v/>
      </c>
      <c r="U345" s="32">
        <f>R345-T345</f>
        <v/>
      </c>
      <c r="V345">
        <f>XLOOKUP(I345,Lookups!$H$7:$H$10,Lookups!$I$7:$I$10,"")</f>
        <v/>
      </c>
      <c r="W345">
        <f>IF(O345&gt;=50000,"HIGH VALUE","")</f>
        <v/>
      </c>
      <c r="X345">
        <f>IF(Q345&lt;0,"LOSS","")</f>
        <v/>
      </c>
      <c r="Y345">
        <f>IFS(M345&gt;=0.15,"Deep Discount",M345&gt;=0.1,"Moderate",TRUE,"Standard")</f>
        <v/>
      </c>
    </row>
    <row r="346">
      <c r="A346">
        <f>Raw_Data!A346</f>
        <v/>
      </c>
      <c r="B346" s="29">
        <f>Raw_Data!B346</f>
        <v/>
      </c>
      <c r="C346">
        <f>YEAR(B346)</f>
        <v/>
      </c>
      <c r="D346">
        <f>MONTH(B346)</f>
        <v/>
      </c>
      <c r="E346">
        <f>TEXT(B346,"MMM-YYYY")</f>
        <v/>
      </c>
      <c r="F346">
        <f>Raw_Data!C346</f>
        <v/>
      </c>
      <c r="G346">
        <f>Raw_Data!D346</f>
        <v/>
      </c>
      <c r="H346">
        <f>Raw_Data!E346</f>
        <v/>
      </c>
      <c r="I346">
        <f>Raw_Data!F346</f>
        <v/>
      </c>
      <c r="J346">
        <f>Raw_Data!G346</f>
        <v/>
      </c>
      <c r="K346">
        <f>Raw_Data!H346</f>
        <v/>
      </c>
      <c r="L346" s="30">
        <f>Raw_Data!I346</f>
        <v/>
      </c>
      <c r="M346" s="31">
        <f>Raw_Data!J346</f>
        <v/>
      </c>
      <c r="N346" s="17">
        <f>K346*L346</f>
        <v/>
      </c>
      <c r="O346" s="17">
        <f>N346*(1-M346)</f>
        <v/>
      </c>
      <c r="P346" s="17">
        <f>Raw_Data!L346</f>
        <v/>
      </c>
      <c r="Q346" s="17">
        <f>O346-P346</f>
        <v/>
      </c>
      <c r="R346" s="31">
        <f>IF(O346=0,0,Q346/O346)</f>
        <v/>
      </c>
      <c r="S346">
        <f>XLOOKUP(F346,Lookups!$B$7:$B$11,Lookups!$C$7:$C$11,"Unknown")</f>
        <v/>
      </c>
      <c r="T346" s="31">
        <f>XLOOKUP(G346,Lookups!$E$7:$E$11,Lookups!$F$7:$F$11,0)</f>
        <v/>
      </c>
      <c r="U346" s="32">
        <f>R346-T346</f>
        <v/>
      </c>
      <c r="V346">
        <f>XLOOKUP(I346,Lookups!$H$7:$H$10,Lookups!$I$7:$I$10,"")</f>
        <v/>
      </c>
      <c r="W346">
        <f>IF(O346&gt;=50000,"HIGH VALUE","")</f>
        <v/>
      </c>
      <c r="X346">
        <f>IF(Q346&lt;0,"LOSS","")</f>
        <v/>
      </c>
      <c r="Y346">
        <f>IFS(M346&gt;=0.15,"Deep Discount",M346&gt;=0.1,"Moderate",TRUE,"Standard")</f>
        <v/>
      </c>
    </row>
    <row r="347">
      <c r="A347">
        <f>Raw_Data!A347</f>
        <v/>
      </c>
      <c r="B347" s="29">
        <f>Raw_Data!B347</f>
        <v/>
      </c>
      <c r="C347">
        <f>YEAR(B347)</f>
        <v/>
      </c>
      <c r="D347">
        <f>MONTH(B347)</f>
        <v/>
      </c>
      <c r="E347">
        <f>TEXT(B347,"MMM-YYYY")</f>
        <v/>
      </c>
      <c r="F347">
        <f>Raw_Data!C347</f>
        <v/>
      </c>
      <c r="G347">
        <f>Raw_Data!D347</f>
        <v/>
      </c>
      <c r="H347">
        <f>Raw_Data!E347</f>
        <v/>
      </c>
      <c r="I347">
        <f>Raw_Data!F347</f>
        <v/>
      </c>
      <c r="J347">
        <f>Raw_Data!G347</f>
        <v/>
      </c>
      <c r="K347">
        <f>Raw_Data!H347</f>
        <v/>
      </c>
      <c r="L347" s="30">
        <f>Raw_Data!I347</f>
        <v/>
      </c>
      <c r="M347" s="31">
        <f>Raw_Data!J347</f>
        <v/>
      </c>
      <c r="N347" s="17">
        <f>K347*L347</f>
        <v/>
      </c>
      <c r="O347" s="17">
        <f>N347*(1-M347)</f>
        <v/>
      </c>
      <c r="P347" s="17">
        <f>Raw_Data!L347</f>
        <v/>
      </c>
      <c r="Q347" s="17">
        <f>O347-P347</f>
        <v/>
      </c>
      <c r="R347" s="31">
        <f>IF(O347=0,0,Q347/O347)</f>
        <v/>
      </c>
      <c r="S347">
        <f>XLOOKUP(F347,Lookups!$B$7:$B$11,Lookups!$C$7:$C$11,"Unknown")</f>
        <v/>
      </c>
      <c r="T347" s="31">
        <f>XLOOKUP(G347,Lookups!$E$7:$E$11,Lookups!$F$7:$F$11,0)</f>
        <v/>
      </c>
      <c r="U347" s="32">
        <f>R347-T347</f>
        <v/>
      </c>
      <c r="V347">
        <f>XLOOKUP(I347,Lookups!$H$7:$H$10,Lookups!$I$7:$I$10,"")</f>
        <v/>
      </c>
      <c r="W347">
        <f>IF(O347&gt;=50000,"HIGH VALUE","")</f>
        <v/>
      </c>
      <c r="X347">
        <f>IF(Q347&lt;0,"LOSS","")</f>
        <v/>
      </c>
      <c r="Y347">
        <f>IFS(M347&gt;=0.15,"Deep Discount",M347&gt;=0.1,"Moderate",TRUE,"Standard")</f>
        <v/>
      </c>
    </row>
    <row r="348">
      <c r="A348">
        <f>Raw_Data!A348</f>
        <v/>
      </c>
      <c r="B348" s="29">
        <f>Raw_Data!B348</f>
        <v/>
      </c>
      <c r="C348">
        <f>YEAR(B348)</f>
        <v/>
      </c>
      <c r="D348">
        <f>MONTH(B348)</f>
        <v/>
      </c>
      <c r="E348">
        <f>TEXT(B348,"MMM-YYYY")</f>
        <v/>
      </c>
      <c r="F348">
        <f>Raw_Data!C348</f>
        <v/>
      </c>
      <c r="G348">
        <f>Raw_Data!D348</f>
        <v/>
      </c>
      <c r="H348">
        <f>Raw_Data!E348</f>
        <v/>
      </c>
      <c r="I348">
        <f>Raw_Data!F348</f>
        <v/>
      </c>
      <c r="J348">
        <f>Raw_Data!G348</f>
        <v/>
      </c>
      <c r="K348">
        <f>Raw_Data!H348</f>
        <v/>
      </c>
      <c r="L348" s="30">
        <f>Raw_Data!I348</f>
        <v/>
      </c>
      <c r="M348" s="31">
        <f>Raw_Data!J348</f>
        <v/>
      </c>
      <c r="N348" s="17">
        <f>K348*L348</f>
        <v/>
      </c>
      <c r="O348" s="17">
        <f>N348*(1-M348)</f>
        <v/>
      </c>
      <c r="P348" s="17">
        <f>Raw_Data!L348</f>
        <v/>
      </c>
      <c r="Q348" s="17">
        <f>O348-P348</f>
        <v/>
      </c>
      <c r="R348" s="31">
        <f>IF(O348=0,0,Q348/O348)</f>
        <v/>
      </c>
      <c r="S348">
        <f>XLOOKUP(F348,Lookups!$B$7:$B$11,Lookups!$C$7:$C$11,"Unknown")</f>
        <v/>
      </c>
      <c r="T348" s="31">
        <f>XLOOKUP(G348,Lookups!$E$7:$E$11,Lookups!$F$7:$F$11,0)</f>
        <v/>
      </c>
      <c r="U348" s="32">
        <f>R348-T348</f>
        <v/>
      </c>
      <c r="V348">
        <f>XLOOKUP(I348,Lookups!$H$7:$H$10,Lookups!$I$7:$I$10,"")</f>
        <v/>
      </c>
      <c r="W348">
        <f>IF(O348&gt;=50000,"HIGH VALUE","")</f>
        <v/>
      </c>
      <c r="X348">
        <f>IF(Q348&lt;0,"LOSS","")</f>
        <v/>
      </c>
      <c r="Y348">
        <f>IFS(M348&gt;=0.15,"Deep Discount",M348&gt;=0.1,"Moderate",TRUE,"Standard")</f>
        <v/>
      </c>
    </row>
    <row r="349">
      <c r="A349">
        <f>Raw_Data!A349</f>
        <v/>
      </c>
      <c r="B349" s="29">
        <f>Raw_Data!B349</f>
        <v/>
      </c>
      <c r="C349">
        <f>YEAR(B349)</f>
        <v/>
      </c>
      <c r="D349">
        <f>MONTH(B349)</f>
        <v/>
      </c>
      <c r="E349">
        <f>TEXT(B349,"MMM-YYYY")</f>
        <v/>
      </c>
      <c r="F349">
        <f>Raw_Data!C349</f>
        <v/>
      </c>
      <c r="G349">
        <f>Raw_Data!D349</f>
        <v/>
      </c>
      <c r="H349">
        <f>Raw_Data!E349</f>
        <v/>
      </c>
      <c r="I349">
        <f>Raw_Data!F349</f>
        <v/>
      </c>
      <c r="J349">
        <f>Raw_Data!G349</f>
        <v/>
      </c>
      <c r="K349">
        <f>Raw_Data!H349</f>
        <v/>
      </c>
      <c r="L349" s="30">
        <f>Raw_Data!I349</f>
        <v/>
      </c>
      <c r="M349" s="31">
        <f>Raw_Data!J349</f>
        <v/>
      </c>
      <c r="N349" s="17">
        <f>K349*L349</f>
        <v/>
      </c>
      <c r="O349" s="17">
        <f>N349*(1-M349)</f>
        <v/>
      </c>
      <c r="P349" s="17">
        <f>Raw_Data!L349</f>
        <v/>
      </c>
      <c r="Q349" s="17">
        <f>O349-P349</f>
        <v/>
      </c>
      <c r="R349" s="31">
        <f>IF(O349=0,0,Q349/O349)</f>
        <v/>
      </c>
      <c r="S349">
        <f>XLOOKUP(F349,Lookups!$B$7:$B$11,Lookups!$C$7:$C$11,"Unknown")</f>
        <v/>
      </c>
      <c r="T349" s="31">
        <f>XLOOKUP(G349,Lookups!$E$7:$E$11,Lookups!$F$7:$F$11,0)</f>
        <v/>
      </c>
      <c r="U349" s="32">
        <f>R349-T349</f>
        <v/>
      </c>
      <c r="V349">
        <f>XLOOKUP(I349,Lookups!$H$7:$H$10,Lookups!$I$7:$I$10,"")</f>
        <v/>
      </c>
      <c r="W349">
        <f>IF(O349&gt;=50000,"HIGH VALUE","")</f>
        <v/>
      </c>
      <c r="X349">
        <f>IF(Q349&lt;0,"LOSS","")</f>
        <v/>
      </c>
      <c r="Y349">
        <f>IFS(M349&gt;=0.15,"Deep Discount",M349&gt;=0.1,"Moderate",TRUE,"Standard")</f>
        <v/>
      </c>
    </row>
    <row r="350">
      <c r="A350">
        <f>Raw_Data!A350</f>
        <v/>
      </c>
      <c r="B350" s="29">
        <f>Raw_Data!B350</f>
        <v/>
      </c>
      <c r="C350">
        <f>YEAR(B350)</f>
        <v/>
      </c>
      <c r="D350">
        <f>MONTH(B350)</f>
        <v/>
      </c>
      <c r="E350">
        <f>TEXT(B350,"MMM-YYYY")</f>
        <v/>
      </c>
      <c r="F350">
        <f>Raw_Data!C350</f>
        <v/>
      </c>
      <c r="G350">
        <f>Raw_Data!D350</f>
        <v/>
      </c>
      <c r="H350">
        <f>Raw_Data!E350</f>
        <v/>
      </c>
      <c r="I350">
        <f>Raw_Data!F350</f>
        <v/>
      </c>
      <c r="J350">
        <f>Raw_Data!G350</f>
        <v/>
      </c>
      <c r="K350">
        <f>Raw_Data!H350</f>
        <v/>
      </c>
      <c r="L350" s="30">
        <f>Raw_Data!I350</f>
        <v/>
      </c>
      <c r="M350" s="31">
        <f>Raw_Data!J350</f>
        <v/>
      </c>
      <c r="N350" s="17">
        <f>K350*L350</f>
        <v/>
      </c>
      <c r="O350" s="17">
        <f>N350*(1-M350)</f>
        <v/>
      </c>
      <c r="P350" s="17">
        <f>Raw_Data!L350</f>
        <v/>
      </c>
      <c r="Q350" s="17">
        <f>O350-P350</f>
        <v/>
      </c>
      <c r="R350" s="31">
        <f>IF(O350=0,0,Q350/O350)</f>
        <v/>
      </c>
      <c r="S350">
        <f>XLOOKUP(F350,Lookups!$B$7:$B$11,Lookups!$C$7:$C$11,"Unknown")</f>
        <v/>
      </c>
      <c r="T350" s="31">
        <f>XLOOKUP(G350,Lookups!$E$7:$E$11,Lookups!$F$7:$F$11,0)</f>
        <v/>
      </c>
      <c r="U350" s="32">
        <f>R350-T350</f>
        <v/>
      </c>
      <c r="V350">
        <f>XLOOKUP(I350,Lookups!$H$7:$H$10,Lookups!$I$7:$I$10,"")</f>
        <v/>
      </c>
      <c r="W350">
        <f>IF(O350&gt;=50000,"HIGH VALUE","")</f>
        <v/>
      </c>
      <c r="X350">
        <f>IF(Q350&lt;0,"LOSS","")</f>
        <v/>
      </c>
      <c r="Y350">
        <f>IFS(M350&gt;=0.15,"Deep Discount",M350&gt;=0.1,"Moderate",TRUE,"Standard")</f>
        <v/>
      </c>
    </row>
    <row r="351">
      <c r="A351">
        <f>Raw_Data!A351</f>
        <v/>
      </c>
      <c r="B351" s="29">
        <f>Raw_Data!B351</f>
        <v/>
      </c>
      <c r="C351">
        <f>YEAR(B351)</f>
        <v/>
      </c>
      <c r="D351">
        <f>MONTH(B351)</f>
        <v/>
      </c>
      <c r="E351">
        <f>TEXT(B351,"MMM-YYYY")</f>
        <v/>
      </c>
      <c r="F351">
        <f>Raw_Data!C351</f>
        <v/>
      </c>
      <c r="G351">
        <f>Raw_Data!D351</f>
        <v/>
      </c>
      <c r="H351">
        <f>Raw_Data!E351</f>
        <v/>
      </c>
      <c r="I351">
        <f>Raw_Data!F351</f>
        <v/>
      </c>
      <c r="J351">
        <f>Raw_Data!G351</f>
        <v/>
      </c>
      <c r="K351">
        <f>Raw_Data!H351</f>
        <v/>
      </c>
      <c r="L351" s="30">
        <f>Raw_Data!I351</f>
        <v/>
      </c>
      <c r="M351" s="31">
        <f>Raw_Data!J351</f>
        <v/>
      </c>
      <c r="N351" s="17">
        <f>K351*L351</f>
        <v/>
      </c>
      <c r="O351" s="17">
        <f>N351*(1-M351)</f>
        <v/>
      </c>
      <c r="P351" s="17">
        <f>Raw_Data!L351</f>
        <v/>
      </c>
      <c r="Q351" s="17">
        <f>O351-P351</f>
        <v/>
      </c>
      <c r="R351" s="31">
        <f>IF(O351=0,0,Q351/O351)</f>
        <v/>
      </c>
      <c r="S351">
        <f>XLOOKUP(F351,Lookups!$B$7:$B$11,Lookups!$C$7:$C$11,"Unknown")</f>
        <v/>
      </c>
      <c r="T351" s="31">
        <f>XLOOKUP(G351,Lookups!$E$7:$E$11,Lookups!$F$7:$F$11,0)</f>
        <v/>
      </c>
      <c r="U351" s="32">
        <f>R351-T351</f>
        <v/>
      </c>
      <c r="V351">
        <f>XLOOKUP(I351,Lookups!$H$7:$H$10,Lookups!$I$7:$I$10,"")</f>
        <v/>
      </c>
      <c r="W351">
        <f>IF(O351&gt;=50000,"HIGH VALUE","")</f>
        <v/>
      </c>
      <c r="X351">
        <f>IF(Q351&lt;0,"LOSS","")</f>
        <v/>
      </c>
      <c r="Y351">
        <f>IFS(M351&gt;=0.15,"Deep Discount",M351&gt;=0.1,"Moderate",TRUE,"Standard")</f>
        <v/>
      </c>
    </row>
    <row r="352">
      <c r="A352">
        <f>Raw_Data!A352</f>
        <v/>
      </c>
      <c r="B352" s="29">
        <f>Raw_Data!B352</f>
        <v/>
      </c>
      <c r="C352">
        <f>YEAR(B352)</f>
        <v/>
      </c>
      <c r="D352">
        <f>MONTH(B352)</f>
        <v/>
      </c>
      <c r="E352">
        <f>TEXT(B352,"MMM-YYYY")</f>
        <v/>
      </c>
      <c r="F352">
        <f>Raw_Data!C352</f>
        <v/>
      </c>
      <c r="G352">
        <f>Raw_Data!D352</f>
        <v/>
      </c>
      <c r="H352">
        <f>Raw_Data!E352</f>
        <v/>
      </c>
      <c r="I352">
        <f>Raw_Data!F352</f>
        <v/>
      </c>
      <c r="J352">
        <f>Raw_Data!G352</f>
        <v/>
      </c>
      <c r="K352">
        <f>Raw_Data!H352</f>
        <v/>
      </c>
      <c r="L352" s="30">
        <f>Raw_Data!I352</f>
        <v/>
      </c>
      <c r="M352" s="31">
        <f>Raw_Data!J352</f>
        <v/>
      </c>
      <c r="N352" s="17">
        <f>K352*L352</f>
        <v/>
      </c>
      <c r="O352" s="17">
        <f>N352*(1-M352)</f>
        <v/>
      </c>
      <c r="P352" s="17">
        <f>Raw_Data!L352</f>
        <v/>
      </c>
      <c r="Q352" s="17">
        <f>O352-P352</f>
        <v/>
      </c>
      <c r="R352" s="31">
        <f>IF(O352=0,0,Q352/O352)</f>
        <v/>
      </c>
      <c r="S352">
        <f>XLOOKUP(F352,Lookups!$B$7:$B$11,Lookups!$C$7:$C$11,"Unknown")</f>
        <v/>
      </c>
      <c r="T352" s="31">
        <f>XLOOKUP(G352,Lookups!$E$7:$E$11,Lookups!$F$7:$F$11,0)</f>
        <v/>
      </c>
      <c r="U352" s="32">
        <f>R352-T352</f>
        <v/>
      </c>
      <c r="V352">
        <f>XLOOKUP(I352,Lookups!$H$7:$H$10,Lookups!$I$7:$I$10,"")</f>
        <v/>
      </c>
      <c r="W352">
        <f>IF(O352&gt;=50000,"HIGH VALUE","")</f>
        <v/>
      </c>
      <c r="X352">
        <f>IF(Q352&lt;0,"LOSS","")</f>
        <v/>
      </c>
      <c r="Y352">
        <f>IFS(M352&gt;=0.15,"Deep Discount",M352&gt;=0.1,"Moderate",TRUE,"Standard")</f>
        <v/>
      </c>
    </row>
    <row r="353">
      <c r="A353">
        <f>Raw_Data!A353</f>
        <v/>
      </c>
      <c r="B353" s="29">
        <f>Raw_Data!B353</f>
        <v/>
      </c>
      <c r="C353">
        <f>YEAR(B353)</f>
        <v/>
      </c>
      <c r="D353">
        <f>MONTH(B353)</f>
        <v/>
      </c>
      <c r="E353">
        <f>TEXT(B353,"MMM-YYYY")</f>
        <v/>
      </c>
      <c r="F353">
        <f>Raw_Data!C353</f>
        <v/>
      </c>
      <c r="G353">
        <f>Raw_Data!D353</f>
        <v/>
      </c>
      <c r="H353">
        <f>Raw_Data!E353</f>
        <v/>
      </c>
      <c r="I353">
        <f>Raw_Data!F353</f>
        <v/>
      </c>
      <c r="J353">
        <f>Raw_Data!G353</f>
        <v/>
      </c>
      <c r="K353">
        <f>Raw_Data!H353</f>
        <v/>
      </c>
      <c r="L353" s="30">
        <f>Raw_Data!I353</f>
        <v/>
      </c>
      <c r="M353" s="31">
        <f>Raw_Data!J353</f>
        <v/>
      </c>
      <c r="N353" s="17">
        <f>K353*L353</f>
        <v/>
      </c>
      <c r="O353" s="17">
        <f>N353*(1-M353)</f>
        <v/>
      </c>
      <c r="P353" s="17">
        <f>Raw_Data!L353</f>
        <v/>
      </c>
      <c r="Q353" s="17">
        <f>O353-P353</f>
        <v/>
      </c>
      <c r="R353" s="31">
        <f>IF(O353=0,0,Q353/O353)</f>
        <v/>
      </c>
      <c r="S353">
        <f>XLOOKUP(F353,Lookups!$B$7:$B$11,Lookups!$C$7:$C$11,"Unknown")</f>
        <v/>
      </c>
      <c r="T353" s="31">
        <f>XLOOKUP(G353,Lookups!$E$7:$E$11,Lookups!$F$7:$F$11,0)</f>
        <v/>
      </c>
      <c r="U353" s="32">
        <f>R353-T353</f>
        <v/>
      </c>
      <c r="V353">
        <f>XLOOKUP(I353,Lookups!$H$7:$H$10,Lookups!$I$7:$I$10,"")</f>
        <v/>
      </c>
      <c r="W353">
        <f>IF(O353&gt;=50000,"HIGH VALUE","")</f>
        <v/>
      </c>
      <c r="X353">
        <f>IF(Q353&lt;0,"LOSS","")</f>
        <v/>
      </c>
      <c r="Y353">
        <f>IFS(M353&gt;=0.15,"Deep Discount",M353&gt;=0.1,"Moderate",TRUE,"Standard")</f>
        <v/>
      </c>
    </row>
    <row r="354">
      <c r="A354">
        <f>Raw_Data!A354</f>
        <v/>
      </c>
      <c r="B354" s="29">
        <f>Raw_Data!B354</f>
        <v/>
      </c>
      <c r="C354">
        <f>YEAR(B354)</f>
        <v/>
      </c>
      <c r="D354">
        <f>MONTH(B354)</f>
        <v/>
      </c>
      <c r="E354">
        <f>TEXT(B354,"MMM-YYYY")</f>
        <v/>
      </c>
      <c r="F354">
        <f>Raw_Data!C354</f>
        <v/>
      </c>
      <c r="G354">
        <f>Raw_Data!D354</f>
        <v/>
      </c>
      <c r="H354">
        <f>Raw_Data!E354</f>
        <v/>
      </c>
      <c r="I354">
        <f>Raw_Data!F354</f>
        <v/>
      </c>
      <c r="J354">
        <f>Raw_Data!G354</f>
        <v/>
      </c>
      <c r="K354">
        <f>Raw_Data!H354</f>
        <v/>
      </c>
      <c r="L354" s="30">
        <f>Raw_Data!I354</f>
        <v/>
      </c>
      <c r="M354" s="31">
        <f>Raw_Data!J354</f>
        <v/>
      </c>
      <c r="N354" s="17">
        <f>K354*L354</f>
        <v/>
      </c>
      <c r="O354" s="17">
        <f>N354*(1-M354)</f>
        <v/>
      </c>
      <c r="P354" s="17">
        <f>Raw_Data!L354</f>
        <v/>
      </c>
      <c r="Q354" s="17">
        <f>O354-P354</f>
        <v/>
      </c>
      <c r="R354" s="31">
        <f>IF(O354=0,0,Q354/O354)</f>
        <v/>
      </c>
      <c r="S354">
        <f>XLOOKUP(F354,Lookups!$B$7:$B$11,Lookups!$C$7:$C$11,"Unknown")</f>
        <v/>
      </c>
      <c r="T354" s="31">
        <f>XLOOKUP(G354,Lookups!$E$7:$E$11,Lookups!$F$7:$F$11,0)</f>
        <v/>
      </c>
      <c r="U354" s="32">
        <f>R354-T354</f>
        <v/>
      </c>
      <c r="V354">
        <f>XLOOKUP(I354,Lookups!$H$7:$H$10,Lookups!$I$7:$I$10,"")</f>
        <v/>
      </c>
      <c r="W354">
        <f>IF(O354&gt;=50000,"HIGH VALUE","")</f>
        <v/>
      </c>
      <c r="X354">
        <f>IF(Q354&lt;0,"LOSS","")</f>
        <v/>
      </c>
      <c r="Y354">
        <f>IFS(M354&gt;=0.15,"Deep Discount",M354&gt;=0.1,"Moderate",TRUE,"Standard")</f>
        <v/>
      </c>
    </row>
    <row r="355">
      <c r="A355">
        <f>Raw_Data!A355</f>
        <v/>
      </c>
      <c r="B355" s="29">
        <f>Raw_Data!B355</f>
        <v/>
      </c>
      <c r="C355">
        <f>YEAR(B355)</f>
        <v/>
      </c>
      <c r="D355">
        <f>MONTH(B355)</f>
        <v/>
      </c>
      <c r="E355">
        <f>TEXT(B355,"MMM-YYYY")</f>
        <v/>
      </c>
      <c r="F355">
        <f>Raw_Data!C355</f>
        <v/>
      </c>
      <c r="G355">
        <f>Raw_Data!D355</f>
        <v/>
      </c>
      <c r="H355">
        <f>Raw_Data!E355</f>
        <v/>
      </c>
      <c r="I355">
        <f>Raw_Data!F355</f>
        <v/>
      </c>
      <c r="J355">
        <f>Raw_Data!G355</f>
        <v/>
      </c>
      <c r="K355">
        <f>Raw_Data!H355</f>
        <v/>
      </c>
      <c r="L355" s="30">
        <f>Raw_Data!I355</f>
        <v/>
      </c>
      <c r="M355" s="31">
        <f>Raw_Data!J355</f>
        <v/>
      </c>
      <c r="N355" s="17">
        <f>K355*L355</f>
        <v/>
      </c>
      <c r="O355" s="17">
        <f>N355*(1-M355)</f>
        <v/>
      </c>
      <c r="P355" s="17">
        <f>Raw_Data!L355</f>
        <v/>
      </c>
      <c r="Q355" s="17">
        <f>O355-P355</f>
        <v/>
      </c>
      <c r="R355" s="31">
        <f>IF(O355=0,0,Q355/O355)</f>
        <v/>
      </c>
      <c r="S355">
        <f>XLOOKUP(F355,Lookups!$B$7:$B$11,Lookups!$C$7:$C$11,"Unknown")</f>
        <v/>
      </c>
      <c r="T355" s="31">
        <f>XLOOKUP(G355,Lookups!$E$7:$E$11,Lookups!$F$7:$F$11,0)</f>
        <v/>
      </c>
      <c r="U355" s="32">
        <f>R355-T355</f>
        <v/>
      </c>
      <c r="V355">
        <f>XLOOKUP(I355,Lookups!$H$7:$H$10,Lookups!$I$7:$I$10,"")</f>
        <v/>
      </c>
      <c r="W355">
        <f>IF(O355&gt;=50000,"HIGH VALUE","")</f>
        <v/>
      </c>
      <c r="X355">
        <f>IF(Q355&lt;0,"LOSS","")</f>
        <v/>
      </c>
      <c r="Y355">
        <f>IFS(M355&gt;=0.15,"Deep Discount",M355&gt;=0.1,"Moderate",TRUE,"Standard")</f>
        <v/>
      </c>
    </row>
    <row r="356">
      <c r="A356">
        <f>Raw_Data!A356</f>
        <v/>
      </c>
      <c r="B356" s="29">
        <f>Raw_Data!B356</f>
        <v/>
      </c>
      <c r="C356">
        <f>YEAR(B356)</f>
        <v/>
      </c>
      <c r="D356">
        <f>MONTH(B356)</f>
        <v/>
      </c>
      <c r="E356">
        <f>TEXT(B356,"MMM-YYYY")</f>
        <v/>
      </c>
      <c r="F356">
        <f>Raw_Data!C356</f>
        <v/>
      </c>
      <c r="G356">
        <f>Raw_Data!D356</f>
        <v/>
      </c>
      <c r="H356">
        <f>Raw_Data!E356</f>
        <v/>
      </c>
      <c r="I356">
        <f>Raw_Data!F356</f>
        <v/>
      </c>
      <c r="J356">
        <f>Raw_Data!G356</f>
        <v/>
      </c>
      <c r="K356">
        <f>Raw_Data!H356</f>
        <v/>
      </c>
      <c r="L356" s="30">
        <f>Raw_Data!I356</f>
        <v/>
      </c>
      <c r="M356" s="31">
        <f>Raw_Data!J356</f>
        <v/>
      </c>
      <c r="N356" s="17">
        <f>K356*L356</f>
        <v/>
      </c>
      <c r="O356" s="17">
        <f>N356*(1-M356)</f>
        <v/>
      </c>
      <c r="P356" s="17">
        <f>Raw_Data!L356</f>
        <v/>
      </c>
      <c r="Q356" s="17">
        <f>O356-P356</f>
        <v/>
      </c>
      <c r="R356" s="31">
        <f>IF(O356=0,0,Q356/O356)</f>
        <v/>
      </c>
      <c r="S356">
        <f>XLOOKUP(F356,Lookups!$B$7:$B$11,Lookups!$C$7:$C$11,"Unknown")</f>
        <v/>
      </c>
      <c r="T356" s="31">
        <f>XLOOKUP(G356,Lookups!$E$7:$E$11,Lookups!$F$7:$F$11,0)</f>
        <v/>
      </c>
      <c r="U356" s="32">
        <f>R356-T356</f>
        <v/>
      </c>
      <c r="V356">
        <f>XLOOKUP(I356,Lookups!$H$7:$H$10,Lookups!$I$7:$I$10,"")</f>
        <v/>
      </c>
      <c r="W356">
        <f>IF(O356&gt;=50000,"HIGH VALUE","")</f>
        <v/>
      </c>
      <c r="X356">
        <f>IF(Q356&lt;0,"LOSS","")</f>
        <v/>
      </c>
      <c r="Y356">
        <f>IFS(M356&gt;=0.15,"Deep Discount",M356&gt;=0.1,"Moderate",TRUE,"Standard")</f>
        <v/>
      </c>
    </row>
    <row r="357">
      <c r="A357">
        <f>Raw_Data!A357</f>
        <v/>
      </c>
      <c r="B357" s="29">
        <f>Raw_Data!B357</f>
        <v/>
      </c>
      <c r="C357">
        <f>YEAR(B357)</f>
        <v/>
      </c>
      <c r="D357">
        <f>MONTH(B357)</f>
        <v/>
      </c>
      <c r="E357">
        <f>TEXT(B357,"MMM-YYYY")</f>
        <v/>
      </c>
      <c r="F357">
        <f>Raw_Data!C357</f>
        <v/>
      </c>
      <c r="G357">
        <f>Raw_Data!D357</f>
        <v/>
      </c>
      <c r="H357">
        <f>Raw_Data!E357</f>
        <v/>
      </c>
      <c r="I357">
        <f>Raw_Data!F357</f>
        <v/>
      </c>
      <c r="J357">
        <f>Raw_Data!G357</f>
        <v/>
      </c>
      <c r="K357">
        <f>Raw_Data!H357</f>
        <v/>
      </c>
      <c r="L357" s="30">
        <f>Raw_Data!I357</f>
        <v/>
      </c>
      <c r="M357" s="31">
        <f>Raw_Data!J357</f>
        <v/>
      </c>
      <c r="N357" s="17">
        <f>K357*L357</f>
        <v/>
      </c>
      <c r="O357" s="17">
        <f>N357*(1-M357)</f>
        <v/>
      </c>
      <c r="P357" s="17">
        <f>Raw_Data!L357</f>
        <v/>
      </c>
      <c r="Q357" s="17">
        <f>O357-P357</f>
        <v/>
      </c>
      <c r="R357" s="31">
        <f>IF(O357=0,0,Q357/O357)</f>
        <v/>
      </c>
      <c r="S357">
        <f>XLOOKUP(F357,Lookups!$B$7:$B$11,Lookups!$C$7:$C$11,"Unknown")</f>
        <v/>
      </c>
      <c r="T357" s="31">
        <f>XLOOKUP(G357,Lookups!$E$7:$E$11,Lookups!$F$7:$F$11,0)</f>
        <v/>
      </c>
      <c r="U357" s="32">
        <f>R357-T357</f>
        <v/>
      </c>
      <c r="V357">
        <f>XLOOKUP(I357,Lookups!$H$7:$H$10,Lookups!$I$7:$I$10,"")</f>
        <v/>
      </c>
      <c r="W357">
        <f>IF(O357&gt;=50000,"HIGH VALUE","")</f>
        <v/>
      </c>
      <c r="X357">
        <f>IF(Q357&lt;0,"LOSS","")</f>
        <v/>
      </c>
      <c r="Y357">
        <f>IFS(M357&gt;=0.15,"Deep Discount",M357&gt;=0.1,"Moderate",TRUE,"Standard")</f>
        <v/>
      </c>
    </row>
    <row r="358">
      <c r="A358">
        <f>Raw_Data!A358</f>
        <v/>
      </c>
      <c r="B358" s="29">
        <f>Raw_Data!B358</f>
        <v/>
      </c>
      <c r="C358">
        <f>YEAR(B358)</f>
        <v/>
      </c>
      <c r="D358">
        <f>MONTH(B358)</f>
        <v/>
      </c>
      <c r="E358">
        <f>TEXT(B358,"MMM-YYYY")</f>
        <v/>
      </c>
      <c r="F358">
        <f>Raw_Data!C358</f>
        <v/>
      </c>
      <c r="G358">
        <f>Raw_Data!D358</f>
        <v/>
      </c>
      <c r="H358">
        <f>Raw_Data!E358</f>
        <v/>
      </c>
      <c r="I358">
        <f>Raw_Data!F358</f>
        <v/>
      </c>
      <c r="J358">
        <f>Raw_Data!G358</f>
        <v/>
      </c>
      <c r="K358">
        <f>Raw_Data!H358</f>
        <v/>
      </c>
      <c r="L358" s="30">
        <f>Raw_Data!I358</f>
        <v/>
      </c>
      <c r="M358" s="31">
        <f>Raw_Data!J358</f>
        <v/>
      </c>
      <c r="N358" s="17">
        <f>K358*L358</f>
        <v/>
      </c>
      <c r="O358" s="17">
        <f>N358*(1-M358)</f>
        <v/>
      </c>
      <c r="P358" s="17">
        <f>Raw_Data!L358</f>
        <v/>
      </c>
      <c r="Q358" s="17">
        <f>O358-P358</f>
        <v/>
      </c>
      <c r="R358" s="31">
        <f>IF(O358=0,0,Q358/O358)</f>
        <v/>
      </c>
      <c r="S358">
        <f>XLOOKUP(F358,Lookups!$B$7:$B$11,Lookups!$C$7:$C$11,"Unknown")</f>
        <v/>
      </c>
      <c r="T358" s="31">
        <f>XLOOKUP(G358,Lookups!$E$7:$E$11,Lookups!$F$7:$F$11,0)</f>
        <v/>
      </c>
      <c r="U358" s="32">
        <f>R358-T358</f>
        <v/>
      </c>
      <c r="V358">
        <f>XLOOKUP(I358,Lookups!$H$7:$H$10,Lookups!$I$7:$I$10,"")</f>
        <v/>
      </c>
      <c r="W358">
        <f>IF(O358&gt;=50000,"HIGH VALUE","")</f>
        <v/>
      </c>
      <c r="X358">
        <f>IF(Q358&lt;0,"LOSS","")</f>
        <v/>
      </c>
      <c r="Y358">
        <f>IFS(M358&gt;=0.15,"Deep Discount",M358&gt;=0.1,"Moderate",TRUE,"Standard")</f>
        <v/>
      </c>
    </row>
    <row r="359">
      <c r="A359">
        <f>Raw_Data!A359</f>
        <v/>
      </c>
      <c r="B359" s="29">
        <f>Raw_Data!B359</f>
        <v/>
      </c>
      <c r="C359">
        <f>YEAR(B359)</f>
        <v/>
      </c>
      <c r="D359">
        <f>MONTH(B359)</f>
        <v/>
      </c>
      <c r="E359">
        <f>TEXT(B359,"MMM-YYYY")</f>
        <v/>
      </c>
      <c r="F359">
        <f>Raw_Data!C359</f>
        <v/>
      </c>
      <c r="G359">
        <f>Raw_Data!D359</f>
        <v/>
      </c>
      <c r="H359">
        <f>Raw_Data!E359</f>
        <v/>
      </c>
      <c r="I359">
        <f>Raw_Data!F359</f>
        <v/>
      </c>
      <c r="J359">
        <f>Raw_Data!G359</f>
        <v/>
      </c>
      <c r="K359">
        <f>Raw_Data!H359</f>
        <v/>
      </c>
      <c r="L359" s="30">
        <f>Raw_Data!I359</f>
        <v/>
      </c>
      <c r="M359" s="31">
        <f>Raw_Data!J359</f>
        <v/>
      </c>
      <c r="N359" s="17">
        <f>K359*L359</f>
        <v/>
      </c>
      <c r="O359" s="17">
        <f>N359*(1-M359)</f>
        <v/>
      </c>
      <c r="P359" s="17">
        <f>Raw_Data!L359</f>
        <v/>
      </c>
      <c r="Q359" s="17">
        <f>O359-P359</f>
        <v/>
      </c>
      <c r="R359" s="31">
        <f>IF(O359=0,0,Q359/O359)</f>
        <v/>
      </c>
      <c r="S359">
        <f>XLOOKUP(F359,Lookups!$B$7:$B$11,Lookups!$C$7:$C$11,"Unknown")</f>
        <v/>
      </c>
      <c r="T359" s="31">
        <f>XLOOKUP(G359,Lookups!$E$7:$E$11,Lookups!$F$7:$F$11,0)</f>
        <v/>
      </c>
      <c r="U359" s="32">
        <f>R359-T359</f>
        <v/>
      </c>
      <c r="V359">
        <f>XLOOKUP(I359,Lookups!$H$7:$H$10,Lookups!$I$7:$I$10,"")</f>
        <v/>
      </c>
      <c r="W359">
        <f>IF(O359&gt;=50000,"HIGH VALUE","")</f>
        <v/>
      </c>
      <c r="X359">
        <f>IF(Q359&lt;0,"LOSS","")</f>
        <v/>
      </c>
      <c r="Y359">
        <f>IFS(M359&gt;=0.15,"Deep Discount",M359&gt;=0.1,"Moderate",TRUE,"Standard")</f>
        <v/>
      </c>
    </row>
    <row r="360">
      <c r="A360">
        <f>Raw_Data!A360</f>
        <v/>
      </c>
      <c r="B360" s="29">
        <f>Raw_Data!B360</f>
        <v/>
      </c>
      <c r="C360">
        <f>YEAR(B360)</f>
        <v/>
      </c>
      <c r="D360">
        <f>MONTH(B360)</f>
        <v/>
      </c>
      <c r="E360">
        <f>TEXT(B360,"MMM-YYYY")</f>
        <v/>
      </c>
      <c r="F360">
        <f>Raw_Data!C360</f>
        <v/>
      </c>
      <c r="G360">
        <f>Raw_Data!D360</f>
        <v/>
      </c>
      <c r="H360">
        <f>Raw_Data!E360</f>
        <v/>
      </c>
      <c r="I360">
        <f>Raw_Data!F360</f>
        <v/>
      </c>
      <c r="J360">
        <f>Raw_Data!G360</f>
        <v/>
      </c>
      <c r="K360">
        <f>Raw_Data!H360</f>
        <v/>
      </c>
      <c r="L360" s="30">
        <f>Raw_Data!I360</f>
        <v/>
      </c>
      <c r="M360" s="31">
        <f>Raw_Data!J360</f>
        <v/>
      </c>
      <c r="N360" s="17">
        <f>K360*L360</f>
        <v/>
      </c>
      <c r="O360" s="17">
        <f>N360*(1-M360)</f>
        <v/>
      </c>
      <c r="P360" s="17">
        <f>Raw_Data!L360</f>
        <v/>
      </c>
      <c r="Q360" s="17">
        <f>O360-P360</f>
        <v/>
      </c>
      <c r="R360" s="31">
        <f>IF(O360=0,0,Q360/O360)</f>
        <v/>
      </c>
      <c r="S360">
        <f>XLOOKUP(F360,Lookups!$B$7:$B$11,Lookups!$C$7:$C$11,"Unknown")</f>
        <v/>
      </c>
      <c r="T360" s="31">
        <f>XLOOKUP(G360,Lookups!$E$7:$E$11,Lookups!$F$7:$F$11,0)</f>
        <v/>
      </c>
      <c r="U360" s="32">
        <f>R360-T360</f>
        <v/>
      </c>
      <c r="V360">
        <f>XLOOKUP(I360,Lookups!$H$7:$H$10,Lookups!$I$7:$I$10,"")</f>
        <v/>
      </c>
      <c r="W360">
        <f>IF(O360&gt;=50000,"HIGH VALUE","")</f>
        <v/>
      </c>
      <c r="X360">
        <f>IF(Q360&lt;0,"LOSS","")</f>
        <v/>
      </c>
      <c r="Y360">
        <f>IFS(M360&gt;=0.15,"Deep Discount",M360&gt;=0.1,"Moderate",TRUE,"Standard")</f>
        <v/>
      </c>
    </row>
    <row r="361">
      <c r="A361">
        <f>Raw_Data!A361</f>
        <v/>
      </c>
      <c r="B361" s="29">
        <f>Raw_Data!B361</f>
        <v/>
      </c>
      <c r="C361">
        <f>YEAR(B361)</f>
        <v/>
      </c>
      <c r="D361">
        <f>MONTH(B361)</f>
        <v/>
      </c>
      <c r="E361">
        <f>TEXT(B361,"MMM-YYYY")</f>
        <v/>
      </c>
      <c r="F361">
        <f>Raw_Data!C361</f>
        <v/>
      </c>
      <c r="G361">
        <f>Raw_Data!D361</f>
        <v/>
      </c>
      <c r="H361">
        <f>Raw_Data!E361</f>
        <v/>
      </c>
      <c r="I361">
        <f>Raw_Data!F361</f>
        <v/>
      </c>
      <c r="J361">
        <f>Raw_Data!G361</f>
        <v/>
      </c>
      <c r="K361">
        <f>Raw_Data!H361</f>
        <v/>
      </c>
      <c r="L361" s="30">
        <f>Raw_Data!I361</f>
        <v/>
      </c>
      <c r="M361" s="31">
        <f>Raw_Data!J361</f>
        <v/>
      </c>
      <c r="N361" s="17">
        <f>K361*L361</f>
        <v/>
      </c>
      <c r="O361" s="17">
        <f>N361*(1-M361)</f>
        <v/>
      </c>
      <c r="P361" s="17">
        <f>Raw_Data!L361</f>
        <v/>
      </c>
      <c r="Q361" s="17">
        <f>O361-P361</f>
        <v/>
      </c>
      <c r="R361" s="31">
        <f>IF(O361=0,0,Q361/O361)</f>
        <v/>
      </c>
      <c r="S361">
        <f>XLOOKUP(F361,Lookups!$B$7:$B$11,Lookups!$C$7:$C$11,"Unknown")</f>
        <v/>
      </c>
      <c r="T361" s="31">
        <f>XLOOKUP(G361,Lookups!$E$7:$E$11,Lookups!$F$7:$F$11,0)</f>
        <v/>
      </c>
      <c r="U361" s="32">
        <f>R361-T361</f>
        <v/>
      </c>
      <c r="V361">
        <f>XLOOKUP(I361,Lookups!$H$7:$H$10,Lookups!$I$7:$I$10,"")</f>
        <v/>
      </c>
      <c r="W361">
        <f>IF(O361&gt;=50000,"HIGH VALUE","")</f>
        <v/>
      </c>
      <c r="X361">
        <f>IF(Q361&lt;0,"LOSS","")</f>
        <v/>
      </c>
      <c r="Y361">
        <f>IFS(M361&gt;=0.15,"Deep Discount",M361&gt;=0.1,"Moderate",TRUE,"Standard")</f>
        <v/>
      </c>
    </row>
    <row r="362">
      <c r="A362">
        <f>Raw_Data!A362</f>
        <v/>
      </c>
      <c r="B362" s="29">
        <f>Raw_Data!B362</f>
        <v/>
      </c>
      <c r="C362">
        <f>YEAR(B362)</f>
        <v/>
      </c>
      <c r="D362">
        <f>MONTH(B362)</f>
        <v/>
      </c>
      <c r="E362">
        <f>TEXT(B362,"MMM-YYYY")</f>
        <v/>
      </c>
      <c r="F362">
        <f>Raw_Data!C362</f>
        <v/>
      </c>
      <c r="G362">
        <f>Raw_Data!D362</f>
        <v/>
      </c>
      <c r="H362">
        <f>Raw_Data!E362</f>
        <v/>
      </c>
      <c r="I362">
        <f>Raw_Data!F362</f>
        <v/>
      </c>
      <c r="J362">
        <f>Raw_Data!G362</f>
        <v/>
      </c>
      <c r="K362">
        <f>Raw_Data!H362</f>
        <v/>
      </c>
      <c r="L362" s="30">
        <f>Raw_Data!I362</f>
        <v/>
      </c>
      <c r="M362" s="31">
        <f>Raw_Data!J362</f>
        <v/>
      </c>
      <c r="N362" s="17">
        <f>K362*L362</f>
        <v/>
      </c>
      <c r="O362" s="17">
        <f>N362*(1-M362)</f>
        <v/>
      </c>
      <c r="P362" s="17">
        <f>Raw_Data!L362</f>
        <v/>
      </c>
      <c r="Q362" s="17">
        <f>O362-P362</f>
        <v/>
      </c>
      <c r="R362" s="31">
        <f>IF(O362=0,0,Q362/O362)</f>
        <v/>
      </c>
      <c r="S362">
        <f>XLOOKUP(F362,Lookups!$B$7:$B$11,Lookups!$C$7:$C$11,"Unknown")</f>
        <v/>
      </c>
      <c r="T362" s="31">
        <f>XLOOKUP(G362,Lookups!$E$7:$E$11,Lookups!$F$7:$F$11,0)</f>
        <v/>
      </c>
      <c r="U362" s="32">
        <f>R362-T362</f>
        <v/>
      </c>
      <c r="V362">
        <f>XLOOKUP(I362,Lookups!$H$7:$H$10,Lookups!$I$7:$I$10,"")</f>
        <v/>
      </c>
      <c r="W362">
        <f>IF(O362&gt;=50000,"HIGH VALUE","")</f>
        <v/>
      </c>
      <c r="X362">
        <f>IF(Q362&lt;0,"LOSS","")</f>
        <v/>
      </c>
      <c r="Y362">
        <f>IFS(M362&gt;=0.15,"Deep Discount",M362&gt;=0.1,"Moderate",TRUE,"Standard")</f>
        <v/>
      </c>
    </row>
    <row r="363">
      <c r="A363">
        <f>Raw_Data!A363</f>
        <v/>
      </c>
      <c r="B363" s="29">
        <f>Raw_Data!B363</f>
        <v/>
      </c>
      <c r="C363">
        <f>YEAR(B363)</f>
        <v/>
      </c>
      <c r="D363">
        <f>MONTH(B363)</f>
        <v/>
      </c>
      <c r="E363">
        <f>TEXT(B363,"MMM-YYYY")</f>
        <v/>
      </c>
      <c r="F363">
        <f>Raw_Data!C363</f>
        <v/>
      </c>
      <c r="G363">
        <f>Raw_Data!D363</f>
        <v/>
      </c>
      <c r="H363">
        <f>Raw_Data!E363</f>
        <v/>
      </c>
      <c r="I363">
        <f>Raw_Data!F363</f>
        <v/>
      </c>
      <c r="J363">
        <f>Raw_Data!G363</f>
        <v/>
      </c>
      <c r="K363">
        <f>Raw_Data!H363</f>
        <v/>
      </c>
      <c r="L363" s="30">
        <f>Raw_Data!I363</f>
        <v/>
      </c>
      <c r="M363" s="31">
        <f>Raw_Data!J363</f>
        <v/>
      </c>
      <c r="N363" s="17">
        <f>K363*L363</f>
        <v/>
      </c>
      <c r="O363" s="17">
        <f>N363*(1-M363)</f>
        <v/>
      </c>
      <c r="P363" s="17">
        <f>Raw_Data!L363</f>
        <v/>
      </c>
      <c r="Q363" s="17">
        <f>O363-P363</f>
        <v/>
      </c>
      <c r="R363" s="31">
        <f>IF(O363=0,0,Q363/O363)</f>
        <v/>
      </c>
      <c r="S363">
        <f>XLOOKUP(F363,Lookups!$B$7:$B$11,Lookups!$C$7:$C$11,"Unknown")</f>
        <v/>
      </c>
      <c r="T363" s="31">
        <f>XLOOKUP(G363,Lookups!$E$7:$E$11,Lookups!$F$7:$F$11,0)</f>
        <v/>
      </c>
      <c r="U363" s="32">
        <f>R363-T363</f>
        <v/>
      </c>
      <c r="V363">
        <f>XLOOKUP(I363,Lookups!$H$7:$H$10,Lookups!$I$7:$I$10,"")</f>
        <v/>
      </c>
      <c r="W363">
        <f>IF(O363&gt;=50000,"HIGH VALUE","")</f>
        <v/>
      </c>
      <c r="X363">
        <f>IF(Q363&lt;0,"LOSS","")</f>
        <v/>
      </c>
      <c r="Y363">
        <f>IFS(M363&gt;=0.15,"Deep Discount",M363&gt;=0.1,"Moderate",TRUE,"Standard")</f>
        <v/>
      </c>
    </row>
    <row r="364">
      <c r="A364">
        <f>Raw_Data!A364</f>
        <v/>
      </c>
      <c r="B364" s="29">
        <f>Raw_Data!B364</f>
        <v/>
      </c>
      <c r="C364">
        <f>YEAR(B364)</f>
        <v/>
      </c>
      <c r="D364">
        <f>MONTH(B364)</f>
        <v/>
      </c>
      <c r="E364">
        <f>TEXT(B364,"MMM-YYYY")</f>
        <v/>
      </c>
      <c r="F364">
        <f>Raw_Data!C364</f>
        <v/>
      </c>
      <c r="G364">
        <f>Raw_Data!D364</f>
        <v/>
      </c>
      <c r="H364">
        <f>Raw_Data!E364</f>
        <v/>
      </c>
      <c r="I364">
        <f>Raw_Data!F364</f>
        <v/>
      </c>
      <c r="J364">
        <f>Raw_Data!G364</f>
        <v/>
      </c>
      <c r="K364">
        <f>Raw_Data!H364</f>
        <v/>
      </c>
      <c r="L364" s="30">
        <f>Raw_Data!I364</f>
        <v/>
      </c>
      <c r="M364" s="31">
        <f>Raw_Data!J364</f>
        <v/>
      </c>
      <c r="N364" s="17">
        <f>K364*L364</f>
        <v/>
      </c>
      <c r="O364" s="17">
        <f>N364*(1-M364)</f>
        <v/>
      </c>
      <c r="P364" s="17">
        <f>Raw_Data!L364</f>
        <v/>
      </c>
      <c r="Q364" s="17">
        <f>O364-P364</f>
        <v/>
      </c>
      <c r="R364" s="31">
        <f>IF(O364=0,0,Q364/O364)</f>
        <v/>
      </c>
      <c r="S364">
        <f>XLOOKUP(F364,Lookups!$B$7:$B$11,Lookups!$C$7:$C$11,"Unknown")</f>
        <v/>
      </c>
      <c r="T364" s="31">
        <f>XLOOKUP(G364,Lookups!$E$7:$E$11,Lookups!$F$7:$F$11,0)</f>
        <v/>
      </c>
      <c r="U364" s="32">
        <f>R364-T364</f>
        <v/>
      </c>
      <c r="V364">
        <f>XLOOKUP(I364,Lookups!$H$7:$H$10,Lookups!$I$7:$I$10,"")</f>
        <v/>
      </c>
      <c r="W364">
        <f>IF(O364&gt;=50000,"HIGH VALUE","")</f>
        <v/>
      </c>
      <c r="X364">
        <f>IF(Q364&lt;0,"LOSS","")</f>
        <v/>
      </c>
      <c r="Y364">
        <f>IFS(M364&gt;=0.15,"Deep Discount",M364&gt;=0.1,"Moderate",TRUE,"Standard")</f>
        <v/>
      </c>
    </row>
    <row r="365">
      <c r="A365">
        <f>Raw_Data!A365</f>
        <v/>
      </c>
      <c r="B365" s="29">
        <f>Raw_Data!B365</f>
        <v/>
      </c>
      <c r="C365">
        <f>YEAR(B365)</f>
        <v/>
      </c>
      <c r="D365">
        <f>MONTH(B365)</f>
        <v/>
      </c>
      <c r="E365">
        <f>TEXT(B365,"MMM-YYYY")</f>
        <v/>
      </c>
      <c r="F365">
        <f>Raw_Data!C365</f>
        <v/>
      </c>
      <c r="G365">
        <f>Raw_Data!D365</f>
        <v/>
      </c>
      <c r="H365">
        <f>Raw_Data!E365</f>
        <v/>
      </c>
      <c r="I365">
        <f>Raw_Data!F365</f>
        <v/>
      </c>
      <c r="J365">
        <f>Raw_Data!G365</f>
        <v/>
      </c>
      <c r="K365">
        <f>Raw_Data!H365</f>
        <v/>
      </c>
      <c r="L365" s="30">
        <f>Raw_Data!I365</f>
        <v/>
      </c>
      <c r="M365" s="31">
        <f>Raw_Data!J365</f>
        <v/>
      </c>
      <c r="N365" s="17">
        <f>K365*L365</f>
        <v/>
      </c>
      <c r="O365" s="17">
        <f>N365*(1-M365)</f>
        <v/>
      </c>
      <c r="P365" s="17">
        <f>Raw_Data!L365</f>
        <v/>
      </c>
      <c r="Q365" s="17">
        <f>O365-P365</f>
        <v/>
      </c>
      <c r="R365" s="31">
        <f>IF(O365=0,0,Q365/O365)</f>
        <v/>
      </c>
      <c r="S365">
        <f>XLOOKUP(F365,Lookups!$B$7:$B$11,Lookups!$C$7:$C$11,"Unknown")</f>
        <v/>
      </c>
      <c r="T365" s="31">
        <f>XLOOKUP(G365,Lookups!$E$7:$E$11,Lookups!$F$7:$F$11,0)</f>
        <v/>
      </c>
      <c r="U365" s="32">
        <f>R365-T365</f>
        <v/>
      </c>
      <c r="V365">
        <f>XLOOKUP(I365,Lookups!$H$7:$H$10,Lookups!$I$7:$I$10,"")</f>
        <v/>
      </c>
      <c r="W365">
        <f>IF(O365&gt;=50000,"HIGH VALUE","")</f>
        <v/>
      </c>
      <c r="X365">
        <f>IF(Q365&lt;0,"LOSS","")</f>
        <v/>
      </c>
      <c r="Y365">
        <f>IFS(M365&gt;=0.15,"Deep Discount",M365&gt;=0.1,"Moderate",TRUE,"Standard")</f>
        <v/>
      </c>
    </row>
    <row r="366">
      <c r="A366">
        <f>Raw_Data!A366</f>
        <v/>
      </c>
      <c r="B366" s="29">
        <f>Raw_Data!B366</f>
        <v/>
      </c>
      <c r="C366">
        <f>YEAR(B366)</f>
        <v/>
      </c>
      <c r="D366">
        <f>MONTH(B366)</f>
        <v/>
      </c>
      <c r="E366">
        <f>TEXT(B366,"MMM-YYYY")</f>
        <v/>
      </c>
      <c r="F366">
        <f>Raw_Data!C366</f>
        <v/>
      </c>
      <c r="G366">
        <f>Raw_Data!D366</f>
        <v/>
      </c>
      <c r="H366">
        <f>Raw_Data!E366</f>
        <v/>
      </c>
      <c r="I366">
        <f>Raw_Data!F366</f>
        <v/>
      </c>
      <c r="J366">
        <f>Raw_Data!G366</f>
        <v/>
      </c>
      <c r="K366">
        <f>Raw_Data!H366</f>
        <v/>
      </c>
      <c r="L366" s="30">
        <f>Raw_Data!I366</f>
        <v/>
      </c>
      <c r="M366" s="31">
        <f>Raw_Data!J366</f>
        <v/>
      </c>
      <c r="N366" s="17">
        <f>K366*L366</f>
        <v/>
      </c>
      <c r="O366" s="17">
        <f>N366*(1-M366)</f>
        <v/>
      </c>
      <c r="P366" s="17">
        <f>Raw_Data!L366</f>
        <v/>
      </c>
      <c r="Q366" s="17">
        <f>O366-P366</f>
        <v/>
      </c>
      <c r="R366" s="31">
        <f>IF(O366=0,0,Q366/O366)</f>
        <v/>
      </c>
      <c r="S366">
        <f>XLOOKUP(F366,Lookups!$B$7:$B$11,Lookups!$C$7:$C$11,"Unknown")</f>
        <v/>
      </c>
      <c r="T366" s="31">
        <f>XLOOKUP(G366,Lookups!$E$7:$E$11,Lookups!$F$7:$F$11,0)</f>
        <v/>
      </c>
      <c r="U366" s="32">
        <f>R366-T366</f>
        <v/>
      </c>
      <c r="V366">
        <f>XLOOKUP(I366,Lookups!$H$7:$H$10,Lookups!$I$7:$I$10,"")</f>
        <v/>
      </c>
      <c r="W366">
        <f>IF(O366&gt;=50000,"HIGH VALUE","")</f>
        <v/>
      </c>
      <c r="X366">
        <f>IF(Q366&lt;0,"LOSS","")</f>
        <v/>
      </c>
      <c r="Y366">
        <f>IFS(M366&gt;=0.15,"Deep Discount",M366&gt;=0.1,"Moderate",TRUE,"Standard")</f>
        <v/>
      </c>
    </row>
    <row r="367">
      <c r="A367">
        <f>Raw_Data!A367</f>
        <v/>
      </c>
      <c r="B367" s="29">
        <f>Raw_Data!B367</f>
        <v/>
      </c>
      <c r="C367">
        <f>YEAR(B367)</f>
        <v/>
      </c>
      <c r="D367">
        <f>MONTH(B367)</f>
        <v/>
      </c>
      <c r="E367">
        <f>TEXT(B367,"MMM-YYYY")</f>
        <v/>
      </c>
      <c r="F367">
        <f>Raw_Data!C367</f>
        <v/>
      </c>
      <c r="G367">
        <f>Raw_Data!D367</f>
        <v/>
      </c>
      <c r="H367">
        <f>Raw_Data!E367</f>
        <v/>
      </c>
      <c r="I367">
        <f>Raw_Data!F367</f>
        <v/>
      </c>
      <c r="J367">
        <f>Raw_Data!G367</f>
        <v/>
      </c>
      <c r="K367">
        <f>Raw_Data!H367</f>
        <v/>
      </c>
      <c r="L367" s="30">
        <f>Raw_Data!I367</f>
        <v/>
      </c>
      <c r="M367" s="31">
        <f>Raw_Data!J367</f>
        <v/>
      </c>
      <c r="N367" s="17">
        <f>K367*L367</f>
        <v/>
      </c>
      <c r="O367" s="17">
        <f>N367*(1-M367)</f>
        <v/>
      </c>
      <c r="P367" s="17">
        <f>Raw_Data!L367</f>
        <v/>
      </c>
      <c r="Q367" s="17">
        <f>O367-P367</f>
        <v/>
      </c>
      <c r="R367" s="31">
        <f>IF(O367=0,0,Q367/O367)</f>
        <v/>
      </c>
      <c r="S367">
        <f>XLOOKUP(F367,Lookups!$B$7:$B$11,Lookups!$C$7:$C$11,"Unknown")</f>
        <v/>
      </c>
      <c r="T367" s="31">
        <f>XLOOKUP(G367,Lookups!$E$7:$E$11,Lookups!$F$7:$F$11,0)</f>
        <v/>
      </c>
      <c r="U367" s="32">
        <f>R367-T367</f>
        <v/>
      </c>
      <c r="V367">
        <f>XLOOKUP(I367,Lookups!$H$7:$H$10,Lookups!$I$7:$I$10,"")</f>
        <v/>
      </c>
      <c r="W367">
        <f>IF(O367&gt;=50000,"HIGH VALUE","")</f>
        <v/>
      </c>
      <c r="X367">
        <f>IF(Q367&lt;0,"LOSS","")</f>
        <v/>
      </c>
      <c r="Y367">
        <f>IFS(M367&gt;=0.15,"Deep Discount",M367&gt;=0.1,"Moderate",TRUE,"Standard")</f>
        <v/>
      </c>
    </row>
    <row r="368">
      <c r="A368">
        <f>Raw_Data!A368</f>
        <v/>
      </c>
      <c r="B368" s="29">
        <f>Raw_Data!B368</f>
        <v/>
      </c>
      <c r="C368">
        <f>YEAR(B368)</f>
        <v/>
      </c>
      <c r="D368">
        <f>MONTH(B368)</f>
        <v/>
      </c>
      <c r="E368">
        <f>TEXT(B368,"MMM-YYYY")</f>
        <v/>
      </c>
      <c r="F368">
        <f>Raw_Data!C368</f>
        <v/>
      </c>
      <c r="G368">
        <f>Raw_Data!D368</f>
        <v/>
      </c>
      <c r="H368">
        <f>Raw_Data!E368</f>
        <v/>
      </c>
      <c r="I368">
        <f>Raw_Data!F368</f>
        <v/>
      </c>
      <c r="J368">
        <f>Raw_Data!G368</f>
        <v/>
      </c>
      <c r="K368">
        <f>Raw_Data!H368</f>
        <v/>
      </c>
      <c r="L368" s="30">
        <f>Raw_Data!I368</f>
        <v/>
      </c>
      <c r="M368" s="31">
        <f>Raw_Data!J368</f>
        <v/>
      </c>
      <c r="N368" s="17">
        <f>K368*L368</f>
        <v/>
      </c>
      <c r="O368" s="17">
        <f>N368*(1-M368)</f>
        <v/>
      </c>
      <c r="P368" s="17">
        <f>Raw_Data!L368</f>
        <v/>
      </c>
      <c r="Q368" s="17">
        <f>O368-P368</f>
        <v/>
      </c>
      <c r="R368" s="31">
        <f>IF(O368=0,0,Q368/O368)</f>
        <v/>
      </c>
      <c r="S368">
        <f>XLOOKUP(F368,Lookups!$B$7:$B$11,Lookups!$C$7:$C$11,"Unknown")</f>
        <v/>
      </c>
      <c r="T368" s="31">
        <f>XLOOKUP(G368,Lookups!$E$7:$E$11,Lookups!$F$7:$F$11,0)</f>
        <v/>
      </c>
      <c r="U368" s="32">
        <f>R368-T368</f>
        <v/>
      </c>
      <c r="V368">
        <f>XLOOKUP(I368,Lookups!$H$7:$H$10,Lookups!$I$7:$I$10,"")</f>
        <v/>
      </c>
      <c r="W368">
        <f>IF(O368&gt;=50000,"HIGH VALUE","")</f>
        <v/>
      </c>
      <c r="X368">
        <f>IF(Q368&lt;0,"LOSS","")</f>
        <v/>
      </c>
      <c r="Y368">
        <f>IFS(M368&gt;=0.15,"Deep Discount",M368&gt;=0.1,"Moderate",TRUE,"Standard")</f>
        <v/>
      </c>
    </row>
    <row r="369">
      <c r="A369">
        <f>Raw_Data!A369</f>
        <v/>
      </c>
      <c r="B369" s="29">
        <f>Raw_Data!B369</f>
        <v/>
      </c>
      <c r="C369">
        <f>YEAR(B369)</f>
        <v/>
      </c>
      <c r="D369">
        <f>MONTH(B369)</f>
        <v/>
      </c>
      <c r="E369">
        <f>TEXT(B369,"MMM-YYYY")</f>
        <v/>
      </c>
      <c r="F369">
        <f>Raw_Data!C369</f>
        <v/>
      </c>
      <c r="G369">
        <f>Raw_Data!D369</f>
        <v/>
      </c>
      <c r="H369">
        <f>Raw_Data!E369</f>
        <v/>
      </c>
      <c r="I369">
        <f>Raw_Data!F369</f>
        <v/>
      </c>
      <c r="J369">
        <f>Raw_Data!G369</f>
        <v/>
      </c>
      <c r="K369">
        <f>Raw_Data!H369</f>
        <v/>
      </c>
      <c r="L369" s="30">
        <f>Raw_Data!I369</f>
        <v/>
      </c>
      <c r="M369" s="31">
        <f>Raw_Data!J369</f>
        <v/>
      </c>
      <c r="N369" s="17">
        <f>K369*L369</f>
        <v/>
      </c>
      <c r="O369" s="17">
        <f>N369*(1-M369)</f>
        <v/>
      </c>
      <c r="P369" s="17">
        <f>Raw_Data!L369</f>
        <v/>
      </c>
      <c r="Q369" s="17">
        <f>O369-P369</f>
        <v/>
      </c>
      <c r="R369" s="31">
        <f>IF(O369=0,0,Q369/O369)</f>
        <v/>
      </c>
      <c r="S369">
        <f>XLOOKUP(F369,Lookups!$B$7:$B$11,Lookups!$C$7:$C$11,"Unknown")</f>
        <v/>
      </c>
      <c r="T369" s="31">
        <f>XLOOKUP(G369,Lookups!$E$7:$E$11,Lookups!$F$7:$F$11,0)</f>
        <v/>
      </c>
      <c r="U369" s="32">
        <f>R369-T369</f>
        <v/>
      </c>
      <c r="V369">
        <f>XLOOKUP(I369,Lookups!$H$7:$H$10,Lookups!$I$7:$I$10,"")</f>
        <v/>
      </c>
      <c r="W369">
        <f>IF(O369&gt;=50000,"HIGH VALUE","")</f>
        <v/>
      </c>
      <c r="X369">
        <f>IF(Q369&lt;0,"LOSS","")</f>
        <v/>
      </c>
      <c r="Y369">
        <f>IFS(M369&gt;=0.15,"Deep Discount",M369&gt;=0.1,"Moderate",TRUE,"Standard")</f>
        <v/>
      </c>
    </row>
    <row r="370">
      <c r="A370">
        <f>Raw_Data!A370</f>
        <v/>
      </c>
      <c r="B370" s="29">
        <f>Raw_Data!B370</f>
        <v/>
      </c>
      <c r="C370">
        <f>YEAR(B370)</f>
        <v/>
      </c>
      <c r="D370">
        <f>MONTH(B370)</f>
        <v/>
      </c>
      <c r="E370">
        <f>TEXT(B370,"MMM-YYYY")</f>
        <v/>
      </c>
      <c r="F370">
        <f>Raw_Data!C370</f>
        <v/>
      </c>
      <c r="G370">
        <f>Raw_Data!D370</f>
        <v/>
      </c>
      <c r="H370">
        <f>Raw_Data!E370</f>
        <v/>
      </c>
      <c r="I370">
        <f>Raw_Data!F370</f>
        <v/>
      </c>
      <c r="J370">
        <f>Raw_Data!G370</f>
        <v/>
      </c>
      <c r="K370">
        <f>Raw_Data!H370</f>
        <v/>
      </c>
      <c r="L370" s="30">
        <f>Raw_Data!I370</f>
        <v/>
      </c>
      <c r="M370" s="31">
        <f>Raw_Data!J370</f>
        <v/>
      </c>
      <c r="N370" s="17">
        <f>K370*L370</f>
        <v/>
      </c>
      <c r="O370" s="17">
        <f>N370*(1-M370)</f>
        <v/>
      </c>
      <c r="P370" s="17">
        <f>Raw_Data!L370</f>
        <v/>
      </c>
      <c r="Q370" s="17">
        <f>O370-P370</f>
        <v/>
      </c>
      <c r="R370" s="31">
        <f>IF(O370=0,0,Q370/O370)</f>
        <v/>
      </c>
      <c r="S370">
        <f>XLOOKUP(F370,Lookups!$B$7:$B$11,Lookups!$C$7:$C$11,"Unknown")</f>
        <v/>
      </c>
      <c r="T370" s="31">
        <f>XLOOKUP(G370,Lookups!$E$7:$E$11,Lookups!$F$7:$F$11,0)</f>
        <v/>
      </c>
      <c r="U370" s="32">
        <f>R370-T370</f>
        <v/>
      </c>
      <c r="V370">
        <f>XLOOKUP(I370,Lookups!$H$7:$H$10,Lookups!$I$7:$I$10,"")</f>
        <v/>
      </c>
      <c r="W370">
        <f>IF(O370&gt;=50000,"HIGH VALUE","")</f>
        <v/>
      </c>
      <c r="X370">
        <f>IF(Q370&lt;0,"LOSS","")</f>
        <v/>
      </c>
      <c r="Y370">
        <f>IFS(M370&gt;=0.15,"Deep Discount",M370&gt;=0.1,"Moderate",TRUE,"Standard")</f>
        <v/>
      </c>
    </row>
    <row r="371">
      <c r="A371">
        <f>Raw_Data!A371</f>
        <v/>
      </c>
      <c r="B371" s="29">
        <f>Raw_Data!B371</f>
        <v/>
      </c>
      <c r="C371">
        <f>YEAR(B371)</f>
        <v/>
      </c>
      <c r="D371">
        <f>MONTH(B371)</f>
        <v/>
      </c>
      <c r="E371">
        <f>TEXT(B371,"MMM-YYYY")</f>
        <v/>
      </c>
      <c r="F371">
        <f>Raw_Data!C371</f>
        <v/>
      </c>
      <c r="G371">
        <f>Raw_Data!D371</f>
        <v/>
      </c>
      <c r="H371">
        <f>Raw_Data!E371</f>
        <v/>
      </c>
      <c r="I371">
        <f>Raw_Data!F371</f>
        <v/>
      </c>
      <c r="J371">
        <f>Raw_Data!G371</f>
        <v/>
      </c>
      <c r="K371">
        <f>Raw_Data!H371</f>
        <v/>
      </c>
      <c r="L371" s="30">
        <f>Raw_Data!I371</f>
        <v/>
      </c>
      <c r="M371" s="31">
        <f>Raw_Data!J371</f>
        <v/>
      </c>
      <c r="N371" s="17">
        <f>K371*L371</f>
        <v/>
      </c>
      <c r="O371" s="17">
        <f>N371*(1-M371)</f>
        <v/>
      </c>
      <c r="P371" s="17">
        <f>Raw_Data!L371</f>
        <v/>
      </c>
      <c r="Q371" s="17">
        <f>O371-P371</f>
        <v/>
      </c>
      <c r="R371" s="31">
        <f>IF(O371=0,0,Q371/O371)</f>
        <v/>
      </c>
      <c r="S371">
        <f>XLOOKUP(F371,Lookups!$B$7:$B$11,Lookups!$C$7:$C$11,"Unknown")</f>
        <v/>
      </c>
      <c r="T371" s="31">
        <f>XLOOKUP(G371,Lookups!$E$7:$E$11,Lookups!$F$7:$F$11,0)</f>
        <v/>
      </c>
      <c r="U371" s="32">
        <f>R371-T371</f>
        <v/>
      </c>
      <c r="V371">
        <f>XLOOKUP(I371,Lookups!$H$7:$H$10,Lookups!$I$7:$I$10,"")</f>
        <v/>
      </c>
      <c r="W371">
        <f>IF(O371&gt;=50000,"HIGH VALUE","")</f>
        <v/>
      </c>
      <c r="X371">
        <f>IF(Q371&lt;0,"LOSS","")</f>
        <v/>
      </c>
      <c r="Y371">
        <f>IFS(M371&gt;=0.15,"Deep Discount",M371&gt;=0.1,"Moderate",TRUE,"Standard")</f>
        <v/>
      </c>
    </row>
    <row r="372">
      <c r="A372">
        <f>Raw_Data!A372</f>
        <v/>
      </c>
      <c r="B372" s="29">
        <f>Raw_Data!B372</f>
        <v/>
      </c>
      <c r="C372">
        <f>YEAR(B372)</f>
        <v/>
      </c>
      <c r="D372">
        <f>MONTH(B372)</f>
        <v/>
      </c>
      <c r="E372">
        <f>TEXT(B372,"MMM-YYYY")</f>
        <v/>
      </c>
      <c r="F372">
        <f>Raw_Data!C372</f>
        <v/>
      </c>
      <c r="G372">
        <f>Raw_Data!D372</f>
        <v/>
      </c>
      <c r="H372">
        <f>Raw_Data!E372</f>
        <v/>
      </c>
      <c r="I372">
        <f>Raw_Data!F372</f>
        <v/>
      </c>
      <c r="J372">
        <f>Raw_Data!G372</f>
        <v/>
      </c>
      <c r="K372">
        <f>Raw_Data!H372</f>
        <v/>
      </c>
      <c r="L372" s="30">
        <f>Raw_Data!I372</f>
        <v/>
      </c>
      <c r="M372" s="31">
        <f>Raw_Data!J372</f>
        <v/>
      </c>
      <c r="N372" s="17">
        <f>K372*L372</f>
        <v/>
      </c>
      <c r="O372" s="17">
        <f>N372*(1-M372)</f>
        <v/>
      </c>
      <c r="P372" s="17">
        <f>Raw_Data!L372</f>
        <v/>
      </c>
      <c r="Q372" s="17">
        <f>O372-P372</f>
        <v/>
      </c>
      <c r="R372" s="31">
        <f>IF(O372=0,0,Q372/O372)</f>
        <v/>
      </c>
      <c r="S372">
        <f>XLOOKUP(F372,Lookups!$B$7:$B$11,Lookups!$C$7:$C$11,"Unknown")</f>
        <v/>
      </c>
      <c r="T372" s="31">
        <f>XLOOKUP(G372,Lookups!$E$7:$E$11,Lookups!$F$7:$F$11,0)</f>
        <v/>
      </c>
      <c r="U372" s="32">
        <f>R372-T372</f>
        <v/>
      </c>
      <c r="V372">
        <f>XLOOKUP(I372,Lookups!$H$7:$H$10,Lookups!$I$7:$I$10,"")</f>
        <v/>
      </c>
      <c r="W372">
        <f>IF(O372&gt;=50000,"HIGH VALUE","")</f>
        <v/>
      </c>
      <c r="X372">
        <f>IF(Q372&lt;0,"LOSS","")</f>
        <v/>
      </c>
      <c r="Y372">
        <f>IFS(M372&gt;=0.15,"Deep Discount",M372&gt;=0.1,"Moderate",TRUE,"Standard")</f>
        <v/>
      </c>
    </row>
    <row r="373">
      <c r="A373">
        <f>Raw_Data!A373</f>
        <v/>
      </c>
      <c r="B373" s="29">
        <f>Raw_Data!B373</f>
        <v/>
      </c>
      <c r="C373">
        <f>YEAR(B373)</f>
        <v/>
      </c>
      <c r="D373">
        <f>MONTH(B373)</f>
        <v/>
      </c>
      <c r="E373">
        <f>TEXT(B373,"MMM-YYYY")</f>
        <v/>
      </c>
      <c r="F373">
        <f>Raw_Data!C373</f>
        <v/>
      </c>
      <c r="G373">
        <f>Raw_Data!D373</f>
        <v/>
      </c>
      <c r="H373">
        <f>Raw_Data!E373</f>
        <v/>
      </c>
      <c r="I373">
        <f>Raw_Data!F373</f>
        <v/>
      </c>
      <c r="J373">
        <f>Raw_Data!G373</f>
        <v/>
      </c>
      <c r="K373">
        <f>Raw_Data!H373</f>
        <v/>
      </c>
      <c r="L373" s="30">
        <f>Raw_Data!I373</f>
        <v/>
      </c>
      <c r="M373" s="31">
        <f>Raw_Data!J373</f>
        <v/>
      </c>
      <c r="N373" s="17">
        <f>K373*L373</f>
        <v/>
      </c>
      <c r="O373" s="17">
        <f>N373*(1-M373)</f>
        <v/>
      </c>
      <c r="P373" s="17">
        <f>Raw_Data!L373</f>
        <v/>
      </c>
      <c r="Q373" s="17">
        <f>O373-P373</f>
        <v/>
      </c>
      <c r="R373" s="31">
        <f>IF(O373=0,0,Q373/O373)</f>
        <v/>
      </c>
      <c r="S373">
        <f>XLOOKUP(F373,Lookups!$B$7:$B$11,Lookups!$C$7:$C$11,"Unknown")</f>
        <v/>
      </c>
      <c r="T373" s="31">
        <f>XLOOKUP(G373,Lookups!$E$7:$E$11,Lookups!$F$7:$F$11,0)</f>
        <v/>
      </c>
      <c r="U373" s="32">
        <f>R373-T373</f>
        <v/>
      </c>
      <c r="V373">
        <f>XLOOKUP(I373,Lookups!$H$7:$H$10,Lookups!$I$7:$I$10,"")</f>
        <v/>
      </c>
      <c r="W373">
        <f>IF(O373&gt;=50000,"HIGH VALUE","")</f>
        <v/>
      </c>
      <c r="X373">
        <f>IF(Q373&lt;0,"LOSS","")</f>
        <v/>
      </c>
      <c r="Y373">
        <f>IFS(M373&gt;=0.15,"Deep Discount",M373&gt;=0.1,"Moderate",TRUE,"Standard")</f>
        <v/>
      </c>
    </row>
    <row r="374">
      <c r="A374">
        <f>Raw_Data!A374</f>
        <v/>
      </c>
      <c r="B374" s="29">
        <f>Raw_Data!B374</f>
        <v/>
      </c>
      <c r="C374">
        <f>YEAR(B374)</f>
        <v/>
      </c>
      <c r="D374">
        <f>MONTH(B374)</f>
        <v/>
      </c>
      <c r="E374">
        <f>TEXT(B374,"MMM-YYYY")</f>
        <v/>
      </c>
      <c r="F374">
        <f>Raw_Data!C374</f>
        <v/>
      </c>
      <c r="G374">
        <f>Raw_Data!D374</f>
        <v/>
      </c>
      <c r="H374">
        <f>Raw_Data!E374</f>
        <v/>
      </c>
      <c r="I374">
        <f>Raw_Data!F374</f>
        <v/>
      </c>
      <c r="J374">
        <f>Raw_Data!G374</f>
        <v/>
      </c>
      <c r="K374">
        <f>Raw_Data!H374</f>
        <v/>
      </c>
      <c r="L374" s="30">
        <f>Raw_Data!I374</f>
        <v/>
      </c>
      <c r="M374" s="31">
        <f>Raw_Data!J374</f>
        <v/>
      </c>
      <c r="N374" s="17">
        <f>K374*L374</f>
        <v/>
      </c>
      <c r="O374" s="17">
        <f>N374*(1-M374)</f>
        <v/>
      </c>
      <c r="P374" s="17">
        <f>Raw_Data!L374</f>
        <v/>
      </c>
      <c r="Q374" s="17">
        <f>O374-P374</f>
        <v/>
      </c>
      <c r="R374" s="31">
        <f>IF(O374=0,0,Q374/O374)</f>
        <v/>
      </c>
      <c r="S374">
        <f>XLOOKUP(F374,Lookups!$B$7:$B$11,Lookups!$C$7:$C$11,"Unknown")</f>
        <v/>
      </c>
      <c r="T374" s="31">
        <f>XLOOKUP(G374,Lookups!$E$7:$E$11,Lookups!$F$7:$F$11,0)</f>
        <v/>
      </c>
      <c r="U374" s="32">
        <f>R374-T374</f>
        <v/>
      </c>
      <c r="V374">
        <f>XLOOKUP(I374,Lookups!$H$7:$H$10,Lookups!$I$7:$I$10,"")</f>
        <v/>
      </c>
      <c r="W374">
        <f>IF(O374&gt;=50000,"HIGH VALUE","")</f>
        <v/>
      </c>
      <c r="X374">
        <f>IF(Q374&lt;0,"LOSS","")</f>
        <v/>
      </c>
      <c r="Y374">
        <f>IFS(M374&gt;=0.15,"Deep Discount",M374&gt;=0.1,"Moderate",TRUE,"Standard")</f>
        <v/>
      </c>
    </row>
    <row r="375">
      <c r="A375">
        <f>Raw_Data!A375</f>
        <v/>
      </c>
      <c r="B375" s="29">
        <f>Raw_Data!B375</f>
        <v/>
      </c>
      <c r="C375">
        <f>YEAR(B375)</f>
        <v/>
      </c>
      <c r="D375">
        <f>MONTH(B375)</f>
        <v/>
      </c>
      <c r="E375">
        <f>TEXT(B375,"MMM-YYYY")</f>
        <v/>
      </c>
      <c r="F375">
        <f>Raw_Data!C375</f>
        <v/>
      </c>
      <c r="G375">
        <f>Raw_Data!D375</f>
        <v/>
      </c>
      <c r="H375">
        <f>Raw_Data!E375</f>
        <v/>
      </c>
      <c r="I375">
        <f>Raw_Data!F375</f>
        <v/>
      </c>
      <c r="J375">
        <f>Raw_Data!G375</f>
        <v/>
      </c>
      <c r="K375">
        <f>Raw_Data!H375</f>
        <v/>
      </c>
      <c r="L375" s="30">
        <f>Raw_Data!I375</f>
        <v/>
      </c>
      <c r="M375" s="31">
        <f>Raw_Data!J375</f>
        <v/>
      </c>
      <c r="N375" s="17">
        <f>K375*L375</f>
        <v/>
      </c>
      <c r="O375" s="17">
        <f>N375*(1-M375)</f>
        <v/>
      </c>
      <c r="P375" s="17">
        <f>Raw_Data!L375</f>
        <v/>
      </c>
      <c r="Q375" s="17">
        <f>O375-P375</f>
        <v/>
      </c>
      <c r="R375" s="31">
        <f>IF(O375=0,0,Q375/O375)</f>
        <v/>
      </c>
      <c r="S375">
        <f>XLOOKUP(F375,Lookups!$B$7:$B$11,Lookups!$C$7:$C$11,"Unknown")</f>
        <v/>
      </c>
      <c r="T375" s="31">
        <f>XLOOKUP(G375,Lookups!$E$7:$E$11,Lookups!$F$7:$F$11,0)</f>
        <v/>
      </c>
      <c r="U375" s="32">
        <f>R375-T375</f>
        <v/>
      </c>
      <c r="V375">
        <f>XLOOKUP(I375,Lookups!$H$7:$H$10,Lookups!$I$7:$I$10,"")</f>
        <v/>
      </c>
      <c r="W375">
        <f>IF(O375&gt;=50000,"HIGH VALUE","")</f>
        <v/>
      </c>
      <c r="X375">
        <f>IF(Q375&lt;0,"LOSS","")</f>
        <v/>
      </c>
      <c r="Y375">
        <f>IFS(M375&gt;=0.15,"Deep Discount",M375&gt;=0.1,"Moderate",TRUE,"Standard")</f>
        <v/>
      </c>
    </row>
    <row r="376">
      <c r="A376">
        <f>Raw_Data!A376</f>
        <v/>
      </c>
      <c r="B376" s="29">
        <f>Raw_Data!B376</f>
        <v/>
      </c>
      <c r="C376">
        <f>YEAR(B376)</f>
        <v/>
      </c>
      <c r="D376">
        <f>MONTH(B376)</f>
        <v/>
      </c>
      <c r="E376">
        <f>TEXT(B376,"MMM-YYYY")</f>
        <v/>
      </c>
      <c r="F376">
        <f>Raw_Data!C376</f>
        <v/>
      </c>
      <c r="G376">
        <f>Raw_Data!D376</f>
        <v/>
      </c>
      <c r="H376">
        <f>Raw_Data!E376</f>
        <v/>
      </c>
      <c r="I376">
        <f>Raw_Data!F376</f>
        <v/>
      </c>
      <c r="J376">
        <f>Raw_Data!G376</f>
        <v/>
      </c>
      <c r="K376">
        <f>Raw_Data!H376</f>
        <v/>
      </c>
      <c r="L376" s="30">
        <f>Raw_Data!I376</f>
        <v/>
      </c>
      <c r="M376" s="31">
        <f>Raw_Data!J376</f>
        <v/>
      </c>
      <c r="N376" s="17">
        <f>K376*L376</f>
        <v/>
      </c>
      <c r="O376" s="17">
        <f>N376*(1-M376)</f>
        <v/>
      </c>
      <c r="P376" s="17">
        <f>Raw_Data!L376</f>
        <v/>
      </c>
      <c r="Q376" s="17">
        <f>O376-P376</f>
        <v/>
      </c>
      <c r="R376" s="31">
        <f>IF(O376=0,0,Q376/O376)</f>
        <v/>
      </c>
      <c r="S376">
        <f>XLOOKUP(F376,Lookups!$B$7:$B$11,Lookups!$C$7:$C$11,"Unknown")</f>
        <v/>
      </c>
      <c r="T376" s="31">
        <f>XLOOKUP(G376,Lookups!$E$7:$E$11,Lookups!$F$7:$F$11,0)</f>
        <v/>
      </c>
      <c r="U376" s="32">
        <f>R376-T376</f>
        <v/>
      </c>
      <c r="V376">
        <f>XLOOKUP(I376,Lookups!$H$7:$H$10,Lookups!$I$7:$I$10,"")</f>
        <v/>
      </c>
      <c r="W376">
        <f>IF(O376&gt;=50000,"HIGH VALUE","")</f>
        <v/>
      </c>
      <c r="X376">
        <f>IF(Q376&lt;0,"LOSS","")</f>
        <v/>
      </c>
      <c r="Y376">
        <f>IFS(M376&gt;=0.15,"Deep Discount",M376&gt;=0.1,"Moderate",TRUE,"Standard")</f>
        <v/>
      </c>
    </row>
    <row r="377">
      <c r="A377">
        <f>Raw_Data!A377</f>
        <v/>
      </c>
      <c r="B377" s="29">
        <f>Raw_Data!B377</f>
        <v/>
      </c>
      <c r="C377">
        <f>YEAR(B377)</f>
        <v/>
      </c>
      <c r="D377">
        <f>MONTH(B377)</f>
        <v/>
      </c>
      <c r="E377">
        <f>TEXT(B377,"MMM-YYYY")</f>
        <v/>
      </c>
      <c r="F377">
        <f>Raw_Data!C377</f>
        <v/>
      </c>
      <c r="G377">
        <f>Raw_Data!D377</f>
        <v/>
      </c>
      <c r="H377">
        <f>Raw_Data!E377</f>
        <v/>
      </c>
      <c r="I377">
        <f>Raw_Data!F377</f>
        <v/>
      </c>
      <c r="J377">
        <f>Raw_Data!G377</f>
        <v/>
      </c>
      <c r="K377">
        <f>Raw_Data!H377</f>
        <v/>
      </c>
      <c r="L377" s="30">
        <f>Raw_Data!I377</f>
        <v/>
      </c>
      <c r="M377" s="31">
        <f>Raw_Data!J377</f>
        <v/>
      </c>
      <c r="N377" s="17">
        <f>K377*L377</f>
        <v/>
      </c>
      <c r="O377" s="17">
        <f>N377*(1-M377)</f>
        <v/>
      </c>
      <c r="P377" s="17">
        <f>Raw_Data!L377</f>
        <v/>
      </c>
      <c r="Q377" s="17">
        <f>O377-P377</f>
        <v/>
      </c>
      <c r="R377" s="31">
        <f>IF(O377=0,0,Q377/O377)</f>
        <v/>
      </c>
      <c r="S377">
        <f>XLOOKUP(F377,Lookups!$B$7:$B$11,Lookups!$C$7:$C$11,"Unknown")</f>
        <v/>
      </c>
      <c r="T377" s="31">
        <f>XLOOKUP(G377,Lookups!$E$7:$E$11,Lookups!$F$7:$F$11,0)</f>
        <v/>
      </c>
      <c r="U377" s="32">
        <f>R377-T377</f>
        <v/>
      </c>
      <c r="V377">
        <f>XLOOKUP(I377,Lookups!$H$7:$H$10,Lookups!$I$7:$I$10,"")</f>
        <v/>
      </c>
      <c r="W377">
        <f>IF(O377&gt;=50000,"HIGH VALUE","")</f>
        <v/>
      </c>
      <c r="X377">
        <f>IF(Q377&lt;0,"LOSS","")</f>
        <v/>
      </c>
      <c r="Y377">
        <f>IFS(M377&gt;=0.15,"Deep Discount",M377&gt;=0.1,"Moderate",TRUE,"Standard")</f>
        <v/>
      </c>
    </row>
    <row r="378">
      <c r="A378">
        <f>Raw_Data!A378</f>
        <v/>
      </c>
      <c r="B378" s="29">
        <f>Raw_Data!B378</f>
        <v/>
      </c>
      <c r="C378">
        <f>YEAR(B378)</f>
        <v/>
      </c>
      <c r="D378">
        <f>MONTH(B378)</f>
        <v/>
      </c>
      <c r="E378">
        <f>TEXT(B378,"MMM-YYYY")</f>
        <v/>
      </c>
      <c r="F378">
        <f>Raw_Data!C378</f>
        <v/>
      </c>
      <c r="G378">
        <f>Raw_Data!D378</f>
        <v/>
      </c>
      <c r="H378">
        <f>Raw_Data!E378</f>
        <v/>
      </c>
      <c r="I378">
        <f>Raw_Data!F378</f>
        <v/>
      </c>
      <c r="J378">
        <f>Raw_Data!G378</f>
        <v/>
      </c>
      <c r="K378">
        <f>Raw_Data!H378</f>
        <v/>
      </c>
      <c r="L378" s="30">
        <f>Raw_Data!I378</f>
        <v/>
      </c>
      <c r="M378" s="31">
        <f>Raw_Data!J378</f>
        <v/>
      </c>
      <c r="N378" s="17">
        <f>K378*L378</f>
        <v/>
      </c>
      <c r="O378" s="17">
        <f>N378*(1-M378)</f>
        <v/>
      </c>
      <c r="P378" s="17">
        <f>Raw_Data!L378</f>
        <v/>
      </c>
      <c r="Q378" s="17">
        <f>O378-P378</f>
        <v/>
      </c>
      <c r="R378" s="31">
        <f>IF(O378=0,0,Q378/O378)</f>
        <v/>
      </c>
      <c r="S378">
        <f>XLOOKUP(F378,Lookups!$B$7:$B$11,Lookups!$C$7:$C$11,"Unknown")</f>
        <v/>
      </c>
      <c r="T378" s="31">
        <f>XLOOKUP(G378,Lookups!$E$7:$E$11,Lookups!$F$7:$F$11,0)</f>
        <v/>
      </c>
      <c r="U378" s="32">
        <f>R378-T378</f>
        <v/>
      </c>
      <c r="V378">
        <f>XLOOKUP(I378,Lookups!$H$7:$H$10,Lookups!$I$7:$I$10,"")</f>
        <v/>
      </c>
      <c r="W378">
        <f>IF(O378&gt;=50000,"HIGH VALUE","")</f>
        <v/>
      </c>
      <c r="X378">
        <f>IF(Q378&lt;0,"LOSS","")</f>
        <v/>
      </c>
      <c r="Y378">
        <f>IFS(M378&gt;=0.15,"Deep Discount",M378&gt;=0.1,"Moderate",TRUE,"Standard")</f>
        <v/>
      </c>
    </row>
    <row r="379">
      <c r="A379">
        <f>Raw_Data!A379</f>
        <v/>
      </c>
      <c r="B379" s="29">
        <f>Raw_Data!B379</f>
        <v/>
      </c>
      <c r="C379">
        <f>YEAR(B379)</f>
        <v/>
      </c>
      <c r="D379">
        <f>MONTH(B379)</f>
        <v/>
      </c>
      <c r="E379">
        <f>TEXT(B379,"MMM-YYYY")</f>
        <v/>
      </c>
      <c r="F379">
        <f>Raw_Data!C379</f>
        <v/>
      </c>
      <c r="G379">
        <f>Raw_Data!D379</f>
        <v/>
      </c>
      <c r="H379">
        <f>Raw_Data!E379</f>
        <v/>
      </c>
      <c r="I379">
        <f>Raw_Data!F379</f>
        <v/>
      </c>
      <c r="J379">
        <f>Raw_Data!G379</f>
        <v/>
      </c>
      <c r="K379">
        <f>Raw_Data!H379</f>
        <v/>
      </c>
      <c r="L379" s="30">
        <f>Raw_Data!I379</f>
        <v/>
      </c>
      <c r="M379" s="31">
        <f>Raw_Data!J379</f>
        <v/>
      </c>
      <c r="N379" s="17">
        <f>K379*L379</f>
        <v/>
      </c>
      <c r="O379" s="17">
        <f>N379*(1-M379)</f>
        <v/>
      </c>
      <c r="P379" s="17">
        <f>Raw_Data!L379</f>
        <v/>
      </c>
      <c r="Q379" s="17">
        <f>O379-P379</f>
        <v/>
      </c>
      <c r="R379" s="31">
        <f>IF(O379=0,0,Q379/O379)</f>
        <v/>
      </c>
      <c r="S379">
        <f>XLOOKUP(F379,Lookups!$B$7:$B$11,Lookups!$C$7:$C$11,"Unknown")</f>
        <v/>
      </c>
      <c r="T379" s="31">
        <f>XLOOKUP(G379,Lookups!$E$7:$E$11,Lookups!$F$7:$F$11,0)</f>
        <v/>
      </c>
      <c r="U379" s="32">
        <f>R379-T379</f>
        <v/>
      </c>
      <c r="V379">
        <f>XLOOKUP(I379,Lookups!$H$7:$H$10,Lookups!$I$7:$I$10,"")</f>
        <v/>
      </c>
      <c r="W379">
        <f>IF(O379&gt;=50000,"HIGH VALUE","")</f>
        <v/>
      </c>
      <c r="X379">
        <f>IF(Q379&lt;0,"LOSS","")</f>
        <v/>
      </c>
      <c r="Y379">
        <f>IFS(M379&gt;=0.15,"Deep Discount",M379&gt;=0.1,"Moderate",TRUE,"Standard")</f>
        <v/>
      </c>
    </row>
    <row r="380">
      <c r="A380">
        <f>Raw_Data!A380</f>
        <v/>
      </c>
      <c r="B380" s="29">
        <f>Raw_Data!B380</f>
        <v/>
      </c>
      <c r="C380">
        <f>YEAR(B380)</f>
        <v/>
      </c>
      <c r="D380">
        <f>MONTH(B380)</f>
        <v/>
      </c>
      <c r="E380">
        <f>TEXT(B380,"MMM-YYYY")</f>
        <v/>
      </c>
      <c r="F380">
        <f>Raw_Data!C380</f>
        <v/>
      </c>
      <c r="G380">
        <f>Raw_Data!D380</f>
        <v/>
      </c>
      <c r="H380">
        <f>Raw_Data!E380</f>
        <v/>
      </c>
      <c r="I380">
        <f>Raw_Data!F380</f>
        <v/>
      </c>
      <c r="J380">
        <f>Raw_Data!G380</f>
        <v/>
      </c>
      <c r="K380">
        <f>Raw_Data!H380</f>
        <v/>
      </c>
      <c r="L380" s="30">
        <f>Raw_Data!I380</f>
        <v/>
      </c>
      <c r="M380" s="31">
        <f>Raw_Data!J380</f>
        <v/>
      </c>
      <c r="N380" s="17">
        <f>K380*L380</f>
        <v/>
      </c>
      <c r="O380" s="17">
        <f>N380*(1-M380)</f>
        <v/>
      </c>
      <c r="P380" s="17">
        <f>Raw_Data!L380</f>
        <v/>
      </c>
      <c r="Q380" s="17">
        <f>O380-P380</f>
        <v/>
      </c>
      <c r="R380" s="31">
        <f>IF(O380=0,0,Q380/O380)</f>
        <v/>
      </c>
      <c r="S380">
        <f>XLOOKUP(F380,Lookups!$B$7:$B$11,Lookups!$C$7:$C$11,"Unknown")</f>
        <v/>
      </c>
      <c r="T380" s="31">
        <f>XLOOKUP(G380,Lookups!$E$7:$E$11,Lookups!$F$7:$F$11,0)</f>
        <v/>
      </c>
      <c r="U380" s="32">
        <f>R380-T380</f>
        <v/>
      </c>
      <c r="V380">
        <f>XLOOKUP(I380,Lookups!$H$7:$H$10,Lookups!$I$7:$I$10,"")</f>
        <v/>
      </c>
      <c r="W380">
        <f>IF(O380&gt;=50000,"HIGH VALUE","")</f>
        <v/>
      </c>
      <c r="X380">
        <f>IF(Q380&lt;0,"LOSS","")</f>
        <v/>
      </c>
      <c r="Y380">
        <f>IFS(M380&gt;=0.15,"Deep Discount",M380&gt;=0.1,"Moderate",TRUE,"Standard")</f>
        <v/>
      </c>
    </row>
    <row r="381">
      <c r="A381">
        <f>Raw_Data!A381</f>
        <v/>
      </c>
      <c r="B381" s="29">
        <f>Raw_Data!B381</f>
        <v/>
      </c>
      <c r="C381">
        <f>YEAR(B381)</f>
        <v/>
      </c>
      <c r="D381">
        <f>MONTH(B381)</f>
        <v/>
      </c>
      <c r="E381">
        <f>TEXT(B381,"MMM-YYYY")</f>
        <v/>
      </c>
      <c r="F381">
        <f>Raw_Data!C381</f>
        <v/>
      </c>
      <c r="G381">
        <f>Raw_Data!D381</f>
        <v/>
      </c>
      <c r="H381">
        <f>Raw_Data!E381</f>
        <v/>
      </c>
      <c r="I381">
        <f>Raw_Data!F381</f>
        <v/>
      </c>
      <c r="J381">
        <f>Raw_Data!G381</f>
        <v/>
      </c>
      <c r="K381">
        <f>Raw_Data!H381</f>
        <v/>
      </c>
      <c r="L381" s="30">
        <f>Raw_Data!I381</f>
        <v/>
      </c>
      <c r="M381" s="31">
        <f>Raw_Data!J381</f>
        <v/>
      </c>
      <c r="N381" s="17">
        <f>K381*L381</f>
        <v/>
      </c>
      <c r="O381" s="17">
        <f>N381*(1-M381)</f>
        <v/>
      </c>
      <c r="P381" s="17">
        <f>Raw_Data!L381</f>
        <v/>
      </c>
      <c r="Q381" s="17">
        <f>O381-P381</f>
        <v/>
      </c>
      <c r="R381" s="31">
        <f>IF(O381=0,0,Q381/O381)</f>
        <v/>
      </c>
      <c r="S381">
        <f>XLOOKUP(F381,Lookups!$B$7:$B$11,Lookups!$C$7:$C$11,"Unknown")</f>
        <v/>
      </c>
      <c r="T381" s="31">
        <f>XLOOKUP(G381,Lookups!$E$7:$E$11,Lookups!$F$7:$F$11,0)</f>
        <v/>
      </c>
      <c r="U381" s="32">
        <f>R381-T381</f>
        <v/>
      </c>
      <c r="V381">
        <f>XLOOKUP(I381,Lookups!$H$7:$H$10,Lookups!$I$7:$I$10,"")</f>
        <v/>
      </c>
      <c r="W381">
        <f>IF(O381&gt;=50000,"HIGH VALUE","")</f>
        <v/>
      </c>
      <c r="X381">
        <f>IF(Q381&lt;0,"LOSS","")</f>
        <v/>
      </c>
      <c r="Y381">
        <f>IFS(M381&gt;=0.15,"Deep Discount",M381&gt;=0.1,"Moderate",TRUE,"Standard")</f>
        <v/>
      </c>
    </row>
    <row r="382">
      <c r="A382">
        <f>Raw_Data!A382</f>
        <v/>
      </c>
      <c r="B382" s="29">
        <f>Raw_Data!B382</f>
        <v/>
      </c>
      <c r="C382">
        <f>YEAR(B382)</f>
        <v/>
      </c>
      <c r="D382">
        <f>MONTH(B382)</f>
        <v/>
      </c>
      <c r="E382">
        <f>TEXT(B382,"MMM-YYYY")</f>
        <v/>
      </c>
      <c r="F382">
        <f>Raw_Data!C382</f>
        <v/>
      </c>
      <c r="G382">
        <f>Raw_Data!D382</f>
        <v/>
      </c>
      <c r="H382">
        <f>Raw_Data!E382</f>
        <v/>
      </c>
      <c r="I382">
        <f>Raw_Data!F382</f>
        <v/>
      </c>
      <c r="J382">
        <f>Raw_Data!G382</f>
        <v/>
      </c>
      <c r="K382">
        <f>Raw_Data!H382</f>
        <v/>
      </c>
      <c r="L382" s="30">
        <f>Raw_Data!I382</f>
        <v/>
      </c>
      <c r="M382" s="31">
        <f>Raw_Data!J382</f>
        <v/>
      </c>
      <c r="N382" s="17">
        <f>K382*L382</f>
        <v/>
      </c>
      <c r="O382" s="17">
        <f>N382*(1-M382)</f>
        <v/>
      </c>
      <c r="P382" s="17">
        <f>Raw_Data!L382</f>
        <v/>
      </c>
      <c r="Q382" s="17">
        <f>O382-P382</f>
        <v/>
      </c>
      <c r="R382" s="31">
        <f>IF(O382=0,0,Q382/O382)</f>
        <v/>
      </c>
      <c r="S382">
        <f>XLOOKUP(F382,Lookups!$B$7:$B$11,Lookups!$C$7:$C$11,"Unknown")</f>
        <v/>
      </c>
      <c r="T382" s="31">
        <f>XLOOKUP(G382,Lookups!$E$7:$E$11,Lookups!$F$7:$F$11,0)</f>
        <v/>
      </c>
      <c r="U382" s="32">
        <f>R382-T382</f>
        <v/>
      </c>
      <c r="V382">
        <f>XLOOKUP(I382,Lookups!$H$7:$H$10,Lookups!$I$7:$I$10,"")</f>
        <v/>
      </c>
      <c r="W382">
        <f>IF(O382&gt;=50000,"HIGH VALUE","")</f>
        <v/>
      </c>
      <c r="X382">
        <f>IF(Q382&lt;0,"LOSS","")</f>
        <v/>
      </c>
      <c r="Y382">
        <f>IFS(M382&gt;=0.15,"Deep Discount",M382&gt;=0.1,"Moderate",TRUE,"Standard")</f>
        <v/>
      </c>
    </row>
    <row r="383">
      <c r="A383">
        <f>Raw_Data!A383</f>
        <v/>
      </c>
      <c r="B383" s="29">
        <f>Raw_Data!B383</f>
        <v/>
      </c>
      <c r="C383">
        <f>YEAR(B383)</f>
        <v/>
      </c>
      <c r="D383">
        <f>MONTH(B383)</f>
        <v/>
      </c>
      <c r="E383">
        <f>TEXT(B383,"MMM-YYYY")</f>
        <v/>
      </c>
      <c r="F383">
        <f>Raw_Data!C383</f>
        <v/>
      </c>
      <c r="G383">
        <f>Raw_Data!D383</f>
        <v/>
      </c>
      <c r="H383">
        <f>Raw_Data!E383</f>
        <v/>
      </c>
      <c r="I383">
        <f>Raw_Data!F383</f>
        <v/>
      </c>
      <c r="J383">
        <f>Raw_Data!G383</f>
        <v/>
      </c>
      <c r="K383">
        <f>Raw_Data!H383</f>
        <v/>
      </c>
      <c r="L383" s="30">
        <f>Raw_Data!I383</f>
        <v/>
      </c>
      <c r="M383" s="31">
        <f>Raw_Data!J383</f>
        <v/>
      </c>
      <c r="N383" s="17">
        <f>K383*L383</f>
        <v/>
      </c>
      <c r="O383" s="17">
        <f>N383*(1-M383)</f>
        <v/>
      </c>
      <c r="P383" s="17">
        <f>Raw_Data!L383</f>
        <v/>
      </c>
      <c r="Q383" s="17">
        <f>O383-P383</f>
        <v/>
      </c>
      <c r="R383" s="31">
        <f>IF(O383=0,0,Q383/O383)</f>
        <v/>
      </c>
      <c r="S383">
        <f>XLOOKUP(F383,Lookups!$B$7:$B$11,Lookups!$C$7:$C$11,"Unknown")</f>
        <v/>
      </c>
      <c r="T383" s="31">
        <f>XLOOKUP(G383,Lookups!$E$7:$E$11,Lookups!$F$7:$F$11,0)</f>
        <v/>
      </c>
      <c r="U383" s="32">
        <f>R383-T383</f>
        <v/>
      </c>
      <c r="V383">
        <f>XLOOKUP(I383,Lookups!$H$7:$H$10,Lookups!$I$7:$I$10,"")</f>
        <v/>
      </c>
      <c r="W383">
        <f>IF(O383&gt;=50000,"HIGH VALUE","")</f>
        <v/>
      </c>
      <c r="X383">
        <f>IF(Q383&lt;0,"LOSS","")</f>
        <v/>
      </c>
      <c r="Y383">
        <f>IFS(M383&gt;=0.15,"Deep Discount",M383&gt;=0.1,"Moderate",TRUE,"Standard")</f>
        <v/>
      </c>
    </row>
    <row r="384">
      <c r="A384">
        <f>Raw_Data!A384</f>
        <v/>
      </c>
      <c r="B384" s="29">
        <f>Raw_Data!B384</f>
        <v/>
      </c>
      <c r="C384">
        <f>YEAR(B384)</f>
        <v/>
      </c>
      <c r="D384">
        <f>MONTH(B384)</f>
        <v/>
      </c>
      <c r="E384">
        <f>TEXT(B384,"MMM-YYYY")</f>
        <v/>
      </c>
      <c r="F384">
        <f>Raw_Data!C384</f>
        <v/>
      </c>
      <c r="G384">
        <f>Raw_Data!D384</f>
        <v/>
      </c>
      <c r="H384">
        <f>Raw_Data!E384</f>
        <v/>
      </c>
      <c r="I384">
        <f>Raw_Data!F384</f>
        <v/>
      </c>
      <c r="J384">
        <f>Raw_Data!G384</f>
        <v/>
      </c>
      <c r="K384">
        <f>Raw_Data!H384</f>
        <v/>
      </c>
      <c r="L384" s="30">
        <f>Raw_Data!I384</f>
        <v/>
      </c>
      <c r="M384" s="31">
        <f>Raw_Data!J384</f>
        <v/>
      </c>
      <c r="N384" s="17">
        <f>K384*L384</f>
        <v/>
      </c>
      <c r="O384" s="17">
        <f>N384*(1-M384)</f>
        <v/>
      </c>
      <c r="P384" s="17">
        <f>Raw_Data!L384</f>
        <v/>
      </c>
      <c r="Q384" s="17">
        <f>O384-P384</f>
        <v/>
      </c>
      <c r="R384" s="31">
        <f>IF(O384=0,0,Q384/O384)</f>
        <v/>
      </c>
      <c r="S384">
        <f>XLOOKUP(F384,Lookups!$B$7:$B$11,Lookups!$C$7:$C$11,"Unknown")</f>
        <v/>
      </c>
      <c r="T384" s="31">
        <f>XLOOKUP(G384,Lookups!$E$7:$E$11,Lookups!$F$7:$F$11,0)</f>
        <v/>
      </c>
      <c r="U384" s="32">
        <f>R384-T384</f>
        <v/>
      </c>
      <c r="V384">
        <f>XLOOKUP(I384,Lookups!$H$7:$H$10,Lookups!$I$7:$I$10,"")</f>
        <v/>
      </c>
      <c r="W384">
        <f>IF(O384&gt;=50000,"HIGH VALUE","")</f>
        <v/>
      </c>
      <c r="X384">
        <f>IF(Q384&lt;0,"LOSS","")</f>
        <v/>
      </c>
      <c r="Y384">
        <f>IFS(M384&gt;=0.15,"Deep Discount",M384&gt;=0.1,"Moderate",TRUE,"Standard")</f>
        <v/>
      </c>
    </row>
    <row r="385">
      <c r="A385">
        <f>Raw_Data!A385</f>
        <v/>
      </c>
      <c r="B385" s="29">
        <f>Raw_Data!B385</f>
        <v/>
      </c>
      <c r="C385">
        <f>YEAR(B385)</f>
        <v/>
      </c>
      <c r="D385">
        <f>MONTH(B385)</f>
        <v/>
      </c>
      <c r="E385">
        <f>TEXT(B385,"MMM-YYYY")</f>
        <v/>
      </c>
      <c r="F385">
        <f>Raw_Data!C385</f>
        <v/>
      </c>
      <c r="G385">
        <f>Raw_Data!D385</f>
        <v/>
      </c>
      <c r="H385">
        <f>Raw_Data!E385</f>
        <v/>
      </c>
      <c r="I385">
        <f>Raw_Data!F385</f>
        <v/>
      </c>
      <c r="J385">
        <f>Raw_Data!G385</f>
        <v/>
      </c>
      <c r="K385">
        <f>Raw_Data!H385</f>
        <v/>
      </c>
      <c r="L385" s="30">
        <f>Raw_Data!I385</f>
        <v/>
      </c>
      <c r="M385" s="31">
        <f>Raw_Data!J385</f>
        <v/>
      </c>
      <c r="N385" s="17">
        <f>K385*L385</f>
        <v/>
      </c>
      <c r="O385" s="17">
        <f>N385*(1-M385)</f>
        <v/>
      </c>
      <c r="P385" s="17">
        <f>Raw_Data!L385</f>
        <v/>
      </c>
      <c r="Q385" s="17">
        <f>O385-P385</f>
        <v/>
      </c>
      <c r="R385" s="31">
        <f>IF(O385=0,0,Q385/O385)</f>
        <v/>
      </c>
      <c r="S385">
        <f>XLOOKUP(F385,Lookups!$B$7:$B$11,Lookups!$C$7:$C$11,"Unknown")</f>
        <v/>
      </c>
      <c r="T385" s="31">
        <f>XLOOKUP(G385,Lookups!$E$7:$E$11,Lookups!$F$7:$F$11,0)</f>
        <v/>
      </c>
      <c r="U385" s="32">
        <f>R385-T385</f>
        <v/>
      </c>
      <c r="V385">
        <f>XLOOKUP(I385,Lookups!$H$7:$H$10,Lookups!$I$7:$I$10,"")</f>
        <v/>
      </c>
      <c r="W385">
        <f>IF(O385&gt;=50000,"HIGH VALUE","")</f>
        <v/>
      </c>
      <c r="X385">
        <f>IF(Q385&lt;0,"LOSS","")</f>
        <v/>
      </c>
      <c r="Y385">
        <f>IFS(M385&gt;=0.15,"Deep Discount",M385&gt;=0.1,"Moderate",TRUE,"Standard")</f>
        <v/>
      </c>
    </row>
    <row r="386">
      <c r="A386">
        <f>Raw_Data!A386</f>
        <v/>
      </c>
      <c r="B386" s="29">
        <f>Raw_Data!B386</f>
        <v/>
      </c>
      <c r="C386">
        <f>YEAR(B386)</f>
        <v/>
      </c>
      <c r="D386">
        <f>MONTH(B386)</f>
        <v/>
      </c>
      <c r="E386">
        <f>TEXT(B386,"MMM-YYYY")</f>
        <v/>
      </c>
      <c r="F386">
        <f>Raw_Data!C386</f>
        <v/>
      </c>
      <c r="G386">
        <f>Raw_Data!D386</f>
        <v/>
      </c>
      <c r="H386">
        <f>Raw_Data!E386</f>
        <v/>
      </c>
      <c r="I386">
        <f>Raw_Data!F386</f>
        <v/>
      </c>
      <c r="J386">
        <f>Raw_Data!G386</f>
        <v/>
      </c>
      <c r="K386">
        <f>Raw_Data!H386</f>
        <v/>
      </c>
      <c r="L386" s="30">
        <f>Raw_Data!I386</f>
        <v/>
      </c>
      <c r="M386" s="31">
        <f>Raw_Data!J386</f>
        <v/>
      </c>
      <c r="N386" s="17">
        <f>K386*L386</f>
        <v/>
      </c>
      <c r="O386" s="17">
        <f>N386*(1-M386)</f>
        <v/>
      </c>
      <c r="P386" s="17">
        <f>Raw_Data!L386</f>
        <v/>
      </c>
      <c r="Q386" s="17">
        <f>O386-P386</f>
        <v/>
      </c>
      <c r="R386" s="31">
        <f>IF(O386=0,0,Q386/O386)</f>
        <v/>
      </c>
      <c r="S386">
        <f>XLOOKUP(F386,Lookups!$B$7:$B$11,Lookups!$C$7:$C$11,"Unknown")</f>
        <v/>
      </c>
      <c r="T386" s="31">
        <f>XLOOKUP(G386,Lookups!$E$7:$E$11,Lookups!$F$7:$F$11,0)</f>
        <v/>
      </c>
      <c r="U386" s="32">
        <f>R386-T386</f>
        <v/>
      </c>
      <c r="V386">
        <f>XLOOKUP(I386,Lookups!$H$7:$H$10,Lookups!$I$7:$I$10,"")</f>
        <v/>
      </c>
      <c r="W386">
        <f>IF(O386&gt;=50000,"HIGH VALUE","")</f>
        <v/>
      </c>
      <c r="X386">
        <f>IF(Q386&lt;0,"LOSS","")</f>
        <v/>
      </c>
      <c r="Y386">
        <f>IFS(M386&gt;=0.15,"Deep Discount",M386&gt;=0.1,"Moderate",TRUE,"Standard")</f>
        <v/>
      </c>
    </row>
    <row r="387">
      <c r="A387">
        <f>Raw_Data!A387</f>
        <v/>
      </c>
      <c r="B387" s="29">
        <f>Raw_Data!B387</f>
        <v/>
      </c>
      <c r="C387">
        <f>YEAR(B387)</f>
        <v/>
      </c>
      <c r="D387">
        <f>MONTH(B387)</f>
        <v/>
      </c>
      <c r="E387">
        <f>TEXT(B387,"MMM-YYYY")</f>
        <v/>
      </c>
      <c r="F387">
        <f>Raw_Data!C387</f>
        <v/>
      </c>
      <c r="G387">
        <f>Raw_Data!D387</f>
        <v/>
      </c>
      <c r="H387">
        <f>Raw_Data!E387</f>
        <v/>
      </c>
      <c r="I387">
        <f>Raw_Data!F387</f>
        <v/>
      </c>
      <c r="J387">
        <f>Raw_Data!G387</f>
        <v/>
      </c>
      <c r="K387">
        <f>Raw_Data!H387</f>
        <v/>
      </c>
      <c r="L387" s="30">
        <f>Raw_Data!I387</f>
        <v/>
      </c>
      <c r="M387" s="31">
        <f>Raw_Data!J387</f>
        <v/>
      </c>
      <c r="N387" s="17">
        <f>K387*L387</f>
        <v/>
      </c>
      <c r="O387" s="17">
        <f>N387*(1-M387)</f>
        <v/>
      </c>
      <c r="P387" s="17">
        <f>Raw_Data!L387</f>
        <v/>
      </c>
      <c r="Q387" s="17">
        <f>O387-P387</f>
        <v/>
      </c>
      <c r="R387" s="31">
        <f>IF(O387=0,0,Q387/O387)</f>
        <v/>
      </c>
      <c r="S387">
        <f>XLOOKUP(F387,Lookups!$B$7:$B$11,Lookups!$C$7:$C$11,"Unknown")</f>
        <v/>
      </c>
      <c r="T387" s="31">
        <f>XLOOKUP(G387,Lookups!$E$7:$E$11,Lookups!$F$7:$F$11,0)</f>
        <v/>
      </c>
      <c r="U387" s="32">
        <f>R387-T387</f>
        <v/>
      </c>
      <c r="V387">
        <f>XLOOKUP(I387,Lookups!$H$7:$H$10,Lookups!$I$7:$I$10,"")</f>
        <v/>
      </c>
      <c r="W387">
        <f>IF(O387&gt;=50000,"HIGH VALUE","")</f>
        <v/>
      </c>
      <c r="X387">
        <f>IF(Q387&lt;0,"LOSS","")</f>
        <v/>
      </c>
      <c r="Y387">
        <f>IFS(M387&gt;=0.15,"Deep Discount",M387&gt;=0.1,"Moderate",TRUE,"Standard")</f>
        <v/>
      </c>
    </row>
    <row r="388">
      <c r="A388">
        <f>Raw_Data!A388</f>
        <v/>
      </c>
      <c r="B388" s="29">
        <f>Raw_Data!B388</f>
        <v/>
      </c>
      <c r="C388">
        <f>YEAR(B388)</f>
        <v/>
      </c>
      <c r="D388">
        <f>MONTH(B388)</f>
        <v/>
      </c>
      <c r="E388">
        <f>TEXT(B388,"MMM-YYYY")</f>
        <v/>
      </c>
      <c r="F388">
        <f>Raw_Data!C388</f>
        <v/>
      </c>
      <c r="G388">
        <f>Raw_Data!D388</f>
        <v/>
      </c>
      <c r="H388">
        <f>Raw_Data!E388</f>
        <v/>
      </c>
      <c r="I388">
        <f>Raw_Data!F388</f>
        <v/>
      </c>
      <c r="J388">
        <f>Raw_Data!G388</f>
        <v/>
      </c>
      <c r="K388">
        <f>Raw_Data!H388</f>
        <v/>
      </c>
      <c r="L388" s="30">
        <f>Raw_Data!I388</f>
        <v/>
      </c>
      <c r="M388" s="31">
        <f>Raw_Data!J388</f>
        <v/>
      </c>
      <c r="N388" s="17">
        <f>K388*L388</f>
        <v/>
      </c>
      <c r="O388" s="17">
        <f>N388*(1-M388)</f>
        <v/>
      </c>
      <c r="P388" s="17">
        <f>Raw_Data!L388</f>
        <v/>
      </c>
      <c r="Q388" s="17">
        <f>O388-P388</f>
        <v/>
      </c>
      <c r="R388" s="31">
        <f>IF(O388=0,0,Q388/O388)</f>
        <v/>
      </c>
      <c r="S388">
        <f>XLOOKUP(F388,Lookups!$B$7:$B$11,Lookups!$C$7:$C$11,"Unknown")</f>
        <v/>
      </c>
      <c r="T388" s="31">
        <f>XLOOKUP(G388,Lookups!$E$7:$E$11,Lookups!$F$7:$F$11,0)</f>
        <v/>
      </c>
      <c r="U388" s="32">
        <f>R388-T388</f>
        <v/>
      </c>
      <c r="V388">
        <f>XLOOKUP(I388,Lookups!$H$7:$H$10,Lookups!$I$7:$I$10,"")</f>
        <v/>
      </c>
      <c r="W388">
        <f>IF(O388&gt;=50000,"HIGH VALUE","")</f>
        <v/>
      </c>
      <c r="X388">
        <f>IF(Q388&lt;0,"LOSS","")</f>
        <v/>
      </c>
      <c r="Y388">
        <f>IFS(M388&gt;=0.15,"Deep Discount",M388&gt;=0.1,"Moderate",TRUE,"Standard")</f>
        <v/>
      </c>
    </row>
    <row r="389">
      <c r="A389">
        <f>Raw_Data!A389</f>
        <v/>
      </c>
      <c r="B389" s="29">
        <f>Raw_Data!B389</f>
        <v/>
      </c>
      <c r="C389">
        <f>YEAR(B389)</f>
        <v/>
      </c>
      <c r="D389">
        <f>MONTH(B389)</f>
        <v/>
      </c>
      <c r="E389">
        <f>TEXT(B389,"MMM-YYYY")</f>
        <v/>
      </c>
      <c r="F389">
        <f>Raw_Data!C389</f>
        <v/>
      </c>
      <c r="G389">
        <f>Raw_Data!D389</f>
        <v/>
      </c>
      <c r="H389">
        <f>Raw_Data!E389</f>
        <v/>
      </c>
      <c r="I389">
        <f>Raw_Data!F389</f>
        <v/>
      </c>
      <c r="J389">
        <f>Raw_Data!G389</f>
        <v/>
      </c>
      <c r="K389">
        <f>Raw_Data!H389</f>
        <v/>
      </c>
      <c r="L389" s="30">
        <f>Raw_Data!I389</f>
        <v/>
      </c>
      <c r="M389" s="31">
        <f>Raw_Data!J389</f>
        <v/>
      </c>
      <c r="N389" s="17">
        <f>K389*L389</f>
        <v/>
      </c>
      <c r="O389" s="17">
        <f>N389*(1-M389)</f>
        <v/>
      </c>
      <c r="P389" s="17">
        <f>Raw_Data!L389</f>
        <v/>
      </c>
      <c r="Q389" s="17">
        <f>O389-P389</f>
        <v/>
      </c>
      <c r="R389" s="31">
        <f>IF(O389=0,0,Q389/O389)</f>
        <v/>
      </c>
      <c r="S389">
        <f>XLOOKUP(F389,Lookups!$B$7:$B$11,Lookups!$C$7:$C$11,"Unknown")</f>
        <v/>
      </c>
      <c r="T389" s="31">
        <f>XLOOKUP(G389,Lookups!$E$7:$E$11,Lookups!$F$7:$F$11,0)</f>
        <v/>
      </c>
      <c r="U389" s="32">
        <f>R389-T389</f>
        <v/>
      </c>
      <c r="V389">
        <f>XLOOKUP(I389,Lookups!$H$7:$H$10,Lookups!$I$7:$I$10,"")</f>
        <v/>
      </c>
      <c r="W389">
        <f>IF(O389&gt;=50000,"HIGH VALUE","")</f>
        <v/>
      </c>
      <c r="X389">
        <f>IF(Q389&lt;0,"LOSS","")</f>
        <v/>
      </c>
      <c r="Y389">
        <f>IFS(M389&gt;=0.15,"Deep Discount",M389&gt;=0.1,"Moderate",TRUE,"Standard")</f>
        <v/>
      </c>
    </row>
    <row r="390">
      <c r="A390">
        <f>Raw_Data!A390</f>
        <v/>
      </c>
      <c r="B390" s="29">
        <f>Raw_Data!B390</f>
        <v/>
      </c>
      <c r="C390">
        <f>YEAR(B390)</f>
        <v/>
      </c>
      <c r="D390">
        <f>MONTH(B390)</f>
        <v/>
      </c>
      <c r="E390">
        <f>TEXT(B390,"MMM-YYYY")</f>
        <v/>
      </c>
      <c r="F390">
        <f>Raw_Data!C390</f>
        <v/>
      </c>
      <c r="G390">
        <f>Raw_Data!D390</f>
        <v/>
      </c>
      <c r="H390">
        <f>Raw_Data!E390</f>
        <v/>
      </c>
      <c r="I390">
        <f>Raw_Data!F390</f>
        <v/>
      </c>
      <c r="J390">
        <f>Raw_Data!G390</f>
        <v/>
      </c>
      <c r="K390">
        <f>Raw_Data!H390</f>
        <v/>
      </c>
      <c r="L390" s="30">
        <f>Raw_Data!I390</f>
        <v/>
      </c>
      <c r="M390" s="31">
        <f>Raw_Data!J390</f>
        <v/>
      </c>
      <c r="N390" s="17">
        <f>K390*L390</f>
        <v/>
      </c>
      <c r="O390" s="17">
        <f>N390*(1-M390)</f>
        <v/>
      </c>
      <c r="P390" s="17">
        <f>Raw_Data!L390</f>
        <v/>
      </c>
      <c r="Q390" s="17">
        <f>O390-P390</f>
        <v/>
      </c>
      <c r="R390" s="31">
        <f>IF(O390=0,0,Q390/O390)</f>
        <v/>
      </c>
      <c r="S390">
        <f>XLOOKUP(F390,Lookups!$B$7:$B$11,Lookups!$C$7:$C$11,"Unknown")</f>
        <v/>
      </c>
      <c r="T390" s="31">
        <f>XLOOKUP(G390,Lookups!$E$7:$E$11,Lookups!$F$7:$F$11,0)</f>
        <v/>
      </c>
      <c r="U390" s="32">
        <f>R390-T390</f>
        <v/>
      </c>
      <c r="V390">
        <f>XLOOKUP(I390,Lookups!$H$7:$H$10,Lookups!$I$7:$I$10,"")</f>
        <v/>
      </c>
      <c r="W390">
        <f>IF(O390&gt;=50000,"HIGH VALUE","")</f>
        <v/>
      </c>
      <c r="X390">
        <f>IF(Q390&lt;0,"LOSS","")</f>
        <v/>
      </c>
      <c r="Y390">
        <f>IFS(M390&gt;=0.15,"Deep Discount",M390&gt;=0.1,"Moderate",TRUE,"Standard")</f>
        <v/>
      </c>
    </row>
    <row r="391">
      <c r="A391">
        <f>Raw_Data!A391</f>
        <v/>
      </c>
      <c r="B391" s="29">
        <f>Raw_Data!B391</f>
        <v/>
      </c>
      <c r="C391">
        <f>YEAR(B391)</f>
        <v/>
      </c>
      <c r="D391">
        <f>MONTH(B391)</f>
        <v/>
      </c>
      <c r="E391">
        <f>TEXT(B391,"MMM-YYYY")</f>
        <v/>
      </c>
      <c r="F391">
        <f>Raw_Data!C391</f>
        <v/>
      </c>
      <c r="G391">
        <f>Raw_Data!D391</f>
        <v/>
      </c>
      <c r="H391">
        <f>Raw_Data!E391</f>
        <v/>
      </c>
      <c r="I391">
        <f>Raw_Data!F391</f>
        <v/>
      </c>
      <c r="J391">
        <f>Raw_Data!G391</f>
        <v/>
      </c>
      <c r="K391">
        <f>Raw_Data!H391</f>
        <v/>
      </c>
      <c r="L391" s="30">
        <f>Raw_Data!I391</f>
        <v/>
      </c>
      <c r="M391" s="31">
        <f>Raw_Data!J391</f>
        <v/>
      </c>
      <c r="N391" s="17">
        <f>K391*L391</f>
        <v/>
      </c>
      <c r="O391" s="17">
        <f>N391*(1-M391)</f>
        <v/>
      </c>
      <c r="P391" s="17">
        <f>Raw_Data!L391</f>
        <v/>
      </c>
      <c r="Q391" s="17">
        <f>O391-P391</f>
        <v/>
      </c>
      <c r="R391" s="31">
        <f>IF(O391=0,0,Q391/O391)</f>
        <v/>
      </c>
      <c r="S391">
        <f>XLOOKUP(F391,Lookups!$B$7:$B$11,Lookups!$C$7:$C$11,"Unknown")</f>
        <v/>
      </c>
      <c r="T391" s="31">
        <f>XLOOKUP(G391,Lookups!$E$7:$E$11,Lookups!$F$7:$F$11,0)</f>
        <v/>
      </c>
      <c r="U391" s="32">
        <f>R391-T391</f>
        <v/>
      </c>
      <c r="V391">
        <f>XLOOKUP(I391,Lookups!$H$7:$H$10,Lookups!$I$7:$I$10,"")</f>
        <v/>
      </c>
      <c r="W391">
        <f>IF(O391&gt;=50000,"HIGH VALUE","")</f>
        <v/>
      </c>
      <c r="X391">
        <f>IF(Q391&lt;0,"LOSS","")</f>
        <v/>
      </c>
      <c r="Y391">
        <f>IFS(M391&gt;=0.15,"Deep Discount",M391&gt;=0.1,"Moderate",TRUE,"Standard")</f>
        <v/>
      </c>
    </row>
    <row r="392">
      <c r="A392">
        <f>Raw_Data!A392</f>
        <v/>
      </c>
      <c r="B392" s="29">
        <f>Raw_Data!B392</f>
        <v/>
      </c>
      <c r="C392">
        <f>YEAR(B392)</f>
        <v/>
      </c>
      <c r="D392">
        <f>MONTH(B392)</f>
        <v/>
      </c>
      <c r="E392">
        <f>TEXT(B392,"MMM-YYYY")</f>
        <v/>
      </c>
      <c r="F392">
        <f>Raw_Data!C392</f>
        <v/>
      </c>
      <c r="G392">
        <f>Raw_Data!D392</f>
        <v/>
      </c>
      <c r="H392">
        <f>Raw_Data!E392</f>
        <v/>
      </c>
      <c r="I392">
        <f>Raw_Data!F392</f>
        <v/>
      </c>
      <c r="J392">
        <f>Raw_Data!G392</f>
        <v/>
      </c>
      <c r="K392">
        <f>Raw_Data!H392</f>
        <v/>
      </c>
      <c r="L392" s="30">
        <f>Raw_Data!I392</f>
        <v/>
      </c>
      <c r="M392" s="31">
        <f>Raw_Data!J392</f>
        <v/>
      </c>
      <c r="N392" s="17">
        <f>K392*L392</f>
        <v/>
      </c>
      <c r="O392" s="17">
        <f>N392*(1-M392)</f>
        <v/>
      </c>
      <c r="P392" s="17">
        <f>Raw_Data!L392</f>
        <v/>
      </c>
      <c r="Q392" s="17">
        <f>O392-P392</f>
        <v/>
      </c>
      <c r="R392" s="31">
        <f>IF(O392=0,0,Q392/O392)</f>
        <v/>
      </c>
      <c r="S392">
        <f>XLOOKUP(F392,Lookups!$B$7:$B$11,Lookups!$C$7:$C$11,"Unknown")</f>
        <v/>
      </c>
      <c r="T392" s="31">
        <f>XLOOKUP(G392,Lookups!$E$7:$E$11,Lookups!$F$7:$F$11,0)</f>
        <v/>
      </c>
      <c r="U392" s="32">
        <f>R392-T392</f>
        <v/>
      </c>
      <c r="V392">
        <f>XLOOKUP(I392,Lookups!$H$7:$H$10,Lookups!$I$7:$I$10,"")</f>
        <v/>
      </c>
      <c r="W392">
        <f>IF(O392&gt;=50000,"HIGH VALUE","")</f>
        <v/>
      </c>
      <c r="X392">
        <f>IF(Q392&lt;0,"LOSS","")</f>
        <v/>
      </c>
      <c r="Y392">
        <f>IFS(M392&gt;=0.15,"Deep Discount",M392&gt;=0.1,"Moderate",TRUE,"Standard")</f>
        <v/>
      </c>
    </row>
    <row r="393">
      <c r="A393">
        <f>Raw_Data!A393</f>
        <v/>
      </c>
      <c r="B393" s="29">
        <f>Raw_Data!B393</f>
        <v/>
      </c>
      <c r="C393">
        <f>YEAR(B393)</f>
        <v/>
      </c>
      <c r="D393">
        <f>MONTH(B393)</f>
        <v/>
      </c>
      <c r="E393">
        <f>TEXT(B393,"MMM-YYYY")</f>
        <v/>
      </c>
      <c r="F393">
        <f>Raw_Data!C393</f>
        <v/>
      </c>
      <c r="G393">
        <f>Raw_Data!D393</f>
        <v/>
      </c>
      <c r="H393">
        <f>Raw_Data!E393</f>
        <v/>
      </c>
      <c r="I393">
        <f>Raw_Data!F393</f>
        <v/>
      </c>
      <c r="J393">
        <f>Raw_Data!G393</f>
        <v/>
      </c>
      <c r="K393">
        <f>Raw_Data!H393</f>
        <v/>
      </c>
      <c r="L393" s="30">
        <f>Raw_Data!I393</f>
        <v/>
      </c>
      <c r="M393" s="31">
        <f>Raw_Data!J393</f>
        <v/>
      </c>
      <c r="N393" s="17">
        <f>K393*L393</f>
        <v/>
      </c>
      <c r="O393" s="17">
        <f>N393*(1-M393)</f>
        <v/>
      </c>
      <c r="P393" s="17">
        <f>Raw_Data!L393</f>
        <v/>
      </c>
      <c r="Q393" s="17">
        <f>O393-P393</f>
        <v/>
      </c>
      <c r="R393" s="31">
        <f>IF(O393=0,0,Q393/O393)</f>
        <v/>
      </c>
      <c r="S393">
        <f>XLOOKUP(F393,Lookups!$B$7:$B$11,Lookups!$C$7:$C$11,"Unknown")</f>
        <v/>
      </c>
      <c r="T393" s="31">
        <f>XLOOKUP(G393,Lookups!$E$7:$E$11,Lookups!$F$7:$F$11,0)</f>
        <v/>
      </c>
      <c r="U393" s="32">
        <f>R393-T393</f>
        <v/>
      </c>
      <c r="V393">
        <f>XLOOKUP(I393,Lookups!$H$7:$H$10,Lookups!$I$7:$I$10,"")</f>
        <v/>
      </c>
      <c r="W393">
        <f>IF(O393&gt;=50000,"HIGH VALUE","")</f>
        <v/>
      </c>
      <c r="X393">
        <f>IF(Q393&lt;0,"LOSS","")</f>
        <v/>
      </c>
      <c r="Y393">
        <f>IFS(M393&gt;=0.15,"Deep Discount",M393&gt;=0.1,"Moderate",TRUE,"Standard")</f>
        <v/>
      </c>
    </row>
    <row r="394">
      <c r="A394">
        <f>Raw_Data!A394</f>
        <v/>
      </c>
      <c r="B394" s="29">
        <f>Raw_Data!B394</f>
        <v/>
      </c>
      <c r="C394">
        <f>YEAR(B394)</f>
        <v/>
      </c>
      <c r="D394">
        <f>MONTH(B394)</f>
        <v/>
      </c>
      <c r="E394">
        <f>TEXT(B394,"MMM-YYYY")</f>
        <v/>
      </c>
      <c r="F394">
        <f>Raw_Data!C394</f>
        <v/>
      </c>
      <c r="G394">
        <f>Raw_Data!D394</f>
        <v/>
      </c>
      <c r="H394">
        <f>Raw_Data!E394</f>
        <v/>
      </c>
      <c r="I394">
        <f>Raw_Data!F394</f>
        <v/>
      </c>
      <c r="J394">
        <f>Raw_Data!G394</f>
        <v/>
      </c>
      <c r="K394">
        <f>Raw_Data!H394</f>
        <v/>
      </c>
      <c r="L394" s="30">
        <f>Raw_Data!I394</f>
        <v/>
      </c>
      <c r="M394" s="31">
        <f>Raw_Data!J394</f>
        <v/>
      </c>
      <c r="N394" s="17">
        <f>K394*L394</f>
        <v/>
      </c>
      <c r="O394" s="17">
        <f>N394*(1-M394)</f>
        <v/>
      </c>
      <c r="P394" s="17">
        <f>Raw_Data!L394</f>
        <v/>
      </c>
      <c r="Q394" s="17">
        <f>O394-P394</f>
        <v/>
      </c>
      <c r="R394" s="31">
        <f>IF(O394=0,0,Q394/O394)</f>
        <v/>
      </c>
      <c r="S394">
        <f>XLOOKUP(F394,Lookups!$B$7:$B$11,Lookups!$C$7:$C$11,"Unknown")</f>
        <v/>
      </c>
      <c r="T394" s="31">
        <f>XLOOKUP(G394,Lookups!$E$7:$E$11,Lookups!$F$7:$F$11,0)</f>
        <v/>
      </c>
      <c r="U394" s="32">
        <f>R394-T394</f>
        <v/>
      </c>
      <c r="V394">
        <f>XLOOKUP(I394,Lookups!$H$7:$H$10,Lookups!$I$7:$I$10,"")</f>
        <v/>
      </c>
      <c r="W394">
        <f>IF(O394&gt;=50000,"HIGH VALUE","")</f>
        <v/>
      </c>
      <c r="X394">
        <f>IF(Q394&lt;0,"LOSS","")</f>
        <v/>
      </c>
      <c r="Y394">
        <f>IFS(M394&gt;=0.15,"Deep Discount",M394&gt;=0.1,"Moderate",TRUE,"Standard")</f>
        <v/>
      </c>
    </row>
    <row r="395">
      <c r="A395">
        <f>Raw_Data!A395</f>
        <v/>
      </c>
      <c r="B395" s="29">
        <f>Raw_Data!B395</f>
        <v/>
      </c>
      <c r="C395">
        <f>YEAR(B395)</f>
        <v/>
      </c>
      <c r="D395">
        <f>MONTH(B395)</f>
        <v/>
      </c>
      <c r="E395">
        <f>TEXT(B395,"MMM-YYYY")</f>
        <v/>
      </c>
      <c r="F395">
        <f>Raw_Data!C395</f>
        <v/>
      </c>
      <c r="G395">
        <f>Raw_Data!D395</f>
        <v/>
      </c>
      <c r="H395">
        <f>Raw_Data!E395</f>
        <v/>
      </c>
      <c r="I395">
        <f>Raw_Data!F395</f>
        <v/>
      </c>
      <c r="J395">
        <f>Raw_Data!G395</f>
        <v/>
      </c>
      <c r="K395">
        <f>Raw_Data!H395</f>
        <v/>
      </c>
      <c r="L395" s="30">
        <f>Raw_Data!I395</f>
        <v/>
      </c>
      <c r="M395" s="31">
        <f>Raw_Data!J395</f>
        <v/>
      </c>
      <c r="N395" s="17">
        <f>K395*L395</f>
        <v/>
      </c>
      <c r="O395" s="17">
        <f>N395*(1-M395)</f>
        <v/>
      </c>
      <c r="P395" s="17">
        <f>Raw_Data!L395</f>
        <v/>
      </c>
      <c r="Q395" s="17">
        <f>O395-P395</f>
        <v/>
      </c>
      <c r="R395" s="31">
        <f>IF(O395=0,0,Q395/O395)</f>
        <v/>
      </c>
      <c r="S395">
        <f>XLOOKUP(F395,Lookups!$B$7:$B$11,Lookups!$C$7:$C$11,"Unknown")</f>
        <v/>
      </c>
      <c r="T395" s="31">
        <f>XLOOKUP(G395,Lookups!$E$7:$E$11,Lookups!$F$7:$F$11,0)</f>
        <v/>
      </c>
      <c r="U395" s="32">
        <f>R395-T395</f>
        <v/>
      </c>
      <c r="V395">
        <f>XLOOKUP(I395,Lookups!$H$7:$H$10,Lookups!$I$7:$I$10,"")</f>
        <v/>
      </c>
      <c r="W395">
        <f>IF(O395&gt;=50000,"HIGH VALUE","")</f>
        <v/>
      </c>
      <c r="X395">
        <f>IF(Q395&lt;0,"LOSS","")</f>
        <v/>
      </c>
      <c r="Y395">
        <f>IFS(M395&gt;=0.15,"Deep Discount",M395&gt;=0.1,"Moderate",TRUE,"Standard")</f>
        <v/>
      </c>
    </row>
    <row r="396">
      <c r="A396">
        <f>Raw_Data!A396</f>
        <v/>
      </c>
      <c r="B396" s="29">
        <f>Raw_Data!B396</f>
        <v/>
      </c>
      <c r="C396">
        <f>YEAR(B396)</f>
        <v/>
      </c>
      <c r="D396">
        <f>MONTH(B396)</f>
        <v/>
      </c>
      <c r="E396">
        <f>TEXT(B396,"MMM-YYYY")</f>
        <v/>
      </c>
      <c r="F396">
        <f>Raw_Data!C396</f>
        <v/>
      </c>
      <c r="G396">
        <f>Raw_Data!D396</f>
        <v/>
      </c>
      <c r="H396">
        <f>Raw_Data!E396</f>
        <v/>
      </c>
      <c r="I396">
        <f>Raw_Data!F396</f>
        <v/>
      </c>
      <c r="J396">
        <f>Raw_Data!G396</f>
        <v/>
      </c>
      <c r="K396">
        <f>Raw_Data!H396</f>
        <v/>
      </c>
      <c r="L396" s="30">
        <f>Raw_Data!I396</f>
        <v/>
      </c>
      <c r="M396" s="31">
        <f>Raw_Data!J396</f>
        <v/>
      </c>
      <c r="N396" s="17">
        <f>K396*L396</f>
        <v/>
      </c>
      <c r="O396" s="17">
        <f>N396*(1-M396)</f>
        <v/>
      </c>
      <c r="P396" s="17">
        <f>Raw_Data!L396</f>
        <v/>
      </c>
      <c r="Q396" s="17">
        <f>O396-P396</f>
        <v/>
      </c>
      <c r="R396" s="31">
        <f>IF(O396=0,0,Q396/O396)</f>
        <v/>
      </c>
      <c r="S396">
        <f>XLOOKUP(F396,Lookups!$B$7:$B$11,Lookups!$C$7:$C$11,"Unknown")</f>
        <v/>
      </c>
      <c r="T396" s="31">
        <f>XLOOKUP(G396,Lookups!$E$7:$E$11,Lookups!$F$7:$F$11,0)</f>
        <v/>
      </c>
      <c r="U396" s="32">
        <f>R396-T396</f>
        <v/>
      </c>
      <c r="V396">
        <f>XLOOKUP(I396,Lookups!$H$7:$H$10,Lookups!$I$7:$I$10,"")</f>
        <v/>
      </c>
      <c r="W396">
        <f>IF(O396&gt;=50000,"HIGH VALUE","")</f>
        <v/>
      </c>
      <c r="X396">
        <f>IF(Q396&lt;0,"LOSS","")</f>
        <v/>
      </c>
      <c r="Y396">
        <f>IFS(M396&gt;=0.15,"Deep Discount",M396&gt;=0.1,"Moderate",TRUE,"Standard")</f>
        <v/>
      </c>
    </row>
    <row r="397">
      <c r="A397">
        <f>Raw_Data!A397</f>
        <v/>
      </c>
      <c r="B397" s="29">
        <f>Raw_Data!B397</f>
        <v/>
      </c>
      <c r="C397">
        <f>YEAR(B397)</f>
        <v/>
      </c>
      <c r="D397">
        <f>MONTH(B397)</f>
        <v/>
      </c>
      <c r="E397">
        <f>TEXT(B397,"MMM-YYYY")</f>
        <v/>
      </c>
      <c r="F397">
        <f>Raw_Data!C397</f>
        <v/>
      </c>
      <c r="G397">
        <f>Raw_Data!D397</f>
        <v/>
      </c>
      <c r="H397">
        <f>Raw_Data!E397</f>
        <v/>
      </c>
      <c r="I397">
        <f>Raw_Data!F397</f>
        <v/>
      </c>
      <c r="J397">
        <f>Raw_Data!G397</f>
        <v/>
      </c>
      <c r="K397">
        <f>Raw_Data!H397</f>
        <v/>
      </c>
      <c r="L397" s="30">
        <f>Raw_Data!I397</f>
        <v/>
      </c>
      <c r="M397" s="31">
        <f>Raw_Data!J397</f>
        <v/>
      </c>
      <c r="N397" s="17">
        <f>K397*L397</f>
        <v/>
      </c>
      <c r="O397" s="17">
        <f>N397*(1-M397)</f>
        <v/>
      </c>
      <c r="P397" s="17">
        <f>Raw_Data!L397</f>
        <v/>
      </c>
      <c r="Q397" s="17">
        <f>O397-P397</f>
        <v/>
      </c>
      <c r="R397" s="31">
        <f>IF(O397=0,0,Q397/O397)</f>
        <v/>
      </c>
      <c r="S397">
        <f>XLOOKUP(F397,Lookups!$B$7:$B$11,Lookups!$C$7:$C$11,"Unknown")</f>
        <v/>
      </c>
      <c r="T397" s="31">
        <f>XLOOKUP(G397,Lookups!$E$7:$E$11,Lookups!$F$7:$F$11,0)</f>
        <v/>
      </c>
      <c r="U397" s="32">
        <f>R397-T397</f>
        <v/>
      </c>
      <c r="V397">
        <f>XLOOKUP(I397,Lookups!$H$7:$H$10,Lookups!$I$7:$I$10,"")</f>
        <v/>
      </c>
      <c r="W397">
        <f>IF(O397&gt;=50000,"HIGH VALUE","")</f>
        <v/>
      </c>
      <c r="X397">
        <f>IF(Q397&lt;0,"LOSS","")</f>
        <v/>
      </c>
      <c r="Y397">
        <f>IFS(M397&gt;=0.15,"Deep Discount",M397&gt;=0.1,"Moderate",TRUE,"Standard")</f>
        <v/>
      </c>
    </row>
    <row r="398">
      <c r="A398">
        <f>Raw_Data!A398</f>
        <v/>
      </c>
      <c r="B398" s="29">
        <f>Raw_Data!B398</f>
        <v/>
      </c>
      <c r="C398">
        <f>YEAR(B398)</f>
        <v/>
      </c>
      <c r="D398">
        <f>MONTH(B398)</f>
        <v/>
      </c>
      <c r="E398">
        <f>TEXT(B398,"MMM-YYYY")</f>
        <v/>
      </c>
      <c r="F398">
        <f>Raw_Data!C398</f>
        <v/>
      </c>
      <c r="G398">
        <f>Raw_Data!D398</f>
        <v/>
      </c>
      <c r="H398">
        <f>Raw_Data!E398</f>
        <v/>
      </c>
      <c r="I398">
        <f>Raw_Data!F398</f>
        <v/>
      </c>
      <c r="J398">
        <f>Raw_Data!G398</f>
        <v/>
      </c>
      <c r="K398">
        <f>Raw_Data!H398</f>
        <v/>
      </c>
      <c r="L398" s="30">
        <f>Raw_Data!I398</f>
        <v/>
      </c>
      <c r="M398" s="31">
        <f>Raw_Data!J398</f>
        <v/>
      </c>
      <c r="N398" s="17">
        <f>K398*L398</f>
        <v/>
      </c>
      <c r="O398" s="17">
        <f>N398*(1-M398)</f>
        <v/>
      </c>
      <c r="P398" s="17">
        <f>Raw_Data!L398</f>
        <v/>
      </c>
      <c r="Q398" s="17">
        <f>O398-P398</f>
        <v/>
      </c>
      <c r="R398" s="31">
        <f>IF(O398=0,0,Q398/O398)</f>
        <v/>
      </c>
      <c r="S398">
        <f>XLOOKUP(F398,Lookups!$B$7:$B$11,Lookups!$C$7:$C$11,"Unknown")</f>
        <v/>
      </c>
      <c r="T398" s="31">
        <f>XLOOKUP(G398,Lookups!$E$7:$E$11,Lookups!$F$7:$F$11,0)</f>
        <v/>
      </c>
      <c r="U398" s="32">
        <f>R398-T398</f>
        <v/>
      </c>
      <c r="V398">
        <f>XLOOKUP(I398,Lookups!$H$7:$H$10,Lookups!$I$7:$I$10,"")</f>
        <v/>
      </c>
      <c r="W398">
        <f>IF(O398&gt;=50000,"HIGH VALUE","")</f>
        <v/>
      </c>
      <c r="X398">
        <f>IF(Q398&lt;0,"LOSS","")</f>
        <v/>
      </c>
      <c r="Y398">
        <f>IFS(M398&gt;=0.15,"Deep Discount",M398&gt;=0.1,"Moderate",TRUE,"Standard")</f>
        <v/>
      </c>
    </row>
    <row r="399">
      <c r="A399">
        <f>Raw_Data!A399</f>
        <v/>
      </c>
      <c r="B399" s="29">
        <f>Raw_Data!B399</f>
        <v/>
      </c>
      <c r="C399">
        <f>YEAR(B399)</f>
        <v/>
      </c>
      <c r="D399">
        <f>MONTH(B399)</f>
        <v/>
      </c>
      <c r="E399">
        <f>TEXT(B399,"MMM-YYYY")</f>
        <v/>
      </c>
      <c r="F399">
        <f>Raw_Data!C399</f>
        <v/>
      </c>
      <c r="G399">
        <f>Raw_Data!D399</f>
        <v/>
      </c>
      <c r="H399">
        <f>Raw_Data!E399</f>
        <v/>
      </c>
      <c r="I399">
        <f>Raw_Data!F399</f>
        <v/>
      </c>
      <c r="J399">
        <f>Raw_Data!G399</f>
        <v/>
      </c>
      <c r="K399">
        <f>Raw_Data!H399</f>
        <v/>
      </c>
      <c r="L399" s="30">
        <f>Raw_Data!I399</f>
        <v/>
      </c>
      <c r="M399" s="31">
        <f>Raw_Data!J399</f>
        <v/>
      </c>
      <c r="N399" s="17">
        <f>K399*L399</f>
        <v/>
      </c>
      <c r="O399" s="17">
        <f>N399*(1-M399)</f>
        <v/>
      </c>
      <c r="P399" s="17">
        <f>Raw_Data!L399</f>
        <v/>
      </c>
      <c r="Q399" s="17">
        <f>O399-P399</f>
        <v/>
      </c>
      <c r="R399" s="31">
        <f>IF(O399=0,0,Q399/O399)</f>
        <v/>
      </c>
      <c r="S399">
        <f>XLOOKUP(F399,Lookups!$B$7:$B$11,Lookups!$C$7:$C$11,"Unknown")</f>
        <v/>
      </c>
      <c r="T399" s="31">
        <f>XLOOKUP(G399,Lookups!$E$7:$E$11,Lookups!$F$7:$F$11,0)</f>
        <v/>
      </c>
      <c r="U399" s="32">
        <f>R399-T399</f>
        <v/>
      </c>
      <c r="V399">
        <f>XLOOKUP(I399,Lookups!$H$7:$H$10,Lookups!$I$7:$I$10,"")</f>
        <v/>
      </c>
      <c r="W399">
        <f>IF(O399&gt;=50000,"HIGH VALUE","")</f>
        <v/>
      </c>
      <c r="X399">
        <f>IF(Q399&lt;0,"LOSS","")</f>
        <v/>
      </c>
      <c r="Y399">
        <f>IFS(M399&gt;=0.15,"Deep Discount",M399&gt;=0.1,"Moderate",TRUE,"Standard")</f>
        <v/>
      </c>
    </row>
    <row r="400">
      <c r="A400">
        <f>Raw_Data!A400</f>
        <v/>
      </c>
      <c r="B400" s="29">
        <f>Raw_Data!B400</f>
        <v/>
      </c>
      <c r="C400">
        <f>YEAR(B400)</f>
        <v/>
      </c>
      <c r="D400">
        <f>MONTH(B400)</f>
        <v/>
      </c>
      <c r="E400">
        <f>TEXT(B400,"MMM-YYYY")</f>
        <v/>
      </c>
      <c r="F400">
        <f>Raw_Data!C400</f>
        <v/>
      </c>
      <c r="G400">
        <f>Raw_Data!D400</f>
        <v/>
      </c>
      <c r="H400">
        <f>Raw_Data!E400</f>
        <v/>
      </c>
      <c r="I400">
        <f>Raw_Data!F400</f>
        <v/>
      </c>
      <c r="J400">
        <f>Raw_Data!G400</f>
        <v/>
      </c>
      <c r="K400">
        <f>Raw_Data!H400</f>
        <v/>
      </c>
      <c r="L400" s="30">
        <f>Raw_Data!I400</f>
        <v/>
      </c>
      <c r="M400" s="31">
        <f>Raw_Data!J400</f>
        <v/>
      </c>
      <c r="N400" s="17">
        <f>K400*L400</f>
        <v/>
      </c>
      <c r="O400" s="17">
        <f>N400*(1-M400)</f>
        <v/>
      </c>
      <c r="P400" s="17">
        <f>Raw_Data!L400</f>
        <v/>
      </c>
      <c r="Q400" s="17">
        <f>O400-P400</f>
        <v/>
      </c>
      <c r="R400" s="31">
        <f>IF(O400=0,0,Q400/O400)</f>
        <v/>
      </c>
      <c r="S400">
        <f>XLOOKUP(F400,Lookups!$B$7:$B$11,Lookups!$C$7:$C$11,"Unknown")</f>
        <v/>
      </c>
      <c r="T400" s="31">
        <f>XLOOKUP(G400,Lookups!$E$7:$E$11,Lookups!$F$7:$F$11,0)</f>
        <v/>
      </c>
      <c r="U400" s="32">
        <f>R400-T400</f>
        <v/>
      </c>
      <c r="V400">
        <f>XLOOKUP(I400,Lookups!$H$7:$H$10,Lookups!$I$7:$I$10,"")</f>
        <v/>
      </c>
      <c r="W400">
        <f>IF(O400&gt;=50000,"HIGH VALUE","")</f>
        <v/>
      </c>
      <c r="X400">
        <f>IF(Q400&lt;0,"LOSS","")</f>
        <v/>
      </c>
      <c r="Y400">
        <f>IFS(M400&gt;=0.15,"Deep Discount",M400&gt;=0.1,"Moderate",TRUE,"Standard")</f>
        <v/>
      </c>
    </row>
    <row r="401">
      <c r="A401">
        <f>Raw_Data!A401</f>
        <v/>
      </c>
      <c r="B401" s="29">
        <f>Raw_Data!B401</f>
        <v/>
      </c>
      <c r="C401">
        <f>YEAR(B401)</f>
        <v/>
      </c>
      <c r="D401">
        <f>MONTH(B401)</f>
        <v/>
      </c>
      <c r="E401">
        <f>TEXT(B401,"MMM-YYYY")</f>
        <v/>
      </c>
      <c r="F401">
        <f>Raw_Data!C401</f>
        <v/>
      </c>
      <c r="G401">
        <f>Raw_Data!D401</f>
        <v/>
      </c>
      <c r="H401">
        <f>Raw_Data!E401</f>
        <v/>
      </c>
      <c r="I401">
        <f>Raw_Data!F401</f>
        <v/>
      </c>
      <c r="J401">
        <f>Raw_Data!G401</f>
        <v/>
      </c>
      <c r="K401">
        <f>Raw_Data!H401</f>
        <v/>
      </c>
      <c r="L401" s="30">
        <f>Raw_Data!I401</f>
        <v/>
      </c>
      <c r="M401" s="31">
        <f>Raw_Data!J401</f>
        <v/>
      </c>
      <c r="N401" s="17">
        <f>K401*L401</f>
        <v/>
      </c>
      <c r="O401" s="17">
        <f>N401*(1-M401)</f>
        <v/>
      </c>
      <c r="P401" s="17">
        <f>Raw_Data!L401</f>
        <v/>
      </c>
      <c r="Q401" s="17">
        <f>O401-P401</f>
        <v/>
      </c>
      <c r="R401" s="31">
        <f>IF(O401=0,0,Q401/O401)</f>
        <v/>
      </c>
      <c r="S401">
        <f>XLOOKUP(F401,Lookups!$B$7:$B$11,Lookups!$C$7:$C$11,"Unknown")</f>
        <v/>
      </c>
      <c r="T401" s="31">
        <f>XLOOKUP(G401,Lookups!$E$7:$E$11,Lookups!$F$7:$F$11,0)</f>
        <v/>
      </c>
      <c r="U401" s="32">
        <f>R401-T401</f>
        <v/>
      </c>
      <c r="V401">
        <f>XLOOKUP(I401,Lookups!$H$7:$H$10,Lookups!$I$7:$I$10,"")</f>
        <v/>
      </c>
      <c r="W401">
        <f>IF(O401&gt;=50000,"HIGH VALUE","")</f>
        <v/>
      </c>
      <c r="X401">
        <f>IF(Q401&lt;0,"LOSS","")</f>
        <v/>
      </c>
      <c r="Y401">
        <f>IFS(M401&gt;=0.15,"Deep Discount",M401&gt;=0.1,"Moderate",TRUE,"Standard")</f>
        <v/>
      </c>
    </row>
    <row r="402">
      <c r="A402">
        <f>Raw_Data!A402</f>
        <v/>
      </c>
      <c r="B402" s="29">
        <f>Raw_Data!B402</f>
        <v/>
      </c>
      <c r="C402">
        <f>YEAR(B402)</f>
        <v/>
      </c>
      <c r="D402">
        <f>MONTH(B402)</f>
        <v/>
      </c>
      <c r="E402">
        <f>TEXT(B402,"MMM-YYYY")</f>
        <v/>
      </c>
      <c r="F402">
        <f>Raw_Data!C402</f>
        <v/>
      </c>
      <c r="G402">
        <f>Raw_Data!D402</f>
        <v/>
      </c>
      <c r="H402">
        <f>Raw_Data!E402</f>
        <v/>
      </c>
      <c r="I402">
        <f>Raw_Data!F402</f>
        <v/>
      </c>
      <c r="J402">
        <f>Raw_Data!G402</f>
        <v/>
      </c>
      <c r="K402">
        <f>Raw_Data!H402</f>
        <v/>
      </c>
      <c r="L402" s="30">
        <f>Raw_Data!I402</f>
        <v/>
      </c>
      <c r="M402" s="31">
        <f>Raw_Data!J402</f>
        <v/>
      </c>
      <c r="N402" s="17">
        <f>K402*L402</f>
        <v/>
      </c>
      <c r="O402" s="17">
        <f>N402*(1-M402)</f>
        <v/>
      </c>
      <c r="P402" s="17">
        <f>Raw_Data!L402</f>
        <v/>
      </c>
      <c r="Q402" s="17">
        <f>O402-P402</f>
        <v/>
      </c>
      <c r="R402" s="31">
        <f>IF(O402=0,0,Q402/O402)</f>
        <v/>
      </c>
      <c r="S402">
        <f>XLOOKUP(F402,Lookups!$B$7:$B$11,Lookups!$C$7:$C$11,"Unknown")</f>
        <v/>
      </c>
      <c r="T402" s="31">
        <f>XLOOKUP(G402,Lookups!$E$7:$E$11,Lookups!$F$7:$F$11,0)</f>
        <v/>
      </c>
      <c r="U402" s="32">
        <f>R402-T402</f>
        <v/>
      </c>
      <c r="V402">
        <f>XLOOKUP(I402,Lookups!$H$7:$H$10,Lookups!$I$7:$I$10,"")</f>
        <v/>
      </c>
      <c r="W402">
        <f>IF(O402&gt;=50000,"HIGH VALUE","")</f>
        <v/>
      </c>
      <c r="X402">
        <f>IF(Q402&lt;0,"LOSS","")</f>
        <v/>
      </c>
      <c r="Y402">
        <f>IFS(M402&gt;=0.15,"Deep Discount",M402&gt;=0.1,"Moderate",TRUE,"Standard")</f>
        <v/>
      </c>
    </row>
    <row r="403">
      <c r="A403">
        <f>Raw_Data!A403</f>
        <v/>
      </c>
      <c r="B403" s="29">
        <f>Raw_Data!B403</f>
        <v/>
      </c>
      <c r="C403">
        <f>YEAR(B403)</f>
        <v/>
      </c>
      <c r="D403">
        <f>MONTH(B403)</f>
        <v/>
      </c>
      <c r="E403">
        <f>TEXT(B403,"MMM-YYYY")</f>
        <v/>
      </c>
      <c r="F403">
        <f>Raw_Data!C403</f>
        <v/>
      </c>
      <c r="G403">
        <f>Raw_Data!D403</f>
        <v/>
      </c>
      <c r="H403">
        <f>Raw_Data!E403</f>
        <v/>
      </c>
      <c r="I403">
        <f>Raw_Data!F403</f>
        <v/>
      </c>
      <c r="J403">
        <f>Raw_Data!G403</f>
        <v/>
      </c>
      <c r="K403">
        <f>Raw_Data!H403</f>
        <v/>
      </c>
      <c r="L403" s="30">
        <f>Raw_Data!I403</f>
        <v/>
      </c>
      <c r="M403" s="31">
        <f>Raw_Data!J403</f>
        <v/>
      </c>
      <c r="N403" s="17">
        <f>K403*L403</f>
        <v/>
      </c>
      <c r="O403" s="17">
        <f>N403*(1-M403)</f>
        <v/>
      </c>
      <c r="P403" s="17">
        <f>Raw_Data!L403</f>
        <v/>
      </c>
      <c r="Q403" s="17">
        <f>O403-P403</f>
        <v/>
      </c>
      <c r="R403" s="31">
        <f>IF(O403=0,0,Q403/O403)</f>
        <v/>
      </c>
      <c r="S403">
        <f>XLOOKUP(F403,Lookups!$B$7:$B$11,Lookups!$C$7:$C$11,"Unknown")</f>
        <v/>
      </c>
      <c r="T403" s="31">
        <f>XLOOKUP(G403,Lookups!$E$7:$E$11,Lookups!$F$7:$F$11,0)</f>
        <v/>
      </c>
      <c r="U403" s="32">
        <f>R403-T403</f>
        <v/>
      </c>
      <c r="V403">
        <f>XLOOKUP(I403,Lookups!$H$7:$H$10,Lookups!$I$7:$I$10,"")</f>
        <v/>
      </c>
      <c r="W403">
        <f>IF(O403&gt;=50000,"HIGH VALUE","")</f>
        <v/>
      </c>
      <c r="X403">
        <f>IF(Q403&lt;0,"LOSS","")</f>
        <v/>
      </c>
      <c r="Y403">
        <f>IFS(M403&gt;=0.15,"Deep Discount",M403&gt;=0.1,"Moderate",TRUE,"Standard")</f>
        <v/>
      </c>
    </row>
    <row r="404">
      <c r="A404">
        <f>Raw_Data!A404</f>
        <v/>
      </c>
      <c r="B404" s="29">
        <f>Raw_Data!B404</f>
        <v/>
      </c>
      <c r="C404">
        <f>YEAR(B404)</f>
        <v/>
      </c>
      <c r="D404">
        <f>MONTH(B404)</f>
        <v/>
      </c>
      <c r="E404">
        <f>TEXT(B404,"MMM-YYYY")</f>
        <v/>
      </c>
      <c r="F404">
        <f>Raw_Data!C404</f>
        <v/>
      </c>
      <c r="G404">
        <f>Raw_Data!D404</f>
        <v/>
      </c>
      <c r="H404">
        <f>Raw_Data!E404</f>
        <v/>
      </c>
      <c r="I404">
        <f>Raw_Data!F404</f>
        <v/>
      </c>
      <c r="J404">
        <f>Raw_Data!G404</f>
        <v/>
      </c>
      <c r="K404">
        <f>Raw_Data!H404</f>
        <v/>
      </c>
      <c r="L404" s="30">
        <f>Raw_Data!I404</f>
        <v/>
      </c>
      <c r="M404" s="31">
        <f>Raw_Data!J404</f>
        <v/>
      </c>
      <c r="N404" s="17">
        <f>K404*L404</f>
        <v/>
      </c>
      <c r="O404" s="17">
        <f>N404*(1-M404)</f>
        <v/>
      </c>
      <c r="P404" s="17">
        <f>Raw_Data!L404</f>
        <v/>
      </c>
      <c r="Q404" s="17">
        <f>O404-P404</f>
        <v/>
      </c>
      <c r="R404" s="31">
        <f>IF(O404=0,0,Q404/O404)</f>
        <v/>
      </c>
      <c r="S404">
        <f>XLOOKUP(F404,Lookups!$B$7:$B$11,Lookups!$C$7:$C$11,"Unknown")</f>
        <v/>
      </c>
      <c r="T404" s="31">
        <f>XLOOKUP(G404,Lookups!$E$7:$E$11,Lookups!$F$7:$F$11,0)</f>
        <v/>
      </c>
      <c r="U404" s="32">
        <f>R404-T404</f>
        <v/>
      </c>
      <c r="V404">
        <f>XLOOKUP(I404,Lookups!$H$7:$H$10,Lookups!$I$7:$I$10,"")</f>
        <v/>
      </c>
      <c r="W404">
        <f>IF(O404&gt;=50000,"HIGH VALUE","")</f>
        <v/>
      </c>
      <c r="X404">
        <f>IF(Q404&lt;0,"LOSS","")</f>
        <v/>
      </c>
      <c r="Y404">
        <f>IFS(M404&gt;=0.15,"Deep Discount",M404&gt;=0.1,"Moderate",TRUE,"Standard")</f>
        <v/>
      </c>
    </row>
    <row r="405">
      <c r="A405">
        <f>Raw_Data!A405</f>
        <v/>
      </c>
      <c r="B405" s="29">
        <f>Raw_Data!B405</f>
        <v/>
      </c>
      <c r="C405">
        <f>YEAR(B405)</f>
        <v/>
      </c>
      <c r="D405">
        <f>MONTH(B405)</f>
        <v/>
      </c>
      <c r="E405">
        <f>TEXT(B405,"MMM-YYYY")</f>
        <v/>
      </c>
      <c r="F405">
        <f>Raw_Data!C405</f>
        <v/>
      </c>
      <c r="G405">
        <f>Raw_Data!D405</f>
        <v/>
      </c>
      <c r="H405">
        <f>Raw_Data!E405</f>
        <v/>
      </c>
      <c r="I405">
        <f>Raw_Data!F405</f>
        <v/>
      </c>
      <c r="J405">
        <f>Raw_Data!G405</f>
        <v/>
      </c>
      <c r="K405">
        <f>Raw_Data!H405</f>
        <v/>
      </c>
      <c r="L405" s="30">
        <f>Raw_Data!I405</f>
        <v/>
      </c>
      <c r="M405" s="31">
        <f>Raw_Data!J405</f>
        <v/>
      </c>
      <c r="N405" s="17">
        <f>K405*L405</f>
        <v/>
      </c>
      <c r="O405" s="17">
        <f>N405*(1-M405)</f>
        <v/>
      </c>
      <c r="P405" s="17">
        <f>Raw_Data!L405</f>
        <v/>
      </c>
      <c r="Q405" s="17">
        <f>O405-P405</f>
        <v/>
      </c>
      <c r="R405" s="31">
        <f>IF(O405=0,0,Q405/O405)</f>
        <v/>
      </c>
      <c r="S405">
        <f>XLOOKUP(F405,Lookups!$B$7:$B$11,Lookups!$C$7:$C$11,"Unknown")</f>
        <v/>
      </c>
      <c r="T405" s="31">
        <f>XLOOKUP(G405,Lookups!$E$7:$E$11,Lookups!$F$7:$F$11,0)</f>
        <v/>
      </c>
      <c r="U405" s="32">
        <f>R405-T405</f>
        <v/>
      </c>
      <c r="V405">
        <f>XLOOKUP(I405,Lookups!$H$7:$H$10,Lookups!$I$7:$I$10,"")</f>
        <v/>
      </c>
      <c r="W405">
        <f>IF(O405&gt;=50000,"HIGH VALUE","")</f>
        <v/>
      </c>
      <c r="X405">
        <f>IF(Q405&lt;0,"LOSS","")</f>
        <v/>
      </c>
      <c r="Y405">
        <f>IFS(M405&gt;=0.15,"Deep Discount",M405&gt;=0.1,"Moderate",TRUE,"Standard")</f>
        <v/>
      </c>
    </row>
    <row r="406">
      <c r="A406">
        <f>Raw_Data!A406</f>
        <v/>
      </c>
      <c r="B406" s="29">
        <f>Raw_Data!B406</f>
        <v/>
      </c>
      <c r="C406">
        <f>YEAR(B406)</f>
        <v/>
      </c>
      <c r="D406">
        <f>MONTH(B406)</f>
        <v/>
      </c>
      <c r="E406">
        <f>TEXT(B406,"MMM-YYYY")</f>
        <v/>
      </c>
      <c r="F406">
        <f>Raw_Data!C406</f>
        <v/>
      </c>
      <c r="G406">
        <f>Raw_Data!D406</f>
        <v/>
      </c>
      <c r="H406">
        <f>Raw_Data!E406</f>
        <v/>
      </c>
      <c r="I406">
        <f>Raw_Data!F406</f>
        <v/>
      </c>
      <c r="J406">
        <f>Raw_Data!G406</f>
        <v/>
      </c>
      <c r="K406">
        <f>Raw_Data!H406</f>
        <v/>
      </c>
      <c r="L406" s="30">
        <f>Raw_Data!I406</f>
        <v/>
      </c>
      <c r="M406" s="31">
        <f>Raw_Data!J406</f>
        <v/>
      </c>
      <c r="N406" s="17">
        <f>K406*L406</f>
        <v/>
      </c>
      <c r="O406" s="17">
        <f>N406*(1-M406)</f>
        <v/>
      </c>
      <c r="P406" s="17">
        <f>Raw_Data!L406</f>
        <v/>
      </c>
      <c r="Q406" s="17">
        <f>O406-P406</f>
        <v/>
      </c>
      <c r="R406" s="31">
        <f>IF(O406=0,0,Q406/O406)</f>
        <v/>
      </c>
      <c r="S406">
        <f>XLOOKUP(F406,Lookups!$B$7:$B$11,Lookups!$C$7:$C$11,"Unknown")</f>
        <v/>
      </c>
      <c r="T406" s="31">
        <f>XLOOKUP(G406,Lookups!$E$7:$E$11,Lookups!$F$7:$F$11,0)</f>
        <v/>
      </c>
      <c r="U406" s="32">
        <f>R406-T406</f>
        <v/>
      </c>
      <c r="V406">
        <f>XLOOKUP(I406,Lookups!$H$7:$H$10,Lookups!$I$7:$I$10,"")</f>
        <v/>
      </c>
      <c r="W406">
        <f>IF(O406&gt;=50000,"HIGH VALUE","")</f>
        <v/>
      </c>
      <c r="X406">
        <f>IF(Q406&lt;0,"LOSS","")</f>
        <v/>
      </c>
      <c r="Y406">
        <f>IFS(M406&gt;=0.15,"Deep Discount",M406&gt;=0.1,"Moderate",TRUE,"Standard")</f>
        <v/>
      </c>
    </row>
    <row r="407">
      <c r="A407">
        <f>Raw_Data!A407</f>
        <v/>
      </c>
      <c r="B407" s="29">
        <f>Raw_Data!B407</f>
        <v/>
      </c>
      <c r="C407">
        <f>YEAR(B407)</f>
        <v/>
      </c>
      <c r="D407">
        <f>MONTH(B407)</f>
        <v/>
      </c>
      <c r="E407">
        <f>TEXT(B407,"MMM-YYYY")</f>
        <v/>
      </c>
      <c r="F407">
        <f>Raw_Data!C407</f>
        <v/>
      </c>
      <c r="G407">
        <f>Raw_Data!D407</f>
        <v/>
      </c>
      <c r="H407">
        <f>Raw_Data!E407</f>
        <v/>
      </c>
      <c r="I407">
        <f>Raw_Data!F407</f>
        <v/>
      </c>
      <c r="J407">
        <f>Raw_Data!G407</f>
        <v/>
      </c>
      <c r="K407">
        <f>Raw_Data!H407</f>
        <v/>
      </c>
      <c r="L407" s="30">
        <f>Raw_Data!I407</f>
        <v/>
      </c>
      <c r="M407" s="31">
        <f>Raw_Data!J407</f>
        <v/>
      </c>
      <c r="N407" s="17">
        <f>K407*L407</f>
        <v/>
      </c>
      <c r="O407" s="17">
        <f>N407*(1-M407)</f>
        <v/>
      </c>
      <c r="P407" s="17">
        <f>Raw_Data!L407</f>
        <v/>
      </c>
      <c r="Q407" s="17">
        <f>O407-P407</f>
        <v/>
      </c>
      <c r="R407" s="31">
        <f>IF(O407=0,0,Q407/O407)</f>
        <v/>
      </c>
      <c r="S407">
        <f>XLOOKUP(F407,Lookups!$B$7:$B$11,Lookups!$C$7:$C$11,"Unknown")</f>
        <v/>
      </c>
      <c r="T407" s="31">
        <f>XLOOKUP(G407,Lookups!$E$7:$E$11,Lookups!$F$7:$F$11,0)</f>
        <v/>
      </c>
      <c r="U407" s="32">
        <f>R407-T407</f>
        <v/>
      </c>
      <c r="V407">
        <f>XLOOKUP(I407,Lookups!$H$7:$H$10,Lookups!$I$7:$I$10,"")</f>
        <v/>
      </c>
      <c r="W407">
        <f>IF(O407&gt;=50000,"HIGH VALUE","")</f>
        <v/>
      </c>
      <c r="X407">
        <f>IF(Q407&lt;0,"LOSS","")</f>
        <v/>
      </c>
      <c r="Y407">
        <f>IFS(M407&gt;=0.15,"Deep Discount",M407&gt;=0.1,"Moderate",TRUE,"Standard")</f>
        <v/>
      </c>
    </row>
    <row r="408">
      <c r="A408">
        <f>Raw_Data!A408</f>
        <v/>
      </c>
      <c r="B408" s="29">
        <f>Raw_Data!B408</f>
        <v/>
      </c>
      <c r="C408">
        <f>YEAR(B408)</f>
        <v/>
      </c>
      <c r="D408">
        <f>MONTH(B408)</f>
        <v/>
      </c>
      <c r="E408">
        <f>TEXT(B408,"MMM-YYYY")</f>
        <v/>
      </c>
      <c r="F408">
        <f>Raw_Data!C408</f>
        <v/>
      </c>
      <c r="G408">
        <f>Raw_Data!D408</f>
        <v/>
      </c>
      <c r="H408">
        <f>Raw_Data!E408</f>
        <v/>
      </c>
      <c r="I408">
        <f>Raw_Data!F408</f>
        <v/>
      </c>
      <c r="J408">
        <f>Raw_Data!G408</f>
        <v/>
      </c>
      <c r="K408">
        <f>Raw_Data!H408</f>
        <v/>
      </c>
      <c r="L408" s="30">
        <f>Raw_Data!I408</f>
        <v/>
      </c>
      <c r="M408" s="31">
        <f>Raw_Data!J408</f>
        <v/>
      </c>
      <c r="N408" s="17">
        <f>K408*L408</f>
        <v/>
      </c>
      <c r="O408" s="17">
        <f>N408*(1-M408)</f>
        <v/>
      </c>
      <c r="P408" s="17">
        <f>Raw_Data!L408</f>
        <v/>
      </c>
      <c r="Q408" s="17">
        <f>O408-P408</f>
        <v/>
      </c>
      <c r="R408" s="31">
        <f>IF(O408=0,0,Q408/O408)</f>
        <v/>
      </c>
      <c r="S408">
        <f>XLOOKUP(F408,Lookups!$B$7:$B$11,Lookups!$C$7:$C$11,"Unknown")</f>
        <v/>
      </c>
      <c r="T408" s="31">
        <f>XLOOKUP(G408,Lookups!$E$7:$E$11,Lookups!$F$7:$F$11,0)</f>
        <v/>
      </c>
      <c r="U408" s="32">
        <f>R408-T408</f>
        <v/>
      </c>
      <c r="V408">
        <f>XLOOKUP(I408,Lookups!$H$7:$H$10,Lookups!$I$7:$I$10,"")</f>
        <v/>
      </c>
      <c r="W408">
        <f>IF(O408&gt;=50000,"HIGH VALUE","")</f>
        <v/>
      </c>
      <c r="X408">
        <f>IF(Q408&lt;0,"LOSS","")</f>
        <v/>
      </c>
      <c r="Y408">
        <f>IFS(M408&gt;=0.15,"Deep Discount",M408&gt;=0.1,"Moderate",TRUE,"Standard")</f>
        <v/>
      </c>
    </row>
    <row r="409">
      <c r="A409">
        <f>Raw_Data!A409</f>
        <v/>
      </c>
      <c r="B409" s="29">
        <f>Raw_Data!B409</f>
        <v/>
      </c>
      <c r="C409">
        <f>YEAR(B409)</f>
        <v/>
      </c>
      <c r="D409">
        <f>MONTH(B409)</f>
        <v/>
      </c>
      <c r="E409">
        <f>TEXT(B409,"MMM-YYYY")</f>
        <v/>
      </c>
      <c r="F409">
        <f>Raw_Data!C409</f>
        <v/>
      </c>
      <c r="G409">
        <f>Raw_Data!D409</f>
        <v/>
      </c>
      <c r="H409">
        <f>Raw_Data!E409</f>
        <v/>
      </c>
      <c r="I409">
        <f>Raw_Data!F409</f>
        <v/>
      </c>
      <c r="J409">
        <f>Raw_Data!G409</f>
        <v/>
      </c>
      <c r="K409">
        <f>Raw_Data!H409</f>
        <v/>
      </c>
      <c r="L409" s="30">
        <f>Raw_Data!I409</f>
        <v/>
      </c>
      <c r="M409" s="31">
        <f>Raw_Data!J409</f>
        <v/>
      </c>
      <c r="N409" s="17">
        <f>K409*L409</f>
        <v/>
      </c>
      <c r="O409" s="17">
        <f>N409*(1-M409)</f>
        <v/>
      </c>
      <c r="P409" s="17">
        <f>Raw_Data!L409</f>
        <v/>
      </c>
      <c r="Q409" s="17">
        <f>O409-P409</f>
        <v/>
      </c>
      <c r="R409" s="31">
        <f>IF(O409=0,0,Q409/O409)</f>
        <v/>
      </c>
      <c r="S409">
        <f>XLOOKUP(F409,Lookups!$B$7:$B$11,Lookups!$C$7:$C$11,"Unknown")</f>
        <v/>
      </c>
      <c r="T409" s="31">
        <f>XLOOKUP(G409,Lookups!$E$7:$E$11,Lookups!$F$7:$F$11,0)</f>
        <v/>
      </c>
      <c r="U409" s="32">
        <f>R409-T409</f>
        <v/>
      </c>
      <c r="V409">
        <f>XLOOKUP(I409,Lookups!$H$7:$H$10,Lookups!$I$7:$I$10,"")</f>
        <v/>
      </c>
      <c r="W409">
        <f>IF(O409&gt;=50000,"HIGH VALUE","")</f>
        <v/>
      </c>
      <c r="X409">
        <f>IF(Q409&lt;0,"LOSS","")</f>
        <v/>
      </c>
      <c r="Y409">
        <f>IFS(M409&gt;=0.15,"Deep Discount",M409&gt;=0.1,"Moderate",TRUE,"Standard")</f>
        <v/>
      </c>
    </row>
    <row r="410">
      <c r="A410">
        <f>Raw_Data!A410</f>
        <v/>
      </c>
      <c r="B410" s="29">
        <f>Raw_Data!B410</f>
        <v/>
      </c>
      <c r="C410">
        <f>YEAR(B410)</f>
        <v/>
      </c>
      <c r="D410">
        <f>MONTH(B410)</f>
        <v/>
      </c>
      <c r="E410">
        <f>TEXT(B410,"MMM-YYYY")</f>
        <v/>
      </c>
      <c r="F410">
        <f>Raw_Data!C410</f>
        <v/>
      </c>
      <c r="G410">
        <f>Raw_Data!D410</f>
        <v/>
      </c>
      <c r="H410">
        <f>Raw_Data!E410</f>
        <v/>
      </c>
      <c r="I410">
        <f>Raw_Data!F410</f>
        <v/>
      </c>
      <c r="J410">
        <f>Raw_Data!G410</f>
        <v/>
      </c>
      <c r="K410">
        <f>Raw_Data!H410</f>
        <v/>
      </c>
      <c r="L410" s="30">
        <f>Raw_Data!I410</f>
        <v/>
      </c>
      <c r="M410" s="31">
        <f>Raw_Data!J410</f>
        <v/>
      </c>
      <c r="N410" s="17">
        <f>K410*L410</f>
        <v/>
      </c>
      <c r="O410" s="17">
        <f>N410*(1-M410)</f>
        <v/>
      </c>
      <c r="P410" s="17">
        <f>Raw_Data!L410</f>
        <v/>
      </c>
      <c r="Q410" s="17">
        <f>O410-P410</f>
        <v/>
      </c>
      <c r="R410" s="31">
        <f>IF(O410=0,0,Q410/O410)</f>
        <v/>
      </c>
      <c r="S410">
        <f>XLOOKUP(F410,Lookups!$B$7:$B$11,Lookups!$C$7:$C$11,"Unknown")</f>
        <v/>
      </c>
      <c r="T410" s="31">
        <f>XLOOKUP(G410,Lookups!$E$7:$E$11,Lookups!$F$7:$F$11,0)</f>
        <v/>
      </c>
      <c r="U410" s="32">
        <f>R410-T410</f>
        <v/>
      </c>
      <c r="V410">
        <f>XLOOKUP(I410,Lookups!$H$7:$H$10,Lookups!$I$7:$I$10,"")</f>
        <v/>
      </c>
      <c r="W410">
        <f>IF(O410&gt;=50000,"HIGH VALUE","")</f>
        <v/>
      </c>
      <c r="X410">
        <f>IF(Q410&lt;0,"LOSS","")</f>
        <v/>
      </c>
      <c r="Y410">
        <f>IFS(M410&gt;=0.15,"Deep Discount",M410&gt;=0.1,"Moderate",TRUE,"Standard")</f>
        <v/>
      </c>
    </row>
    <row r="411">
      <c r="A411">
        <f>Raw_Data!A411</f>
        <v/>
      </c>
      <c r="B411" s="29">
        <f>Raw_Data!B411</f>
        <v/>
      </c>
      <c r="C411">
        <f>YEAR(B411)</f>
        <v/>
      </c>
      <c r="D411">
        <f>MONTH(B411)</f>
        <v/>
      </c>
      <c r="E411">
        <f>TEXT(B411,"MMM-YYYY")</f>
        <v/>
      </c>
      <c r="F411">
        <f>Raw_Data!C411</f>
        <v/>
      </c>
      <c r="G411">
        <f>Raw_Data!D411</f>
        <v/>
      </c>
      <c r="H411">
        <f>Raw_Data!E411</f>
        <v/>
      </c>
      <c r="I411">
        <f>Raw_Data!F411</f>
        <v/>
      </c>
      <c r="J411">
        <f>Raw_Data!G411</f>
        <v/>
      </c>
      <c r="K411">
        <f>Raw_Data!H411</f>
        <v/>
      </c>
      <c r="L411" s="30">
        <f>Raw_Data!I411</f>
        <v/>
      </c>
      <c r="M411" s="31">
        <f>Raw_Data!J411</f>
        <v/>
      </c>
      <c r="N411" s="17">
        <f>K411*L411</f>
        <v/>
      </c>
      <c r="O411" s="17">
        <f>N411*(1-M411)</f>
        <v/>
      </c>
      <c r="P411" s="17">
        <f>Raw_Data!L411</f>
        <v/>
      </c>
      <c r="Q411" s="17">
        <f>O411-P411</f>
        <v/>
      </c>
      <c r="R411" s="31">
        <f>IF(O411=0,0,Q411/O411)</f>
        <v/>
      </c>
      <c r="S411">
        <f>XLOOKUP(F411,Lookups!$B$7:$B$11,Lookups!$C$7:$C$11,"Unknown")</f>
        <v/>
      </c>
      <c r="T411" s="31">
        <f>XLOOKUP(G411,Lookups!$E$7:$E$11,Lookups!$F$7:$F$11,0)</f>
        <v/>
      </c>
      <c r="U411" s="32">
        <f>R411-T411</f>
        <v/>
      </c>
      <c r="V411">
        <f>XLOOKUP(I411,Lookups!$H$7:$H$10,Lookups!$I$7:$I$10,"")</f>
        <v/>
      </c>
      <c r="W411">
        <f>IF(O411&gt;=50000,"HIGH VALUE","")</f>
        <v/>
      </c>
      <c r="X411">
        <f>IF(Q411&lt;0,"LOSS","")</f>
        <v/>
      </c>
      <c r="Y411">
        <f>IFS(M411&gt;=0.15,"Deep Discount",M411&gt;=0.1,"Moderate",TRUE,"Standard")</f>
        <v/>
      </c>
    </row>
    <row r="412">
      <c r="A412">
        <f>Raw_Data!A412</f>
        <v/>
      </c>
      <c r="B412" s="29">
        <f>Raw_Data!B412</f>
        <v/>
      </c>
      <c r="C412">
        <f>YEAR(B412)</f>
        <v/>
      </c>
      <c r="D412">
        <f>MONTH(B412)</f>
        <v/>
      </c>
      <c r="E412">
        <f>TEXT(B412,"MMM-YYYY")</f>
        <v/>
      </c>
      <c r="F412">
        <f>Raw_Data!C412</f>
        <v/>
      </c>
      <c r="G412">
        <f>Raw_Data!D412</f>
        <v/>
      </c>
      <c r="H412">
        <f>Raw_Data!E412</f>
        <v/>
      </c>
      <c r="I412">
        <f>Raw_Data!F412</f>
        <v/>
      </c>
      <c r="J412">
        <f>Raw_Data!G412</f>
        <v/>
      </c>
      <c r="K412">
        <f>Raw_Data!H412</f>
        <v/>
      </c>
      <c r="L412" s="30">
        <f>Raw_Data!I412</f>
        <v/>
      </c>
      <c r="M412" s="31">
        <f>Raw_Data!J412</f>
        <v/>
      </c>
      <c r="N412" s="17">
        <f>K412*L412</f>
        <v/>
      </c>
      <c r="O412" s="17">
        <f>N412*(1-M412)</f>
        <v/>
      </c>
      <c r="P412" s="17">
        <f>Raw_Data!L412</f>
        <v/>
      </c>
      <c r="Q412" s="17">
        <f>O412-P412</f>
        <v/>
      </c>
      <c r="R412" s="31">
        <f>IF(O412=0,0,Q412/O412)</f>
        <v/>
      </c>
      <c r="S412">
        <f>XLOOKUP(F412,Lookups!$B$7:$B$11,Lookups!$C$7:$C$11,"Unknown")</f>
        <v/>
      </c>
      <c r="T412" s="31">
        <f>XLOOKUP(G412,Lookups!$E$7:$E$11,Lookups!$F$7:$F$11,0)</f>
        <v/>
      </c>
      <c r="U412" s="32">
        <f>R412-T412</f>
        <v/>
      </c>
      <c r="V412">
        <f>XLOOKUP(I412,Lookups!$H$7:$H$10,Lookups!$I$7:$I$10,"")</f>
        <v/>
      </c>
      <c r="W412">
        <f>IF(O412&gt;=50000,"HIGH VALUE","")</f>
        <v/>
      </c>
      <c r="X412">
        <f>IF(Q412&lt;0,"LOSS","")</f>
        <v/>
      </c>
      <c r="Y412">
        <f>IFS(M412&gt;=0.15,"Deep Discount",M412&gt;=0.1,"Moderate",TRUE,"Standard")</f>
        <v/>
      </c>
    </row>
    <row r="413">
      <c r="A413">
        <f>Raw_Data!A413</f>
        <v/>
      </c>
      <c r="B413" s="29">
        <f>Raw_Data!B413</f>
        <v/>
      </c>
      <c r="C413">
        <f>YEAR(B413)</f>
        <v/>
      </c>
      <c r="D413">
        <f>MONTH(B413)</f>
        <v/>
      </c>
      <c r="E413">
        <f>TEXT(B413,"MMM-YYYY")</f>
        <v/>
      </c>
      <c r="F413">
        <f>Raw_Data!C413</f>
        <v/>
      </c>
      <c r="G413">
        <f>Raw_Data!D413</f>
        <v/>
      </c>
      <c r="H413">
        <f>Raw_Data!E413</f>
        <v/>
      </c>
      <c r="I413">
        <f>Raw_Data!F413</f>
        <v/>
      </c>
      <c r="J413">
        <f>Raw_Data!G413</f>
        <v/>
      </c>
      <c r="K413">
        <f>Raw_Data!H413</f>
        <v/>
      </c>
      <c r="L413" s="30">
        <f>Raw_Data!I413</f>
        <v/>
      </c>
      <c r="M413" s="31">
        <f>Raw_Data!J413</f>
        <v/>
      </c>
      <c r="N413" s="17">
        <f>K413*L413</f>
        <v/>
      </c>
      <c r="O413" s="17">
        <f>N413*(1-M413)</f>
        <v/>
      </c>
      <c r="P413" s="17">
        <f>Raw_Data!L413</f>
        <v/>
      </c>
      <c r="Q413" s="17">
        <f>O413-P413</f>
        <v/>
      </c>
      <c r="R413" s="31">
        <f>IF(O413=0,0,Q413/O413)</f>
        <v/>
      </c>
      <c r="S413">
        <f>XLOOKUP(F413,Lookups!$B$7:$B$11,Lookups!$C$7:$C$11,"Unknown")</f>
        <v/>
      </c>
      <c r="T413" s="31">
        <f>XLOOKUP(G413,Lookups!$E$7:$E$11,Lookups!$F$7:$F$11,0)</f>
        <v/>
      </c>
      <c r="U413" s="32">
        <f>R413-T413</f>
        <v/>
      </c>
      <c r="V413">
        <f>XLOOKUP(I413,Lookups!$H$7:$H$10,Lookups!$I$7:$I$10,"")</f>
        <v/>
      </c>
      <c r="W413">
        <f>IF(O413&gt;=50000,"HIGH VALUE","")</f>
        <v/>
      </c>
      <c r="X413">
        <f>IF(Q413&lt;0,"LOSS","")</f>
        <v/>
      </c>
      <c r="Y413">
        <f>IFS(M413&gt;=0.15,"Deep Discount",M413&gt;=0.1,"Moderate",TRUE,"Standard")</f>
        <v/>
      </c>
    </row>
    <row r="414">
      <c r="A414">
        <f>Raw_Data!A414</f>
        <v/>
      </c>
      <c r="B414" s="29">
        <f>Raw_Data!B414</f>
        <v/>
      </c>
      <c r="C414">
        <f>YEAR(B414)</f>
        <v/>
      </c>
      <c r="D414">
        <f>MONTH(B414)</f>
        <v/>
      </c>
      <c r="E414">
        <f>TEXT(B414,"MMM-YYYY")</f>
        <v/>
      </c>
      <c r="F414">
        <f>Raw_Data!C414</f>
        <v/>
      </c>
      <c r="G414">
        <f>Raw_Data!D414</f>
        <v/>
      </c>
      <c r="H414">
        <f>Raw_Data!E414</f>
        <v/>
      </c>
      <c r="I414">
        <f>Raw_Data!F414</f>
        <v/>
      </c>
      <c r="J414">
        <f>Raw_Data!G414</f>
        <v/>
      </c>
      <c r="K414">
        <f>Raw_Data!H414</f>
        <v/>
      </c>
      <c r="L414" s="30">
        <f>Raw_Data!I414</f>
        <v/>
      </c>
      <c r="M414" s="31">
        <f>Raw_Data!J414</f>
        <v/>
      </c>
      <c r="N414" s="17">
        <f>K414*L414</f>
        <v/>
      </c>
      <c r="O414" s="17">
        <f>N414*(1-M414)</f>
        <v/>
      </c>
      <c r="P414" s="17">
        <f>Raw_Data!L414</f>
        <v/>
      </c>
      <c r="Q414" s="17">
        <f>O414-P414</f>
        <v/>
      </c>
      <c r="R414" s="31">
        <f>IF(O414=0,0,Q414/O414)</f>
        <v/>
      </c>
      <c r="S414">
        <f>XLOOKUP(F414,Lookups!$B$7:$B$11,Lookups!$C$7:$C$11,"Unknown")</f>
        <v/>
      </c>
      <c r="T414" s="31">
        <f>XLOOKUP(G414,Lookups!$E$7:$E$11,Lookups!$F$7:$F$11,0)</f>
        <v/>
      </c>
      <c r="U414" s="32">
        <f>R414-T414</f>
        <v/>
      </c>
      <c r="V414">
        <f>XLOOKUP(I414,Lookups!$H$7:$H$10,Lookups!$I$7:$I$10,"")</f>
        <v/>
      </c>
      <c r="W414">
        <f>IF(O414&gt;=50000,"HIGH VALUE","")</f>
        <v/>
      </c>
      <c r="X414">
        <f>IF(Q414&lt;0,"LOSS","")</f>
        <v/>
      </c>
      <c r="Y414">
        <f>IFS(M414&gt;=0.15,"Deep Discount",M414&gt;=0.1,"Moderate",TRUE,"Standard")</f>
        <v/>
      </c>
    </row>
    <row r="415">
      <c r="A415">
        <f>Raw_Data!A415</f>
        <v/>
      </c>
      <c r="B415" s="29">
        <f>Raw_Data!B415</f>
        <v/>
      </c>
      <c r="C415">
        <f>YEAR(B415)</f>
        <v/>
      </c>
      <c r="D415">
        <f>MONTH(B415)</f>
        <v/>
      </c>
      <c r="E415">
        <f>TEXT(B415,"MMM-YYYY")</f>
        <v/>
      </c>
      <c r="F415">
        <f>Raw_Data!C415</f>
        <v/>
      </c>
      <c r="G415">
        <f>Raw_Data!D415</f>
        <v/>
      </c>
      <c r="H415">
        <f>Raw_Data!E415</f>
        <v/>
      </c>
      <c r="I415">
        <f>Raw_Data!F415</f>
        <v/>
      </c>
      <c r="J415">
        <f>Raw_Data!G415</f>
        <v/>
      </c>
      <c r="K415">
        <f>Raw_Data!H415</f>
        <v/>
      </c>
      <c r="L415" s="30">
        <f>Raw_Data!I415</f>
        <v/>
      </c>
      <c r="M415" s="31">
        <f>Raw_Data!J415</f>
        <v/>
      </c>
      <c r="N415" s="17">
        <f>K415*L415</f>
        <v/>
      </c>
      <c r="O415" s="17">
        <f>N415*(1-M415)</f>
        <v/>
      </c>
      <c r="P415" s="17">
        <f>Raw_Data!L415</f>
        <v/>
      </c>
      <c r="Q415" s="17">
        <f>O415-P415</f>
        <v/>
      </c>
      <c r="R415" s="31">
        <f>IF(O415=0,0,Q415/O415)</f>
        <v/>
      </c>
      <c r="S415">
        <f>XLOOKUP(F415,Lookups!$B$7:$B$11,Lookups!$C$7:$C$11,"Unknown")</f>
        <v/>
      </c>
      <c r="T415" s="31">
        <f>XLOOKUP(G415,Lookups!$E$7:$E$11,Lookups!$F$7:$F$11,0)</f>
        <v/>
      </c>
      <c r="U415" s="32">
        <f>R415-T415</f>
        <v/>
      </c>
      <c r="V415">
        <f>XLOOKUP(I415,Lookups!$H$7:$H$10,Lookups!$I$7:$I$10,"")</f>
        <v/>
      </c>
      <c r="W415">
        <f>IF(O415&gt;=50000,"HIGH VALUE","")</f>
        <v/>
      </c>
      <c r="X415">
        <f>IF(Q415&lt;0,"LOSS","")</f>
        <v/>
      </c>
      <c r="Y415">
        <f>IFS(M415&gt;=0.15,"Deep Discount",M415&gt;=0.1,"Moderate",TRUE,"Standard")</f>
        <v/>
      </c>
    </row>
    <row r="416">
      <c r="A416">
        <f>Raw_Data!A416</f>
        <v/>
      </c>
      <c r="B416" s="29">
        <f>Raw_Data!B416</f>
        <v/>
      </c>
      <c r="C416">
        <f>YEAR(B416)</f>
        <v/>
      </c>
      <c r="D416">
        <f>MONTH(B416)</f>
        <v/>
      </c>
      <c r="E416">
        <f>TEXT(B416,"MMM-YYYY")</f>
        <v/>
      </c>
      <c r="F416">
        <f>Raw_Data!C416</f>
        <v/>
      </c>
      <c r="G416">
        <f>Raw_Data!D416</f>
        <v/>
      </c>
      <c r="H416">
        <f>Raw_Data!E416</f>
        <v/>
      </c>
      <c r="I416">
        <f>Raw_Data!F416</f>
        <v/>
      </c>
      <c r="J416">
        <f>Raw_Data!G416</f>
        <v/>
      </c>
      <c r="K416">
        <f>Raw_Data!H416</f>
        <v/>
      </c>
      <c r="L416" s="30">
        <f>Raw_Data!I416</f>
        <v/>
      </c>
      <c r="M416" s="31">
        <f>Raw_Data!J416</f>
        <v/>
      </c>
      <c r="N416" s="17">
        <f>K416*L416</f>
        <v/>
      </c>
      <c r="O416" s="17">
        <f>N416*(1-M416)</f>
        <v/>
      </c>
      <c r="P416" s="17">
        <f>Raw_Data!L416</f>
        <v/>
      </c>
      <c r="Q416" s="17">
        <f>O416-P416</f>
        <v/>
      </c>
      <c r="R416" s="31">
        <f>IF(O416=0,0,Q416/O416)</f>
        <v/>
      </c>
      <c r="S416">
        <f>XLOOKUP(F416,Lookups!$B$7:$B$11,Lookups!$C$7:$C$11,"Unknown")</f>
        <v/>
      </c>
      <c r="T416" s="31">
        <f>XLOOKUP(G416,Lookups!$E$7:$E$11,Lookups!$F$7:$F$11,0)</f>
        <v/>
      </c>
      <c r="U416" s="32">
        <f>R416-T416</f>
        <v/>
      </c>
      <c r="V416">
        <f>XLOOKUP(I416,Lookups!$H$7:$H$10,Lookups!$I$7:$I$10,"")</f>
        <v/>
      </c>
      <c r="W416">
        <f>IF(O416&gt;=50000,"HIGH VALUE","")</f>
        <v/>
      </c>
      <c r="X416">
        <f>IF(Q416&lt;0,"LOSS","")</f>
        <v/>
      </c>
      <c r="Y416">
        <f>IFS(M416&gt;=0.15,"Deep Discount",M416&gt;=0.1,"Moderate",TRUE,"Standard")</f>
        <v/>
      </c>
    </row>
    <row r="417">
      <c r="A417">
        <f>Raw_Data!A417</f>
        <v/>
      </c>
      <c r="B417" s="29">
        <f>Raw_Data!B417</f>
        <v/>
      </c>
      <c r="C417">
        <f>YEAR(B417)</f>
        <v/>
      </c>
      <c r="D417">
        <f>MONTH(B417)</f>
        <v/>
      </c>
      <c r="E417">
        <f>TEXT(B417,"MMM-YYYY")</f>
        <v/>
      </c>
      <c r="F417">
        <f>Raw_Data!C417</f>
        <v/>
      </c>
      <c r="G417">
        <f>Raw_Data!D417</f>
        <v/>
      </c>
      <c r="H417">
        <f>Raw_Data!E417</f>
        <v/>
      </c>
      <c r="I417">
        <f>Raw_Data!F417</f>
        <v/>
      </c>
      <c r="J417">
        <f>Raw_Data!G417</f>
        <v/>
      </c>
      <c r="K417">
        <f>Raw_Data!H417</f>
        <v/>
      </c>
      <c r="L417" s="30">
        <f>Raw_Data!I417</f>
        <v/>
      </c>
      <c r="M417" s="31">
        <f>Raw_Data!J417</f>
        <v/>
      </c>
      <c r="N417" s="17">
        <f>K417*L417</f>
        <v/>
      </c>
      <c r="O417" s="17">
        <f>N417*(1-M417)</f>
        <v/>
      </c>
      <c r="P417" s="17">
        <f>Raw_Data!L417</f>
        <v/>
      </c>
      <c r="Q417" s="17">
        <f>O417-P417</f>
        <v/>
      </c>
      <c r="R417" s="31">
        <f>IF(O417=0,0,Q417/O417)</f>
        <v/>
      </c>
      <c r="S417">
        <f>XLOOKUP(F417,Lookups!$B$7:$B$11,Lookups!$C$7:$C$11,"Unknown")</f>
        <v/>
      </c>
      <c r="T417" s="31">
        <f>XLOOKUP(G417,Lookups!$E$7:$E$11,Lookups!$F$7:$F$11,0)</f>
        <v/>
      </c>
      <c r="U417" s="32">
        <f>R417-T417</f>
        <v/>
      </c>
      <c r="V417">
        <f>XLOOKUP(I417,Lookups!$H$7:$H$10,Lookups!$I$7:$I$10,"")</f>
        <v/>
      </c>
      <c r="W417">
        <f>IF(O417&gt;=50000,"HIGH VALUE","")</f>
        <v/>
      </c>
      <c r="X417">
        <f>IF(Q417&lt;0,"LOSS","")</f>
        <v/>
      </c>
      <c r="Y417">
        <f>IFS(M417&gt;=0.15,"Deep Discount",M417&gt;=0.1,"Moderate",TRUE,"Standard")</f>
        <v/>
      </c>
    </row>
    <row r="418">
      <c r="A418">
        <f>Raw_Data!A418</f>
        <v/>
      </c>
      <c r="B418" s="29">
        <f>Raw_Data!B418</f>
        <v/>
      </c>
      <c r="C418">
        <f>YEAR(B418)</f>
        <v/>
      </c>
      <c r="D418">
        <f>MONTH(B418)</f>
        <v/>
      </c>
      <c r="E418">
        <f>TEXT(B418,"MMM-YYYY")</f>
        <v/>
      </c>
      <c r="F418">
        <f>Raw_Data!C418</f>
        <v/>
      </c>
      <c r="G418">
        <f>Raw_Data!D418</f>
        <v/>
      </c>
      <c r="H418">
        <f>Raw_Data!E418</f>
        <v/>
      </c>
      <c r="I418">
        <f>Raw_Data!F418</f>
        <v/>
      </c>
      <c r="J418">
        <f>Raw_Data!G418</f>
        <v/>
      </c>
      <c r="K418">
        <f>Raw_Data!H418</f>
        <v/>
      </c>
      <c r="L418" s="30">
        <f>Raw_Data!I418</f>
        <v/>
      </c>
      <c r="M418" s="31">
        <f>Raw_Data!J418</f>
        <v/>
      </c>
      <c r="N418" s="17">
        <f>K418*L418</f>
        <v/>
      </c>
      <c r="O418" s="17">
        <f>N418*(1-M418)</f>
        <v/>
      </c>
      <c r="P418" s="17">
        <f>Raw_Data!L418</f>
        <v/>
      </c>
      <c r="Q418" s="17">
        <f>O418-P418</f>
        <v/>
      </c>
      <c r="R418" s="31">
        <f>IF(O418=0,0,Q418/O418)</f>
        <v/>
      </c>
      <c r="S418">
        <f>XLOOKUP(F418,Lookups!$B$7:$B$11,Lookups!$C$7:$C$11,"Unknown")</f>
        <v/>
      </c>
      <c r="T418" s="31">
        <f>XLOOKUP(G418,Lookups!$E$7:$E$11,Lookups!$F$7:$F$11,0)</f>
        <v/>
      </c>
      <c r="U418" s="32">
        <f>R418-T418</f>
        <v/>
      </c>
      <c r="V418">
        <f>XLOOKUP(I418,Lookups!$H$7:$H$10,Lookups!$I$7:$I$10,"")</f>
        <v/>
      </c>
      <c r="W418">
        <f>IF(O418&gt;=50000,"HIGH VALUE","")</f>
        <v/>
      </c>
      <c r="X418">
        <f>IF(Q418&lt;0,"LOSS","")</f>
        <v/>
      </c>
      <c r="Y418">
        <f>IFS(M418&gt;=0.15,"Deep Discount",M418&gt;=0.1,"Moderate",TRUE,"Standard")</f>
        <v/>
      </c>
    </row>
    <row r="419">
      <c r="A419">
        <f>Raw_Data!A419</f>
        <v/>
      </c>
      <c r="B419" s="29">
        <f>Raw_Data!B419</f>
        <v/>
      </c>
      <c r="C419">
        <f>YEAR(B419)</f>
        <v/>
      </c>
      <c r="D419">
        <f>MONTH(B419)</f>
        <v/>
      </c>
      <c r="E419">
        <f>TEXT(B419,"MMM-YYYY")</f>
        <v/>
      </c>
      <c r="F419">
        <f>Raw_Data!C419</f>
        <v/>
      </c>
      <c r="G419">
        <f>Raw_Data!D419</f>
        <v/>
      </c>
      <c r="H419">
        <f>Raw_Data!E419</f>
        <v/>
      </c>
      <c r="I419">
        <f>Raw_Data!F419</f>
        <v/>
      </c>
      <c r="J419">
        <f>Raw_Data!G419</f>
        <v/>
      </c>
      <c r="K419">
        <f>Raw_Data!H419</f>
        <v/>
      </c>
      <c r="L419" s="30">
        <f>Raw_Data!I419</f>
        <v/>
      </c>
      <c r="M419" s="31">
        <f>Raw_Data!J419</f>
        <v/>
      </c>
      <c r="N419" s="17">
        <f>K419*L419</f>
        <v/>
      </c>
      <c r="O419" s="17">
        <f>N419*(1-M419)</f>
        <v/>
      </c>
      <c r="P419" s="17">
        <f>Raw_Data!L419</f>
        <v/>
      </c>
      <c r="Q419" s="17">
        <f>O419-P419</f>
        <v/>
      </c>
      <c r="R419" s="31">
        <f>IF(O419=0,0,Q419/O419)</f>
        <v/>
      </c>
      <c r="S419">
        <f>XLOOKUP(F419,Lookups!$B$7:$B$11,Lookups!$C$7:$C$11,"Unknown")</f>
        <v/>
      </c>
      <c r="T419" s="31">
        <f>XLOOKUP(G419,Lookups!$E$7:$E$11,Lookups!$F$7:$F$11,0)</f>
        <v/>
      </c>
      <c r="U419" s="32">
        <f>R419-T419</f>
        <v/>
      </c>
      <c r="V419">
        <f>XLOOKUP(I419,Lookups!$H$7:$H$10,Lookups!$I$7:$I$10,"")</f>
        <v/>
      </c>
      <c r="W419">
        <f>IF(O419&gt;=50000,"HIGH VALUE","")</f>
        <v/>
      </c>
      <c r="X419">
        <f>IF(Q419&lt;0,"LOSS","")</f>
        <v/>
      </c>
      <c r="Y419">
        <f>IFS(M419&gt;=0.15,"Deep Discount",M419&gt;=0.1,"Moderate",TRUE,"Standard")</f>
        <v/>
      </c>
    </row>
    <row r="420">
      <c r="A420">
        <f>Raw_Data!A420</f>
        <v/>
      </c>
      <c r="B420" s="29">
        <f>Raw_Data!B420</f>
        <v/>
      </c>
      <c r="C420">
        <f>YEAR(B420)</f>
        <v/>
      </c>
      <c r="D420">
        <f>MONTH(B420)</f>
        <v/>
      </c>
      <c r="E420">
        <f>TEXT(B420,"MMM-YYYY")</f>
        <v/>
      </c>
      <c r="F420">
        <f>Raw_Data!C420</f>
        <v/>
      </c>
      <c r="G420">
        <f>Raw_Data!D420</f>
        <v/>
      </c>
      <c r="H420">
        <f>Raw_Data!E420</f>
        <v/>
      </c>
      <c r="I420">
        <f>Raw_Data!F420</f>
        <v/>
      </c>
      <c r="J420">
        <f>Raw_Data!G420</f>
        <v/>
      </c>
      <c r="K420">
        <f>Raw_Data!H420</f>
        <v/>
      </c>
      <c r="L420" s="30">
        <f>Raw_Data!I420</f>
        <v/>
      </c>
      <c r="M420" s="31">
        <f>Raw_Data!J420</f>
        <v/>
      </c>
      <c r="N420" s="17">
        <f>K420*L420</f>
        <v/>
      </c>
      <c r="O420" s="17">
        <f>N420*(1-M420)</f>
        <v/>
      </c>
      <c r="P420" s="17">
        <f>Raw_Data!L420</f>
        <v/>
      </c>
      <c r="Q420" s="17">
        <f>O420-P420</f>
        <v/>
      </c>
      <c r="R420" s="31">
        <f>IF(O420=0,0,Q420/O420)</f>
        <v/>
      </c>
      <c r="S420">
        <f>XLOOKUP(F420,Lookups!$B$7:$B$11,Lookups!$C$7:$C$11,"Unknown")</f>
        <v/>
      </c>
      <c r="T420" s="31">
        <f>XLOOKUP(G420,Lookups!$E$7:$E$11,Lookups!$F$7:$F$11,0)</f>
        <v/>
      </c>
      <c r="U420" s="32">
        <f>R420-T420</f>
        <v/>
      </c>
      <c r="V420">
        <f>XLOOKUP(I420,Lookups!$H$7:$H$10,Lookups!$I$7:$I$10,"")</f>
        <v/>
      </c>
      <c r="W420">
        <f>IF(O420&gt;=50000,"HIGH VALUE","")</f>
        <v/>
      </c>
      <c r="X420">
        <f>IF(Q420&lt;0,"LOSS","")</f>
        <v/>
      </c>
      <c r="Y420">
        <f>IFS(M420&gt;=0.15,"Deep Discount",M420&gt;=0.1,"Moderate",TRUE,"Standard")</f>
        <v/>
      </c>
    </row>
    <row r="421">
      <c r="A421">
        <f>Raw_Data!A421</f>
        <v/>
      </c>
      <c r="B421" s="29">
        <f>Raw_Data!B421</f>
        <v/>
      </c>
      <c r="C421">
        <f>YEAR(B421)</f>
        <v/>
      </c>
      <c r="D421">
        <f>MONTH(B421)</f>
        <v/>
      </c>
      <c r="E421">
        <f>TEXT(B421,"MMM-YYYY")</f>
        <v/>
      </c>
      <c r="F421">
        <f>Raw_Data!C421</f>
        <v/>
      </c>
      <c r="G421">
        <f>Raw_Data!D421</f>
        <v/>
      </c>
      <c r="H421">
        <f>Raw_Data!E421</f>
        <v/>
      </c>
      <c r="I421">
        <f>Raw_Data!F421</f>
        <v/>
      </c>
      <c r="J421">
        <f>Raw_Data!G421</f>
        <v/>
      </c>
      <c r="K421">
        <f>Raw_Data!H421</f>
        <v/>
      </c>
      <c r="L421" s="30">
        <f>Raw_Data!I421</f>
        <v/>
      </c>
      <c r="M421" s="31">
        <f>Raw_Data!J421</f>
        <v/>
      </c>
      <c r="N421" s="17">
        <f>K421*L421</f>
        <v/>
      </c>
      <c r="O421" s="17">
        <f>N421*(1-M421)</f>
        <v/>
      </c>
      <c r="P421" s="17">
        <f>Raw_Data!L421</f>
        <v/>
      </c>
      <c r="Q421" s="17">
        <f>O421-P421</f>
        <v/>
      </c>
      <c r="R421" s="31">
        <f>IF(O421=0,0,Q421/O421)</f>
        <v/>
      </c>
      <c r="S421">
        <f>XLOOKUP(F421,Lookups!$B$7:$B$11,Lookups!$C$7:$C$11,"Unknown")</f>
        <v/>
      </c>
      <c r="T421" s="31">
        <f>XLOOKUP(G421,Lookups!$E$7:$E$11,Lookups!$F$7:$F$11,0)</f>
        <v/>
      </c>
      <c r="U421" s="32">
        <f>R421-T421</f>
        <v/>
      </c>
      <c r="V421">
        <f>XLOOKUP(I421,Lookups!$H$7:$H$10,Lookups!$I$7:$I$10,"")</f>
        <v/>
      </c>
      <c r="W421">
        <f>IF(O421&gt;=50000,"HIGH VALUE","")</f>
        <v/>
      </c>
      <c r="X421">
        <f>IF(Q421&lt;0,"LOSS","")</f>
        <v/>
      </c>
      <c r="Y421">
        <f>IFS(M421&gt;=0.15,"Deep Discount",M421&gt;=0.1,"Moderate",TRUE,"Standard")</f>
        <v/>
      </c>
    </row>
    <row r="422">
      <c r="A422">
        <f>Raw_Data!A422</f>
        <v/>
      </c>
      <c r="B422" s="29">
        <f>Raw_Data!B422</f>
        <v/>
      </c>
      <c r="C422">
        <f>YEAR(B422)</f>
        <v/>
      </c>
      <c r="D422">
        <f>MONTH(B422)</f>
        <v/>
      </c>
      <c r="E422">
        <f>TEXT(B422,"MMM-YYYY")</f>
        <v/>
      </c>
      <c r="F422">
        <f>Raw_Data!C422</f>
        <v/>
      </c>
      <c r="G422">
        <f>Raw_Data!D422</f>
        <v/>
      </c>
      <c r="H422">
        <f>Raw_Data!E422</f>
        <v/>
      </c>
      <c r="I422">
        <f>Raw_Data!F422</f>
        <v/>
      </c>
      <c r="J422">
        <f>Raw_Data!G422</f>
        <v/>
      </c>
      <c r="K422">
        <f>Raw_Data!H422</f>
        <v/>
      </c>
      <c r="L422" s="30">
        <f>Raw_Data!I422</f>
        <v/>
      </c>
      <c r="M422" s="31">
        <f>Raw_Data!J422</f>
        <v/>
      </c>
      <c r="N422" s="17">
        <f>K422*L422</f>
        <v/>
      </c>
      <c r="O422" s="17">
        <f>N422*(1-M422)</f>
        <v/>
      </c>
      <c r="P422" s="17">
        <f>Raw_Data!L422</f>
        <v/>
      </c>
      <c r="Q422" s="17">
        <f>O422-P422</f>
        <v/>
      </c>
      <c r="R422" s="31">
        <f>IF(O422=0,0,Q422/O422)</f>
        <v/>
      </c>
      <c r="S422">
        <f>XLOOKUP(F422,Lookups!$B$7:$B$11,Lookups!$C$7:$C$11,"Unknown")</f>
        <v/>
      </c>
      <c r="T422" s="31">
        <f>XLOOKUP(G422,Lookups!$E$7:$E$11,Lookups!$F$7:$F$11,0)</f>
        <v/>
      </c>
      <c r="U422" s="32">
        <f>R422-T422</f>
        <v/>
      </c>
      <c r="V422">
        <f>XLOOKUP(I422,Lookups!$H$7:$H$10,Lookups!$I$7:$I$10,"")</f>
        <v/>
      </c>
      <c r="W422">
        <f>IF(O422&gt;=50000,"HIGH VALUE","")</f>
        <v/>
      </c>
      <c r="X422">
        <f>IF(Q422&lt;0,"LOSS","")</f>
        <v/>
      </c>
      <c r="Y422">
        <f>IFS(M422&gt;=0.15,"Deep Discount",M422&gt;=0.1,"Moderate",TRUE,"Standard")</f>
        <v/>
      </c>
    </row>
    <row r="423">
      <c r="A423">
        <f>Raw_Data!A423</f>
        <v/>
      </c>
      <c r="B423" s="29">
        <f>Raw_Data!B423</f>
        <v/>
      </c>
      <c r="C423">
        <f>YEAR(B423)</f>
        <v/>
      </c>
      <c r="D423">
        <f>MONTH(B423)</f>
        <v/>
      </c>
      <c r="E423">
        <f>TEXT(B423,"MMM-YYYY")</f>
        <v/>
      </c>
      <c r="F423">
        <f>Raw_Data!C423</f>
        <v/>
      </c>
      <c r="G423">
        <f>Raw_Data!D423</f>
        <v/>
      </c>
      <c r="H423">
        <f>Raw_Data!E423</f>
        <v/>
      </c>
      <c r="I423">
        <f>Raw_Data!F423</f>
        <v/>
      </c>
      <c r="J423">
        <f>Raw_Data!G423</f>
        <v/>
      </c>
      <c r="K423">
        <f>Raw_Data!H423</f>
        <v/>
      </c>
      <c r="L423" s="30">
        <f>Raw_Data!I423</f>
        <v/>
      </c>
      <c r="M423" s="31">
        <f>Raw_Data!J423</f>
        <v/>
      </c>
      <c r="N423" s="17">
        <f>K423*L423</f>
        <v/>
      </c>
      <c r="O423" s="17">
        <f>N423*(1-M423)</f>
        <v/>
      </c>
      <c r="P423" s="17">
        <f>Raw_Data!L423</f>
        <v/>
      </c>
      <c r="Q423" s="17">
        <f>O423-P423</f>
        <v/>
      </c>
      <c r="R423" s="31">
        <f>IF(O423=0,0,Q423/O423)</f>
        <v/>
      </c>
      <c r="S423">
        <f>XLOOKUP(F423,Lookups!$B$7:$B$11,Lookups!$C$7:$C$11,"Unknown")</f>
        <v/>
      </c>
      <c r="T423" s="31">
        <f>XLOOKUP(G423,Lookups!$E$7:$E$11,Lookups!$F$7:$F$11,0)</f>
        <v/>
      </c>
      <c r="U423" s="32">
        <f>R423-T423</f>
        <v/>
      </c>
      <c r="V423">
        <f>XLOOKUP(I423,Lookups!$H$7:$H$10,Lookups!$I$7:$I$10,"")</f>
        <v/>
      </c>
      <c r="W423">
        <f>IF(O423&gt;=50000,"HIGH VALUE","")</f>
        <v/>
      </c>
      <c r="X423">
        <f>IF(Q423&lt;0,"LOSS","")</f>
        <v/>
      </c>
      <c r="Y423">
        <f>IFS(M423&gt;=0.15,"Deep Discount",M423&gt;=0.1,"Moderate",TRUE,"Standard")</f>
        <v/>
      </c>
    </row>
    <row r="424">
      <c r="A424">
        <f>Raw_Data!A424</f>
        <v/>
      </c>
      <c r="B424" s="29">
        <f>Raw_Data!B424</f>
        <v/>
      </c>
      <c r="C424">
        <f>YEAR(B424)</f>
        <v/>
      </c>
      <c r="D424">
        <f>MONTH(B424)</f>
        <v/>
      </c>
      <c r="E424">
        <f>TEXT(B424,"MMM-YYYY")</f>
        <v/>
      </c>
      <c r="F424">
        <f>Raw_Data!C424</f>
        <v/>
      </c>
      <c r="G424">
        <f>Raw_Data!D424</f>
        <v/>
      </c>
      <c r="H424">
        <f>Raw_Data!E424</f>
        <v/>
      </c>
      <c r="I424">
        <f>Raw_Data!F424</f>
        <v/>
      </c>
      <c r="J424">
        <f>Raw_Data!G424</f>
        <v/>
      </c>
      <c r="K424">
        <f>Raw_Data!H424</f>
        <v/>
      </c>
      <c r="L424" s="30">
        <f>Raw_Data!I424</f>
        <v/>
      </c>
      <c r="M424" s="31">
        <f>Raw_Data!J424</f>
        <v/>
      </c>
      <c r="N424" s="17">
        <f>K424*L424</f>
        <v/>
      </c>
      <c r="O424" s="17">
        <f>N424*(1-M424)</f>
        <v/>
      </c>
      <c r="P424" s="17">
        <f>Raw_Data!L424</f>
        <v/>
      </c>
      <c r="Q424" s="17">
        <f>O424-P424</f>
        <v/>
      </c>
      <c r="R424" s="31">
        <f>IF(O424=0,0,Q424/O424)</f>
        <v/>
      </c>
      <c r="S424">
        <f>XLOOKUP(F424,Lookups!$B$7:$B$11,Lookups!$C$7:$C$11,"Unknown")</f>
        <v/>
      </c>
      <c r="T424" s="31">
        <f>XLOOKUP(G424,Lookups!$E$7:$E$11,Lookups!$F$7:$F$11,0)</f>
        <v/>
      </c>
      <c r="U424" s="32">
        <f>R424-T424</f>
        <v/>
      </c>
      <c r="V424">
        <f>XLOOKUP(I424,Lookups!$H$7:$H$10,Lookups!$I$7:$I$10,"")</f>
        <v/>
      </c>
      <c r="W424">
        <f>IF(O424&gt;=50000,"HIGH VALUE","")</f>
        <v/>
      </c>
      <c r="X424">
        <f>IF(Q424&lt;0,"LOSS","")</f>
        <v/>
      </c>
      <c r="Y424">
        <f>IFS(M424&gt;=0.15,"Deep Discount",M424&gt;=0.1,"Moderate",TRUE,"Standard")</f>
        <v/>
      </c>
    </row>
    <row r="425">
      <c r="A425">
        <f>Raw_Data!A425</f>
        <v/>
      </c>
      <c r="B425" s="29">
        <f>Raw_Data!B425</f>
        <v/>
      </c>
      <c r="C425">
        <f>YEAR(B425)</f>
        <v/>
      </c>
      <c r="D425">
        <f>MONTH(B425)</f>
        <v/>
      </c>
      <c r="E425">
        <f>TEXT(B425,"MMM-YYYY")</f>
        <v/>
      </c>
      <c r="F425">
        <f>Raw_Data!C425</f>
        <v/>
      </c>
      <c r="G425">
        <f>Raw_Data!D425</f>
        <v/>
      </c>
      <c r="H425">
        <f>Raw_Data!E425</f>
        <v/>
      </c>
      <c r="I425">
        <f>Raw_Data!F425</f>
        <v/>
      </c>
      <c r="J425">
        <f>Raw_Data!G425</f>
        <v/>
      </c>
      <c r="K425">
        <f>Raw_Data!H425</f>
        <v/>
      </c>
      <c r="L425" s="30">
        <f>Raw_Data!I425</f>
        <v/>
      </c>
      <c r="M425" s="31">
        <f>Raw_Data!J425</f>
        <v/>
      </c>
      <c r="N425" s="17">
        <f>K425*L425</f>
        <v/>
      </c>
      <c r="O425" s="17">
        <f>N425*(1-M425)</f>
        <v/>
      </c>
      <c r="P425" s="17">
        <f>Raw_Data!L425</f>
        <v/>
      </c>
      <c r="Q425" s="17">
        <f>O425-P425</f>
        <v/>
      </c>
      <c r="R425" s="31">
        <f>IF(O425=0,0,Q425/O425)</f>
        <v/>
      </c>
      <c r="S425">
        <f>XLOOKUP(F425,Lookups!$B$7:$B$11,Lookups!$C$7:$C$11,"Unknown")</f>
        <v/>
      </c>
      <c r="T425" s="31">
        <f>XLOOKUP(G425,Lookups!$E$7:$E$11,Lookups!$F$7:$F$11,0)</f>
        <v/>
      </c>
      <c r="U425" s="32">
        <f>R425-T425</f>
        <v/>
      </c>
      <c r="V425">
        <f>XLOOKUP(I425,Lookups!$H$7:$H$10,Lookups!$I$7:$I$10,"")</f>
        <v/>
      </c>
      <c r="W425">
        <f>IF(O425&gt;=50000,"HIGH VALUE","")</f>
        <v/>
      </c>
      <c r="X425">
        <f>IF(Q425&lt;0,"LOSS","")</f>
        <v/>
      </c>
      <c r="Y425">
        <f>IFS(M425&gt;=0.15,"Deep Discount",M425&gt;=0.1,"Moderate",TRUE,"Standard")</f>
        <v/>
      </c>
    </row>
    <row r="426">
      <c r="A426">
        <f>Raw_Data!A426</f>
        <v/>
      </c>
      <c r="B426" s="29">
        <f>Raw_Data!B426</f>
        <v/>
      </c>
      <c r="C426">
        <f>YEAR(B426)</f>
        <v/>
      </c>
      <c r="D426">
        <f>MONTH(B426)</f>
        <v/>
      </c>
      <c r="E426">
        <f>TEXT(B426,"MMM-YYYY")</f>
        <v/>
      </c>
      <c r="F426">
        <f>Raw_Data!C426</f>
        <v/>
      </c>
      <c r="G426">
        <f>Raw_Data!D426</f>
        <v/>
      </c>
      <c r="H426">
        <f>Raw_Data!E426</f>
        <v/>
      </c>
      <c r="I426">
        <f>Raw_Data!F426</f>
        <v/>
      </c>
      <c r="J426">
        <f>Raw_Data!G426</f>
        <v/>
      </c>
      <c r="K426">
        <f>Raw_Data!H426</f>
        <v/>
      </c>
      <c r="L426" s="30">
        <f>Raw_Data!I426</f>
        <v/>
      </c>
      <c r="M426" s="31">
        <f>Raw_Data!J426</f>
        <v/>
      </c>
      <c r="N426" s="17">
        <f>K426*L426</f>
        <v/>
      </c>
      <c r="O426" s="17">
        <f>N426*(1-M426)</f>
        <v/>
      </c>
      <c r="P426" s="17">
        <f>Raw_Data!L426</f>
        <v/>
      </c>
      <c r="Q426" s="17">
        <f>O426-P426</f>
        <v/>
      </c>
      <c r="R426" s="31">
        <f>IF(O426=0,0,Q426/O426)</f>
        <v/>
      </c>
      <c r="S426">
        <f>XLOOKUP(F426,Lookups!$B$7:$B$11,Lookups!$C$7:$C$11,"Unknown")</f>
        <v/>
      </c>
      <c r="T426" s="31">
        <f>XLOOKUP(G426,Lookups!$E$7:$E$11,Lookups!$F$7:$F$11,0)</f>
        <v/>
      </c>
      <c r="U426" s="32">
        <f>R426-T426</f>
        <v/>
      </c>
      <c r="V426">
        <f>XLOOKUP(I426,Lookups!$H$7:$H$10,Lookups!$I$7:$I$10,"")</f>
        <v/>
      </c>
      <c r="W426">
        <f>IF(O426&gt;=50000,"HIGH VALUE","")</f>
        <v/>
      </c>
      <c r="X426">
        <f>IF(Q426&lt;0,"LOSS","")</f>
        <v/>
      </c>
      <c r="Y426">
        <f>IFS(M426&gt;=0.15,"Deep Discount",M426&gt;=0.1,"Moderate",TRUE,"Standard")</f>
        <v/>
      </c>
    </row>
    <row r="427">
      <c r="A427">
        <f>Raw_Data!A427</f>
        <v/>
      </c>
      <c r="B427" s="29">
        <f>Raw_Data!B427</f>
        <v/>
      </c>
      <c r="C427">
        <f>YEAR(B427)</f>
        <v/>
      </c>
      <c r="D427">
        <f>MONTH(B427)</f>
        <v/>
      </c>
      <c r="E427">
        <f>TEXT(B427,"MMM-YYYY")</f>
        <v/>
      </c>
      <c r="F427">
        <f>Raw_Data!C427</f>
        <v/>
      </c>
      <c r="G427">
        <f>Raw_Data!D427</f>
        <v/>
      </c>
      <c r="H427">
        <f>Raw_Data!E427</f>
        <v/>
      </c>
      <c r="I427">
        <f>Raw_Data!F427</f>
        <v/>
      </c>
      <c r="J427">
        <f>Raw_Data!G427</f>
        <v/>
      </c>
      <c r="K427">
        <f>Raw_Data!H427</f>
        <v/>
      </c>
      <c r="L427" s="30">
        <f>Raw_Data!I427</f>
        <v/>
      </c>
      <c r="M427" s="31">
        <f>Raw_Data!J427</f>
        <v/>
      </c>
      <c r="N427" s="17">
        <f>K427*L427</f>
        <v/>
      </c>
      <c r="O427" s="17">
        <f>N427*(1-M427)</f>
        <v/>
      </c>
      <c r="P427" s="17">
        <f>Raw_Data!L427</f>
        <v/>
      </c>
      <c r="Q427" s="17">
        <f>O427-P427</f>
        <v/>
      </c>
      <c r="R427" s="31">
        <f>IF(O427=0,0,Q427/O427)</f>
        <v/>
      </c>
      <c r="S427">
        <f>XLOOKUP(F427,Lookups!$B$7:$B$11,Lookups!$C$7:$C$11,"Unknown")</f>
        <v/>
      </c>
      <c r="T427" s="31">
        <f>XLOOKUP(G427,Lookups!$E$7:$E$11,Lookups!$F$7:$F$11,0)</f>
        <v/>
      </c>
      <c r="U427" s="32">
        <f>R427-T427</f>
        <v/>
      </c>
      <c r="V427">
        <f>XLOOKUP(I427,Lookups!$H$7:$H$10,Lookups!$I$7:$I$10,"")</f>
        <v/>
      </c>
      <c r="W427">
        <f>IF(O427&gt;=50000,"HIGH VALUE","")</f>
        <v/>
      </c>
      <c r="X427">
        <f>IF(Q427&lt;0,"LOSS","")</f>
        <v/>
      </c>
      <c r="Y427">
        <f>IFS(M427&gt;=0.15,"Deep Discount",M427&gt;=0.1,"Moderate",TRUE,"Standard")</f>
        <v/>
      </c>
    </row>
    <row r="428">
      <c r="A428">
        <f>Raw_Data!A428</f>
        <v/>
      </c>
      <c r="B428" s="29">
        <f>Raw_Data!B428</f>
        <v/>
      </c>
      <c r="C428">
        <f>YEAR(B428)</f>
        <v/>
      </c>
      <c r="D428">
        <f>MONTH(B428)</f>
        <v/>
      </c>
      <c r="E428">
        <f>TEXT(B428,"MMM-YYYY")</f>
        <v/>
      </c>
      <c r="F428">
        <f>Raw_Data!C428</f>
        <v/>
      </c>
      <c r="G428">
        <f>Raw_Data!D428</f>
        <v/>
      </c>
      <c r="H428">
        <f>Raw_Data!E428</f>
        <v/>
      </c>
      <c r="I428">
        <f>Raw_Data!F428</f>
        <v/>
      </c>
      <c r="J428">
        <f>Raw_Data!G428</f>
        <v/>
      </c>
      <c r="K428">
        <f>Raw_Data!H428</f>
        <v/>
      </c>
      <c r="L428" s="30">
        <f>Raw_Data!I428</f>
        <v/>
      </c>
      <c r="M428" s="31">
        <f>Raw_Data!J428</f>
        <v/>
      </c>
      <c r="N428" s="17">
        <f>K428*L428</f>
        <v/>
      </c>
      <c r="O428" s="17">
        <f>N428*(1-M428)</f>
        <v/>
      </c>
      <c r="P428" s="17">
        <f>Raw_Data!L428</f>
        <v/>
      </c>
      <c r="Q428" s="17">
        <f>O428-P428</f>
        <v/>
      </c>
      <c r="R428" s="31">
        <f>IF(O428=0,0,Q428/O428)</f>
        <v/>
      </c>
      <c r="S428">
        <f>XLOOKUP(F428,Lookups!$B$7:$B$11,Lookups!$C$7:$C$11,"Unknown")</f>
        <v/>
      </c>
      <c r="T428" s="31">
        <f>XLOOKUP(G428,Lookups!$E$7:$E$11,Lookups!$F$7:$F$11,0)</f>
        <v/>
      </c>
      <c r="U428" s="32">
        <f>R428-T428</f>
        <v/>
      </c>
      <c r="V428">
        <f>XLOOKUP(I428,Lookups!$H$7:$H$10,Lookups!$I$7:$I$10,"")</f>
        <v/>
      </c>
      <c r="W428">
        <f>IF(O428&gt;=50000,"HIGH VALUE","")</f>
        <v/>
      </c>
      <c r="X428">
        <f>IF(Q428&lt;0,"LOSS","")</f>
        <v/>
      </c>
      <c r="Y428">
        <f>IFS(M428&gt;=0.15,"Deep Discount",M428&gt;=0.1,"Moderate",TRUE,"Standard")</f>
        <v/>
      </c>
    </row>
    <row r="429">
      <c r="A429">
        <f>Raw_Data!A429</f>
        <v/>
      </c>
      <c r="B429" s="29">
        <f>Raw_Data!B429</f>
        <v/>
      </c>
      <c r="C429">
        <f>YEAR(B429)</f>
        <v/>
      </c>
      <c r="D429">
        <f>MONTH(B429)</f>
        <v/>
      </c>
      <c r="E429">
        <f>TEXT(B429,"MMM-YYYY")</f>
        <v/>
      </c>
      <c r="F429">
        <f>Raw_Data!C429</f>
        <v/>
      </c>
      <c r="G429">
        <f>Raw_Data!D429</f>
        <v/>
      </c>
      <c r="H429">
        <f>Raw_Data!E429</f>
        <v/>
      </c>
      <c r="I429">
        <f>Raw_Data!F429</f>
        <v/>
      </c>
      <c r="J429">
        <f>Raw_Data!G429</f>
        <v/>
      </c>
      <c r="K429">
        <f>Raw_Data!H429</f>
        <v/>
      </c>
      <c r="L429" s="30">
        <f>Raw_Data!I429</f>
        <v/>
      </c>
      <c r="M429" s="31">
        <f>Raw_Data!J429</f>
        <v/>
      </c>
      <c r="N429" s="17">
        <f>K429*L429</f>
        <v/>
      </c>
      <c r="O429" s="17">
        <f>N429*(1-M429)</f>
        <v/>
      </c>
      <c r="P429" s="17">
        <f>Raw_Data!L429</f>
        <v/>
      </c>
      <c r="Q429" s="17">
        <f>O429-P429</f>
        <v/>
      </c>
      <c r="R429" s="31">
        <f>IF(O429=0,0,Q429/O429)</f>
        <v/>
      </c>
      <c r="S429">
        <f>XLOOKUP(F429,Lookups!$B$7:$B$11,Lookups!$C$7:$C$11,"Unknown")</f>
        <v/>
      </c>
      <c r="T429" s="31">
        <f>XLOOKUP(G429,Lookups!$E$7:$E$11,Lookups!$F$7:$F$11,0)</f>
        <v/>
      </c>
      <c r="U429" s="32">
        <f>R429-T429</f>
        <v/>
      </c>
      <c r="V429">
        <f>XLOOKUP(I429,Lookups!$H$7:$H$10,Lookups!$I$7:$I$10,"")</f>
        <v/>
      </c>
      <c r="W429">
        <f>IF(O429&gt;=50000,"HIGH VALUE","")</f>
        <v/>
      </c>
      <c r="X429">
        <f>IF(Q429&lt;0,"LOSS","")</f>
        <v/>
      </c>
      <c r="Y429">
        <f>IFS(M429&gt;=0.15,"Deep Discount",M429&gt;=0.1,"Moderate",TRUE,"Standard")</f>
        <v/>
      </c>
    </row>
    <row r="430">
      <c r="A430">
        <f>Raw_Data!A430</f>
        <v/>
      </c>
      <c r="B430" s="29">
        <f>Raw_Data!B430</f>
        <v/>
      </c>
      <c r="C430">
        <f>YEAR(B430)</f>
        <v/>
      </c>
      <c r="D430">
        <f>MONTH(B430)</f>
        <v/>
      </c>
      <c r="E430">
        <f>TEXT(B430,"MMM-YYYY")</f>
        <v/>
      </c>
      <c r="F430">
        <f>Raw_Data!C430</f>
        <v/>
      </c>
      <c r="G430">
        <f>Raw_Data!D430</f>
        <v/>
      </c>
      <c r="H430">
        <f>Raw_Data!E430</f>
        <v/>
      </c>
      <c r="I430">
        <f>Raw_Data!F430</f>
        <v/>
      </c>
      <c r="J430">
        <f>Raw_Data!G430</f>
        <v/>
      </c>
      <c r="K430">
        <f>Raw_Data!H430</f>
        <v/>
      </c>
      <c r="L430" s="30">
        <f>Raw_Data!I430</f>
        <v/>
      </c>
      <c r="M430" s="31">
        <f>Raw_Data!J430</f>
        <v/>
      </c>
      <c r="N430" s="17">
        <f>K430*L430</f>
        <v/>
      </c>
      <c r="O430" s="17">
        <f>N430*(1-M430)</f>
        <v/>
      </c>
      <c r="P430" s="17">
        <f>Raw_Data!L430</f>
        <v/>
      </c>
      <c r="Q430" s="17">
        <f>O430-P430</f>
        <v/>
      </c>
      <c r="R430" s="31">
        <f>IF(O430=0,0,Q430/O430)</f>
        <v/>
      </c>
      <c r="S430">
        <f>XLOOKUP(F430,Lookups!$B$7:$B$11,Lookups!$C$7:$C$11,"Unknown")</f>
        <v/>
      </c>
      <c r="T430" s="31">
        <f>XLOOKUP(G430,Lookups!$E$7:$E$11,Lookups!$F$7:$F$11,0)</f>
        <v/>
      </c>
      <c r="U430" s="32">
        <f>R430-T430</f>
        <v/>
      </c>
      <c r="V430">
        <f>XLOOKUP(I430,Lookups!$H$7:$H$10,Lookups!$I$7:$I$10,"")</f>
        <v/>
      </c>
      <c r="W430">
        <f>IF(O430&gt;=50000,"HIGH VALUE","")</f>
        <v/>
      </c>
      <c r="X430">
        <f>IF(Q430&lt;0,"LOSS","")</f>
        <v/>
      </c>
      <c r="Y430">
        <f>IFS(M430&gt;=0.15,"Deep Discount",M430&gt;=0.1,"Moderate",TRUE,"Standard")</f>
        <v/>
      </c>
    </row>
    <row r="431">
      <c r="A431">
        <f>Raw_Data!A431</f>
        <v/>
      </c>
      <c r="B431" s="29">
        <f>Raw_Data!B431</f>
        <v/>
      </c>
      <c r="C431">
        <f>YEAR(B431)</f>
        <v/>
      </c>
      <c r="D431">
        <f>MONTH(B431)</f>
        <v/>
      </c>
      <c r="E431">
        <f>TEXT(B431,"MMM-YYYY")</f>
        <v/>
      </c>
      <c r="F431">
        <f>Raw_Data!C431</f>
        <v/>
      </c>
      <c r="G431">
        <f>Raw_Data!D431</f>
        <v/>
      </c>
      <c r="H431">
        <f>Raw_Data!E431</f>
        <v/>
      </c>
      <c r="I431">
        <f>Raw_Data!F431</f>
        <v/>
      </c>
      <c r="J431">
        <f>Raw_Data!G431</f>
        <v/>
      </c>
      <c r="K431">
        <f>Raw_Data!H431</f>
        <v/>
      </c>
      <c r="L431" s="30">
        <f>Raw_Data!I431</f>
        <v/>
      </c>
      <c r="M431" s="31">
        <f>Raw_Data!J431</f>
        <v/>
      </c>
      <c r="N431" s="17">
        <f>K431*L431</f>
        <v/>
      </c>
      <c r="O431" s="17">
        <f>N431*(1-M431)</f>
        <v/>
      </c>
      <c r="P431" s="17">
        <f>Raw_Data!L431</f>
        <v/>
      </c>
      <c r="Q431" s="17">
        <f>O431-P431</f>
        <v/>
      </c>
      <c r="R431" s="31">
        <f>IF(O431=0,0,Q431/O431)</f>
        <v/>
      </c>
      <c r="S431">
        <f>XLOOKUP(F431,Lookups!$B$7:$B$11,Lookups!$C$7:$C$11,"Unknown")</f>
        <v/>
      </c>
      <c r="T431" s="31">
        <f>XLOOKUP(G431,Lookups!$E$7:$E$11,Lookups!$F$7:$F$11,0)</f>
        <v/>
      </c>
      <c r="U431" s="32">
        <f>R431-T431</f>
        <v/>
      </c>
      <c r="V431">
        <f>XLOOKUP(I431,Lookups!$H$7:$H$10,Lookups!$I$7:$I$10,"")</f>
        <v/>
      </c>
      <c r="W431">
        <f>IF(O431&gt;=50000,"HIGH VALUE","")</f>
        <v/>
      </c>
      <c r="X431">
        <f>IF(Q431&lt;0,"LOSS","")</f>
        <v/>
      </c>
      <c r="Y431">
        <f>IFS(M431&gt;=0.15,"Deep Discount",M431&gt;=0.1,"Moderate",TRUE,"Standard")</f>
        <v/>
      </c>
    </row>
    <row r="432">
      <c r="A432">
        <f>Raw_Data!A432</f>
        <v/>
      </c>
      <c r="B432" s="29">
        <f>Raw_Data!B432</f>
        <v/>
      </c>
      <c r="C432">
        <f>YEAR(B432)</f>
        <v/>
      </c>
      <c r="D432">
        <f>MONTH(B432)</f>
        <v/>
      </c>
      <c r="E432">
        <f>TEXT(B432,"MMM-YYYY")</f>
        <v/>
      </c>
      <c r="F432">
        <f>Raw_Data!C432</f>
        <v/>
      </c>
      <c r="G432">
        <f>Raw_Data!D432</f>
        <v/>
      </c>
      <c r="H432">
        <f>Raw_Data!E432</f>
        <v/>
      </c>
      <c r="I432">
        <f>Raw_Data!F432</f>
        <v/>
      </c>
      <c r="J432">
        <f>Raw_Data!G432</f>
        <v/>
      </c>
      <c r="K432">
        <f>Raw_Data!H432</f>
        <v/>
      </c>
      <c r="L432" s="30">
        <f>Raw_Data!I432</f>
        <v/>
      </c>
      <c r="M432" s="31">
        <f>Raw_Data!J432</f>
        <v/>
      </c>
      <c r="N432" s="17">
        <f>K432*L432</f>
        <v/>
      </c>
      <c r="O432" s="17">
        <f>N432*(1-M432)</f>
        <v/>
      </c>
      <c r="P432" s="17">
        <f>Raw_Data!L432</f>
        <v/>
      </c>
      <c r="Q432" s="17">
        <f>O432-P432</f>
        <v/>
      </c>
      <c r="R432" s="31">
        <f>IF(O432=0,0,Q432/O432)</f>
        <v/>
      </c>
      <c r="S432">
        <f>XLOOKUP(F432,Lookups!$B$7:$B$11,Lookups!$C$7:$C$11,"Unknown")</f>
        <v/>
      </c>
      <c r="T432" s="31">
        <f>XLOOKUP(G432,Lookups!$E$7:$E$11,Lookups!$F$7:$F$11,0)</f>
        <v/>
      </c>
      <c r="U432" s="32">
        <f>R432-T432</f>
        <v/>
      </c>
      <c r="V432">
        <f>XLOOKUP(I432,Lookups!$H$7:$H$10,Lookups!$I$7:$I$10,"")</f>
        <v/>
      </c>
      <c r="W432">
        <f>IF(O432&gt;=50000,"HIGH VALUE","")</f>
        <v/>
      </c>
      <c r="X432">
        <f>IF(Q432&lt;0,"LOSS","")</f>
        <v/>
      </c>
      <c r="Y432">
        <f>IFS(M432&gt;=0.15,"Deep Discount",M432&gt;=0.1,"Moderate",TRUE,"Standard")</f>
        <v/>
      </c>
    </row>
    <row r="433">
      <c r="A433">
        <f>Raw_Data!A433</f>
        <v/>
      </c>
      <c r="B433" s="29">
        <f>Raw_Data!B433</f>
        <v/>
      </c>
      <c r="C433">
        <f>YEAR(B433)</f>
        <v/>
      </c>
      <c r="D433">
        <f>MONTH(B433)</f>
        <v/>
      </c>
      <c r="E433">
        <f>TEXT(B433,"MMM-YYYY")</f>
        <v/>
      </c>
      <c r="F433">
        <f>Raw_Data!C433</f>
        <v/>
      </c>
      <c r="G433">
        <f>Raw_Data!D433</f>
        <v/>
      </c>
      <c r="H433">
        <f>Raw_Data!E433</f>
        <v/>
      </c>
      <c r="I433">
        <f>Raw_Data!F433</f>
        <v/>
      </c>
      <c r="J433">
        <f>Raw_Data!G433</f>
        <v/>
      </c>
      <c r="K433">
        <f>Raw_Data!H433</f>
        <v/>
      </c>
      <c r="L433" s="30">
        <f>Raw_Data!I433</f>
        <v/>
      </c>
      <c r="M433" s="31">
        <f>Raw_Data!J433</f>
        <v/>
      </c>
      <c r="N433" s="17">
        <f>K433*L433</f>
        <v/>
      </c>
      <c r="O433" s="17">
        <f>N433*(1-M433)</f>
        <v/>
      </c>
      <c r="P433" s="17">
        <f>Raw_Data!L433</f>
        <v/>
      </c>
      <c r="Q433" s="17">
        <f>O433-P433</f>
        <v/>
      </c>
      <c r="R433" s="31">
        <f>IF(O433=0,0,Q433/O433)</f>
        <v/>
      </c>
      <c r="S433">
        <f>XLOOKUP(F433,Lookups!$B$7:$B$11,Lookups!$C$7:$C$11,"Unknown")</f>
        <v/>
      </c>
      <c r="T433" s="31">
        <f>XLOOKUP(G433,Lookups!$E$7:$E$11,Lookups!$F$7:$F$11,0)</f>
        <v/>
      </c>
      <c r="U433" s="32">
        <f>R433-T433</f>
        <v/>
      </c>
      <c r="V433">
        <f>XLOOKUP(I433,Lookups!$H$7:$H$10,Lookups!$I$7:$I$10,"")</f>
        <v/>
      </c>
      <c r="W433">
        <f>IF(O433&gt;=50000,"HIGH VALUE","")</f>
        <v/>
      </c>
      <c r="X433">
        <f>IF(Q433&lt;0,"LOSS","")</f>
        <v/>
      </c>
      <c r="Y433">
        <f>IFS(M433&gt;=0.15,"Deep Discount",M433&gt;=0.1,"Moderate",TRUE,"Standard")</f>
        <v/>
      </c>
    </row>
    <row r="434">
      <c r="A434">
        <f>Raw_Data!A434</f>
        <v/>
      </c>
      <c r="B434" s="29">
        <f>Raw_Data!B434</f>
        <v/>
      </c>
      <c r="C434">
        <f>YEAR(B434)</f>
        <v/>
      </c>
      <c r="D434">
        <f>MONTH(B434)</f>
        <v/>
      </c>
      <c r="E434">
        <f>TEXT(B434,"MMM-YYYY")</f>
        <v/>
      </c>
      <c r="F434">
        <f>Raw_Data!C434</f>
        <v/>
      </c>
      <c r="G434">
        <f>Raw_Data!D434</f>
        <v/>
      </c>
      <c r="H434">
        <f>Raw_Data!E434</f>
        <v/>
      </c>
      <c r="I434">
        <f>Raw_Data!F434</f>
        <v/>
      </c>
      <c r="J434">
        <f>Raw_Data!G434</f>
        <v/>
      </c>
      <c r="K434">
        <f>Raw_Data!H434</f>
        <v/>
      </c>
      <c r="L434" s="30">
        <f>Raw_Data!I434</f>
        <v/>
      </c>
      <c r="M434" s="31">
        <f>Raw_Data!J434</f>
        <v/>
      </c>
      <c r="N434" s="17">
        <f>K434*L434</f>
        <v/>
      </c>
      <c r="O434" s="17">
        <f>N434*(1-M434)</f>
        <v/>
      </c>
      <c r="P434" s="17">
        <f>Raw_Data!L434</f>
        <v/>
      </c>
      <c r="Q434" s="17">
        <f>O434-P434</f>
        <v/>
      </c>
      <c r="R434" s="31">
        <f>IF(O434=0,0,Q434/O434)</f>
        <v/>
      </c>
      <c r="S434">
        <f>XLOOKUP(F434,Lookups!$B$7:$B$11,Lookups!$C$7:$C$11,"Unknown")</f>
        <v/>
      </c>
      <c r="T434" s="31">
        <f>XLOOKUP(G434,Lookups!$E$7:$E$11,Lookups!$F$7:$F$11,0)</f>
        <v/>
      </c>
      <c r="U434" s="32">
        <f>R434-T434</f>
        <v/>
      </c>
      <c r="V434">
        <f>XLOOKUP(I434,Lookups!$H$7:$H$10,Lookups!$I$7:$I$10,"")</f>
        <v/>
      </c>
      <c r="W434">
        <f>IF(O434&gt;=50000,"HIGH VALUE","")</f>
        <v/>
      </c>
      <c r="X434">
        <f>IF(Q434&lt;0,"LOSS","")</f>
        <v/>
      </c>
      <c r="Y434">
        <f>IFS(M434&gt;=0.15,"Deep Discount",M434&gt;=0.1,"Moderate",TRUE,"Standard")</f>
        <v/>
      </c>
    </row>
    <row r="435">
      <c r="A435">
        <f>Raw_Data!A435</f>
        <v/>
      </c>
      <c r="B435" s="29">
        <f>Raw_Data!B435</f>
        <v/>
      </c>
      <c r="C435">
        <f>YEAR(B435)</f>
        <v/>
      </c>
      <c r="D435">
        <f>MONTH(B435)</f>
        <v/>
      </c>
      <c r="E435">
        <f>TEXT(B435,"MMM-YYYY")</f>
        <v/>
      </c>
      <c r="F435">
        <f>Raw_Data!C435</f>
        <v/>
      </c>
      <c r="G435">
        <f>Raw_Data!D435</f>
        <v/>
      </c>
      <c r="H435">
        <f>Raw_Data!E435</f>
        <v/>
      </c>
      <c r="I435">
        <f>Raw_Data!F435</f>
        <v/>
      </c>
      <c r="J435">
        <f>Raw_Data!G435</f>
        <v/>
      </c>
      <c r="K435">
        <f>Raw_Data!H435</f>
        <v/>
      </c>
      <c r="L435" s="30">
        <f>Raw_Data!I435</f>
        <v/>
      </c>
      <c r="M435" s="31">
        <f>Raw_Data!J435</f>
        <v/>
      </c>
      <c r="N435" s="17">
        <f>K435*L435</f>
        <v/>
      </c>
      <c r="O435" s="17">
        <f>N435*(1-M435)</f>
        <v/>
      </c>
      <c r="P435" s="17">
        <f>Raw_Data!L435</f>
        <v/>
      </c>
      <c r="Q435" s="17">
        <f>O435-P435</f>
        <v/>
      </c>
      <c r="R435" s="31">
        <f>IF(O435=0,0,Q435/O435)</f>
        <v/>
      </c>
      <c r="S435">
        <f>XLOOKUP(F435,Lookups!$B$7:$B$11,Lookups!$C$7:$C$11,"Unknown")</f>
        <v/>
      </c>
      <c r="T435" s="31">
        <f>XLOOKUP(G435,Lookups!$E$7:$E$11,Lookups!$F$7:$F$11,0)</f>
        <v/>
      </c>
      <c r="U435" s="32">
        <f>R435-T435</f>
        <v/>
      </c>
      <c r="V435">
        <f>XLOOKUP(I435,Lookups!$H$7:$H$10,Lookups!$I$7:$I$10,"")</f>
        <v/>
      </c>
      <c r="W435">
        <f>IF(O435&gt;=50000,"HIGH VALUE","")</f>
        <v/>
      </c>
      <c r="X435">
        <f>IF(Q435&lt;0,"LOSS","")</f>
        <v/>
      </c>
      <c r="Y435">
        <f>IFS(M435&gt;=0.15,"Deep Discount",M435&gt;=0.1,"Moderate",TRUE,"Standard")</f>
        <v/>
      </c>
    </row>
    <row r="436">
      <c r="A436">
        <f>Raw_Data!A436</f>
        <v/>
      </c>
      <c r="B436" s="29">
        <f>Raw_Data!B436</f>
        <v/>
      </c>
      <c r="C436">
        <f>YEAR(B436)</f>
        <v/>
      </c>
      <c r="D436">
        <f>MONTH(B436)</f>
        <v/>
      </c>
      <c r="E436">
        <f>TEXT(B436,"MMM-YYYY")</f>
        <v/>
      </c>
      <c r="F436">
        <f>Raw_Data!C436</f>
        <v/>
      </c>
      <c r="G436">
        <f>Raw_Data!D436</f>
        <v/>
      </c>
      <c r="H436">
        <f>Raw_Data!E436</f>
        <v/>
      </c>
      <c r="I436">
        <f>Raw_Data!F436</f>
        <v/>
      </c>
      <c r="J436">
        <f>Raw_Data!G436</f>
        <v/>
      </c>
      <c r="K436">
        <f>Raw_Data!H436</f>
        <v/>
      </c>
      <c r="L436" s="30">
        <f>Raw_Data!I436</f>
        <v/>
      </c>
      <c r="M436" s="31">
        <f>Raw_Data!J436</f>
        <v/>
      </c>
      <c r="N436" s="17">
        <f>K436*L436</f>
        <v/>
      </c>
      <c r="O436" s="17">
        <f>N436*(1-M436)</f>
        <v/>
      </c>
      <c r="P436" s="17">
        <f>Raw_Data!L436</f>
        <v/>
      </c>
      <c r="Q436" s="17">
        <f>O436-P436</f>
        <v/>
      </c>
      <c r="R436" s="31">
        <f>IF(O436=0,0,Q436/O436)</f>
        <v/>
      </c>
      <c r="S436">
        <f>XLOOKUP(F436,Lookups!$B$7:$B$11,Lookups!$C$7:$C$11,"Unknown")</f>
        <v/>
      </c>
      <c r="T436" s="31">
        <f>XLOOKUP(G436,Lookups!$E$7:$E$11,Lookups!$F$7:$F$11,0)</f>
        <v/>
      </c>
      <c r="U436" s="32">
        <f>R436-T436</f>
        <v/>
      </c>
      <c r="V436">
        <f>XLOOKUP(I436,Lookups!$H$7:$H$10,Lookups!$I$7:$I$10,"")</f>
        <v/>
      </c>
      <c r="W436">
        <f>IF(O436&gt;=50000,"HIGH VALUE","")</f>
        <v/>
      </c>
      <c r="X436">
        <f>IF(Q436&lt;0,"LOSS","")</f>
        <v/>
      </c>
      <c r="Y436">
        <f>IFS(M436&gt;=0.15,"Deep Discount",M436&gt;=0.1,"Moderate",TRUE,"Standard")</f>
        <v/>
      </c>
    </row>
    <row r="437">
      <c r="A437">
        <f>Raw_Data!A437</f>
        <v/>
      </c>
      <c r="B437" s="29">
        <f>Raw_Data!B437</f>
        <v/>
      </c>
      <c r="C437">
        <f>YEAR(B437)</f>
        <v/>
      </c>
      <c r="D437">
        <f>MONTH(B437)</f>
        <v/>
      </c>
      <c r="E437">
        <f>TEXT(B437,"MMM-YYYY")</f>
        <v/>
      </c>
      <c r="F437">
        <f>Raw_Data!C437</f>
        <v/>
      </c>
      <c r="G437">
        <f>Raw_Data!D437</f>
        <v/>
      </c>
      <c r="H437">
        <f>Raw_Data!E437</f>
        <v/>
      </c>
      <c r="I437">
        <f>Raw_Data!F437</f>
        <v/>
      </c>
      <c r="J437">
        <f>Raw_Data!G437</f>
        <v/>
      </c>
      <c r="K437">
        <f>Raw_Data!H437</f>
        <v/>
      </c>
      <c r="L437" s="30">
        <f>Raw_Data!I437</f>
        <v/>
      </c>
      <c r="M437" s="31">
        <f>Raw_Data!J437</f>
        <v/>
      </c>
      <c r="N437" s="17">
        <f>K437*L437</f>
        <v/>
      </c>
      <c r="O437" s="17">
        <f>N437*(1-M437)</f>
        <v/>
      </c>
      <c r="P437" s="17">
        <f>Raw_Data!L437</f>
        <v/>
      </c>
      <c r="Q437" s="17">
        <f>O437-P437</f>
        <v/>
      </c>
      <c r="R437" s="31">
        <f>IF(O437=0,0,Q437/O437)</f>
        <v/>
      </c>
      <c r="S437">
        <f>XLOOKUP(F437,Lookups!$B$7:$B$11,Lookups!$C$7:$C$11,"Unknown")</f>
        <v/>
      </c>
      <c r="T437" s="31">
        <f>XLOOKUP(G437,Lookups!$E$7:$E$11,Lookups!$F$7:$F$11,0)</f>
        <v/>
      </c>
      <c r="U437" s="32">
        <f>R437-T437</f>
        <v/>
      </c>
      <c r="V437">
        <f>XLOOKUP(I437,Lookups!$H$7:$H$10,Lookups!$I$7:$I$10,"")</f>
        <v/>
      </c>
      <c r="W437">
        <f>IF(O437&gt;=50000,"HIGH VALUE","")</f>
        <v/>
      </c>
      <c r="X437">
        <f>IF(Q437&lt;0,"LOSS","")</f>
        <v/>
      </c>
      <c r="Y437">
        <f>IFS(M437&gt;=0.15,"Deep Discount",M437&gt;=0.1,"Moderate",TRUE,"Standard")</f>
        <v/>
      </c>
    </row>
    <row r="438">
      <c r="A438">
        <f>Raw_Data!A438</f>
        <v/>
      </c>
      <c r="B438" s="29">
        <f>Raw_Data!B438</f>
        <v/>
      </c>
      <c r="C438">
        <f>YEAR(B438)</f>
        <v/>
      </c>
      <c r="D438">
        <f>MONTH(B438)</f>
        <v/>
      </c>
      <c r="E438">
        <f>TEXT(B438,"MMM-YYYY")</f>
        <v/>
      </c>
      <c r="F438">
        <f>Raw_Data!C438</f>
        <v/>
      </c>
      <c r="G438">
        <f>Raw_Data!D438</f>
        <v/>
      </c>
      <c r="H438">
        <f>Raw_Data!E438</f>
        <v/>
      </c>
      <c r="I438">
        <f>Raw_Data!F438</f>
        <v/>
      </c>
      <c r="J438">
        <f>Raw_Data!G438</f>
        <v/>
      </c>
      <c r="K438">
        <f>Raw_Data!H438</f>
        <v/>
      </c>
      <c r="L438" s="30">
        <f>Raw_Data!I438</f>
        <v/>
      </c>
      <c r="M438" s="31">
        <f>Raw_Data!J438</f>
        <v/>
      </c>
      <c r="N438" s="17">
        <f>K438*L438</f>
        <v/>
      </c>
      <c r="O438" s="17">
        <f>N438*(1-M438)</f>
        <v/>
      </c>
      <c r="P438" s="17">
        <f>Raw_Data!L438</f>
        <v/>
      </c>
      <c r="Q438" s="17">
        <f>O438-P438</f>
        <v/>
      </c>
      <c r="R438" s="31">
        <f>IF(O438=0,0,Q438/O438)</f>
        <v/>
      </c>
      <c r="S438">
        <f>XLOOKUP(F438,Lookups!$B$7:$B$11,Lookups!$C$7:$C$11,"Unknown")</f>
        <v/>
      </c>
      <c r="T438" s="31">
        <f>XLOOKUP(G438,Lookups!$E$7:$E$11,Lookups!$F$7:$F$11,0)</f>
        <v/>
      </c>
      <c r="U438" s="32">
        <f>R438-T438</f>
        <v/>
      </c>
      <c r="V438">
        <f>XLOOKUP(I438,Lookups!$H$7:$H$10,Lookups!$I$7:$I$10,"")</f>
        <v/>
      </c>
      <c r="W438">
        <f>IF(O438&gt;=50000,"HIGH VALUE","")</f>
        <v/>
      </c>
      <c r="X438">
        <f>IF(Q438&lt;0,"LOSS","")</f>
        <v/>
      </c>
      <c r="Y438">
        <f>IFS(M438&gt;=0.15,"Deep Discount",M438&gt;=0.1,"Moderate",TRUE,"Standard")</f>
        <v/>
      </c>
    </row>
    <row r="439">
      <c r="A439">
        <f>Raw_Data!A439</f>
        <v/>
      </c>
      <c r="B439" s="29">
        <f>Raw_Data!B439</f>
        <v/>
      </c>
      <c r="C439">
        <f>YEAR(B439)</f>
        <v/>
      </c>
      <c r="D439">
        <f>MONTH(B439)</f>
        <v/>
      </c>
      <c r="E439">
        <f>TEXT(B439,"MMM-YYYY")</f>
        <v/>
      </c>
      <c r="F439">
        <f>Raw_Data!C439</f>
        <v/>
      </c>
      <c r="G439">
        <f>Raw_Data!D439</f>
        <v/>
      </c>
      <c r="H439">
        <f>Raw_Data!E439</f>
        <v/>
      </c>
      <c r="I439">
        <f>Raw_Data!F439</f>
        <v/>
      </c>
      <c r="J439">
        <f>Raw_Data!G439</f>
        <v/>
      </c>
      <c r="K439">
        <f>Raw_Data!H439</f>
        <v/>
      </c>
      <c r="L439" s="30">
        <f>Raw_Data!I439</f>
        <v/>
      </c>
      <c r="M439" s="31">
        <f>Raw_Data!J439</f>
        <v/>
      </c>
      <c r="N439" s="17">
        <f>K439*L439</f>
        <v/>
      </c>
      <c r="O439" s="17">
        <f>N439*(1-M439)</f>
        <v/>
      </c>
      <c r="P439" s="17">
        <f>Raw_Data!L439</f>
        <v/>
      </c>
      <c r="Q439" s="17">
        <f>O439-P439</f>
        <v/>
      </c>
      <c r="R439" s="31">
        <f>IF(O439=0,0,Q439/O439)</f>
        <v/>
      </c>
      <c r="S439">
        <f>XLOOKUP(F439,Lookups!$B$7:$B$11,Lookups!$C$7:$C$11,"Unknown")</f>
        <v/>
      </c>
      <c r="T439" s="31">
        <f>XLOOKUP(G439,Lookups!$E$7:$E$11,Lookups!$F$7:$F$11,0)</f>
        <v/>
      </c>
      <c r="U439" s="32">
        <f>R439-T439</f>
        <v/>
      </c>
      <c r="V439">
        <f>XLOOKUP(I439,Lookups!$H$7:$H$10,Lookups!$I$7:$I$10,"")</f>
        <v/>
      </c>
      <c r="W439">
        <f>IF(O439&gt;=50000,"HIGH VALUE","")</f>
        <v/>
      </c>
      <c r="X439">
        <f>IF(Q439&lt;0,"LOSS","")</f>
        <v/>
      </c>
      <c r="Y439">
        <f>IFS(M439&gt;=0.15,"Deep Discount",M439&gt;=0.1,"Moderate",TRUE,"Standard")</f>
        <v/>
      </c>
    </row>
    <row r="440">
      <c r="A440">
        <f>Raw_Data!A440</f>
        <v/>
      </c>
      <c r="B440" s="29">
        <f>Raw_Data!B440</f>
        <v/>
      </c>
      <c r="C440">
        <f>YEAR(B440)</f>
        <v/>
      </c>
      <c r="D440">
        <f>MONTH(B440)</f>
        <v/>
      </c>
      <c r="E440">
        <f>TEXT(B440,"MMM-YYYY")</f>
        <v/>
      </c>
      <c r="F440">
        <f>Raw_Data!C440</f>
        <v/>
      </c>
      <c r="G440">
        <f>Raw_Data!D440</f>
        <v/>
      </c>
      <c r="H440">
        <f>Raw_Data!E440</f>
        <v/>
      </c>
      <c r="I440">
        <f>Raw_Data!F440</f>
        <v/>
      </c>
      <c r="J440">
        <f>Raw_Data!G440</f>
        <v/>
      </c>
      <c r="K440">
        <f>Raw_Data!H440</f>
        <v/>
      </c>
      <c r="L440" s="30">
        <f>Raw_Data!I440</f>
        <v/>
      </c>
      <c r="M440" s="31">
        <f>Raw_Data!J440</f>
        <v/>
      </c>
      <c r="N440" s="17">
        <f>K440*L440</f>
        <v/>
      </c>
      <c r="O440" s="17">
        <f>N440*(1-M440)</f>
        <v/>
      </c>
      <c r="P440" s="17">
        <f>Raw_Data!L440</f>
        <v/>
      </c>
      <c r="Q440" s="17">
        <f>O440-P440</f>
        <v/>
      </c>
      <c r="R440" s="31">
        <f>IF(O440=0,0,Q440/O440)</f>
        <v/>
      </c>
      <c r="S440">
        <f>XLOOKUP(F440,Lookups!$B$7:$B$11,Lookups!$C$7:$C$11,"Unknown")</f>
        <v/>
      </c>
      <c r="T440" s="31">
        <f>XLOOKUP(G440,Lookups!$E$7:$E$11,Lookups!$F$7:$F$11,0)</f>
        <v/>
      </c>
      <c r="U440" s="32">
        <f>R440-T440</f>
        <v/>
      </c>
      <c r="V440">
        <f>XLOOKUP(I440,Lookups!$H$7:$H$10,Lookups!$I$7:$I$10,"")</f>
        <v/>
      </c>
      <c r="W440">
        <f>IF(O440&gt;=50000,"HIGH VALUE","")</f>
        <v/>
      </c>
      <c r="X440">
        <f>IF(Q440&lt;0,"LOSS","")</f>
        <v/>
      </c>
      <c r="Y440">
        <f>IFS(M440&gt;=0.15,"Deep Discount",M440&gt;=0.1,"Moderate",TRUE,"Standard")</f>
        <v/>
      </c>
    </row>
    <row r="441">
      <c r="A441">
        <f>Raw_Data!A441</f>
        <v/>
      </c>
      <c r="B441" s="29">
        <f>Raw_Data!B441</f>
        <v/>
      </c>
      <c r="C441">
        <f>YEAR(B441)</f>
        <v/>
      </c>
      <c r="D441">
        <f>MONTH(B441)</f>
        <v/>
      </c>
      <c r="E441">
        <f>TEXT(B441,"MMM-YYYY")</f>
        <v/>
      </c>
      <c r="F441">
        <f>Raw_Data!C441</f>
        <v/>
      </c>
      <c r="G441">
        <f>Raw_Data!D441</f>
        <v/>
      </c>
      <c r="H441">
        <f>Raw_Data!E441</f>
        <v/>
      </c>
      <c r="I441">
        <f>Raw_Data!F441</f>
        <v/>
      </c>
      <c r="J441">
        <f>Raw_Data!G441</f>
        <v/>
      </c>
      <c r="K441">
        <f>Raw_Data!H441</f>
        <v/>
      </c>
      <c r="L441" s="30">
        <f>Raw_Data!I441</f>
        <v/>
      </c>
      <c r="M441" s="31">
        <f>Raw_Data!J441</f>
        <v/>
      </c>
      <c r="N441" s="17">
        <f>K441*L441</f>
        <v/>
      </c>
      <c r="O441" s="17">
        <f>N441*(1-M441)</f>
        <v/>
      </c>
      <c r="P441" s="17">
        <f>Raw_Data!L441</f>
        <v/>
      </c>
      <c r="Q441" s="17">
        <f>O441-P441</f>
        <v/>
      </c>
      <c r="R441" s="31">
        <f>IF(O441=0,0,Q441/O441)</f>
        <v/>
      </c>
      <c r="S441">
        <f>XLOOKUP(F441,Lookups!$B$7:$B$11,Lookups!$C$7:$C$11,"Unknown")</f>
        <v/>
      </c>
      <c r="T441" s="31">
        <f>XLOOKUP(G441,Lookups!$E$7:$E$11,Lookups!$F$7:$F$11,0)</f>
        <v/>
      </c>
      <c r="U441" s="32">
        <f>R441-T441</f>
        <v/>
      </c>
      <c r="V441">
        <f>XLOOKUP(I441,Lookups!$H$7:$H$10,Lookups!$I$7:$I$10,"")</f>
        <v/>
      </c>
      <c r="W441">
        <f>IF(O441&gt;=50000,"HIGH VALUE","")</f>
        <v/>
      </c>
      <c r="X441">
        <f>IF(Q441&lt;0,"LOSS","")</f>
        <v/>
      </c>
      <c r="Y441">
        <f>IFS(M441&gt;=0.15,"Deep Discount",M441&gt;=0.1,"Moderate",TRUE,"Standard")</f>
        <v/>
      </c>
    </row>
    <row r="442">
      <c r="A442">
        <f>Raw_Data!A442</f>
        <v/>
      </c>
      <c r="B442" s="29">
        <f>Raw_Data!B442</f>
        <v/>
      </c>
      <c r="C442">
        <f>YEAR(B442)</f>
        <v/>
      </c>
      <c r="D442">
        <f>MONTH(B442)</f>
        <v/>
      </c>
      <c r="E442">
        <f>TEXT(B442,"MMM-YYYY")</f>
        <v/>
      </c>
      <c r="F442">
        <f>Raw_Data!C442</f>
        <v/>
      </c>
      <c r="G442">
        <f>Raw_Data!D442</f>
        <v/>
      </c>
      <c r="H442">
        <f>Raw_Data!E442</f>
        <v/>
      </c>
      <c r="I442">
        <f>Raw_Data!F442</f>
        <v/>
      </c>
      <c r="J442">
        <f>Raw_Data!G442</f>
        <v/>
      </c>
      <c r="K442">
        <f>Raw_Data!H442</f>
        <v/>
      </c>
      <c r="L442" s="30">
        <f>Raw_Data!I442</f>
        <v/>
      </c>
      <c r="M442" s="31">
        <f>Raw_Data!J442</f>
        <v/>
      </c>
      <c r="N442" s="17">
        <f>K442*L442</f>
        <v/>
      </c>
      <c r="O442" s="17">
        <f>N442*(1-M442)</f>
        <v/>
      </c>
      <c r="P442" s="17">
        <f>Raw_Data!L442</f>
        <v/>
      </c>
      <c r="Q442" s="17">
        <f>O442-P442</f>
        <v/>
      </c>
      <c r="R442" s="31">
        <f>IF(O442=0,0,Q442/O442)</f>
        <v/>
      </c>
      <c r="S442">
        <f>XLOOKUP(F442,Lookups!$B$7:$B$11,Lookups!$C$7:$C$11,"Unknown")</f>
        <v/>
      </c>
      <c r="T442" s="31">
        <f>XLOOKUP(G442,Lookups!$E$7:$E$11,Lookups!$F$7:$F$11,0)</f>
        <v/>
      </c>
      <c r="U442" s="32">
        <f>R442-T442</f>
        <v/>
      </c>
      <c r="V442">
        <f>XLOOKUP(I442,Lookups!$H$7:$H$10,Lookups!$I$7:$I$10,"")</f>
        <v/>
      </c>
      <c r="W442">
        <f>IF(O442&gt;=50000,"HIGH VALUE","")</f>
        <v/>
      </c>
      <c r="X442">
        <f>IF(Q442&lt;0,"LOSS","")</f>
        <v/>
      </c>
      <c r="Y442">
        <f>IFS(M442&gt;=0.15,"Deep Discount",M442&gt;=0.1,"Moderate",TRUE,"Standard")</f>
        <v/>
      </c>
    </row>
    <row r="443">
      <c r="A443">
        <f>Raw_Data!A443</f>
        <v/>
      </c>
      <c r="B443" s="29">
        <f>Raw_Data!B443</f>
        <v/>
      </c>
      <c r="C443">
        <f>YEAR(B443)</f>
        <v/>
      </c>
      <c r="D443">
        <f>MONTH(B443)</f>
        <v/>
      </c>
      <c r="E443">
        <f>TEXT(B443,"MMM-YYYY")</f>
        <v/>
      </c>
      <c r="F443">
        <f>Raw_Data!C443</f>
        <v/>
      </c>
      <c r="G443">
        <f>Raw_Data!D443</f>
        <v/>
      </c>
      <c r="H443">
        <f>Raw_Data!E443</f>
        <v/>
      </c>
      <c r="I443">
        <f>Raw_Data!F443</f>
        <v/>
      </c>
      <c r="J443">
        <f>Raw_Data!G443</f>
        <v/>
      </c>
      <c r="K443">
        <f>Raw_Data!H443</f>
        <v/>
      </c>
      <c r="L443" s="30">
        <f>Raw_Data!I443</f>
        <v/>
      </c>
      <c r="M443" s="31">
        <f>Raw_Data!J443</f>
        <v/>
      </c>
      <c r="N443" s="17">
        <f>K443*L443</f>
        <v/>
      </c>
      <c r="O443" s="17">
        <f>N443*(1-M443)</f>
        <v/>
      </c>
      <c r="P443" s="17">
        <f>Raw_Data!L443</f>
        <v/>
      </c>
      <c r="Q443" s="17">
        <f>O443-P443</f>
        <v/>
      </c>
      <c r="R443" s="31">
        <f>IF(O443=0,0,Q443/O443)</f>
        <v/>
      </c>
      <c r="S443">
        <f>XLOOKUP(F443,Lookups!$B$7:$B$11,Lookups!$C$7:$C$11,"Unknown")</f>
        <v/>
      </c>
      <c r="T443" s="31">
        <f>XLOOKUP(G443,Lookups!$E$7:$E$11,Lookups!$F$7:$F$11,0)</f>
        <v/>
      </c>
      <c r="U443" s="32">
        <f>R443-T443</f>
        <v/>
      </c>
      <c r="V443">
        <f>XLOOKUP(I443,Lookups!$H$7:$H$10,Lookups!$I$7:$I$10,"")</f>
        <v/>
      </c>
      <c r="W443">
        <f>IF(O443&gt;=50000,"HIGH VALUE","")</f>
        <v/>
      </c>
      <c r="X443">
        <f>IF(Q443&lt;0,"LOSS","")</f>
        <v/>
      </c>
      <c r="Y443">
        <f>IFS(M443&gt;=0.15,"Deep Discount",M443&gt;=0.1,"Moderate",TRUE,"Standard")</f>
        <v/>
      </c>
    </row>
    <row r="444">
      <c r="A444">
        <f>Raw_Data!A444</f>
        <v/>
      </c>
      <c r="B444" s="29">
        <f>Raw_Data!B444</f>
        <v/>
      </c>
      <c r="C444">
        <f>YEAR(B444)</f>
        <v/>
      </c>
      <c r="D444">
        <f>MONTH(B444)</f>
        <v/>
      </c>
      <c r="E444">
        <f>TEXT(B444,"MMM-YYYY")</f>
        <v/>
      </c>
      <c r="F444">
        <f>Raw_Data!C444</f>
        <v/>
      </c>
      <c r="G444">
        <f>Raw_Data!D444</f>
        <v/>
      </c>
      <c r="H444">
        <f>Raw_Data!E444</f>
        <v/>
      </c>
      <c r="I444">
        <f>Raw_Data!F444</f>
        <v/>
      </c>
      <c r="J444">
        <f>Raw_Data!G444</f>
        <v/>
      </c>
      <c r="K444">
        <f>Raw_Data!H444</f>
        <v/>
      </c>
      <c r="L444" s="30">
        <f>Raw_Data!I444</f>
        <v/>
      </c>
      <c r="M444" s="31">
        <f>Raw_Data!J444</f>
        <v/>
      </c>
      <c r="N444" s="17">
        <f>K444*L444</f>
        <v/>
      </c>
      <c r="O444" s="17">
        <f>N444*(1-M444)</f>
        <v/>
      </c>
      <c r="P444" s="17">
        <f>Raw_Data!L444</f>
        <v/>
      </c>
      <c r="Q444" s="17">
        <f>O444-P444</f>
        <v/>
      </c>
      <c r="R444" s="31">
        <f>IF(O444=0,0,Q444/O444)</f>
        <v/>
      </c>
      <c r="S444">
        <f>XLOOKUP(F444,Lookups!$B$7:$B$11,Lookups!$C$7:$C$11,"Unknown")</f>
        <v/>
      </c>
      <c r="T444" s="31">
        <f>XLOOKUP(G444,Lookups!$E$7:$E$11,Lookups!$F$7:$F$11,0)</f>
        <v/>
      </c>
      <c r="U444" s="32">
        <f>R444-T444</f>
        <v/>
      </c>
      <c r="V444">
        <f>XLOOKUP(I444,Lookups!$H$7:$H$10,Lookups!$I$7:$I$10,"")</f>
        <v/>
      </c>
      <c r="W444">
        <f>IF(O444&gt;=50000,"HIGH VALUE","")</f>
        <v/>
      </c>
      <c r="X444">
        <f>IF(Q444&lt;0,"LOSS","")</f>
        <v/>
      </c>
      <c r="Y444">
        <f>IFS(M444&gt;=0.15,"Deep Discount",M444&gt;=0.1,"Moderate",TRUE,"Standard")</f>
        <v/>
      </c>
    </row>
    <row r="445">
      <c r="A445">
        <f>Raw_Data!A445</f>
        <v/>
      </c>
      <c r="B445" s="29">
        <f>Raw_Data!B445</f>
        <v/>
      </c>
      <c r="C445">
        <f>YEAR(B445)</f>
        <v/>
      </c>
      <c r="D445">
        <f>MONTH(B445)</f>
        <v/>
      </c>
      <c r="E445">
        <f>TEXT(B445,"MMM-YYYY")</f>
        <v/>
      </c>
      <c r="F445">
        <f>Raw_Data!C445</f>
        <v/>
      </c>
      <c r="G445">
        <f>Raw_Data!D445</f>
        <v/>
      </c>
      <c r="H445">
        <f>Raw_Data!E445</f>
        <v/>
      </c>
      <c r="I445">
        <f>Raw_Data!F445</f>
        <v/>
      </c>
      <c r="J445">
        <f>Raw_Data!G445</f>
        <v/>
      </c>
      <c r="K445">
        <f>Raw_Data!H445</f>
        <v/>
      </c>
      <c r="L445" s="30">
        <f>Raw_Data!I445</f>
        <v/>
      </c>
      <c r="M445" s="31">
        <f>Raw_Data!J445</f>
        <v/>
      </c>
      <c r="N445" s="17">
        <f>K445*L445</f>
        <v/>
      </c>
      <c r="O445" s="17">
        <f>N445*(1-M445)</f>
        <v/>
      </c>
      <c r="P445" s="17">
        <f>Raw_Data!L445</f>
        <v/>
      </c>
      <c r="Q445" s="17">
        <f>O445-P445</f>
        <v/>
      </c>
      <c r="R445" s="31">
        <f>IF(O445=0,0,Q445/O445)</f>
        <v/>
      </c>
      <c r="S445">
        <f>XLOOKUP(F445,Lookups!$B$7:$B$11,Lookups!$C$7:$C$11,"Unknown")</f>
        <v/>
      </c>
      <c r="T445" s="31">
        <f>XLOOKUP(G445,Lookups!$E$7:$E$11,Lookups!$F$7:$F$11,0)</f>
        <v/>
      </c>
      <c r="U445" s="32">
        <f>R445-T445</f>
        <v/>
      </c>
      <c r="V445">
        <f>XLOOKUP(I445,Lookups!$H$7:$H$10,Lookups!$I$7:$I$10,"")</f>
        <v/>
      </c>
      <c r="W445">
        <f>IF(O445&gt;=50000,"HIGH VALUE","")</f>
        <v/>
      </c>
      <c r="X445">
        <f>IF(Q445&lt;0,"LOSS","")</f>
        <v/>
      </c>
      <c r="Y445">
        <f>IFS(M445&gt;=0.15,"Deep Discount",M445&gt;=0.1,"Moderate",TRUE,"Standard")</f>
        <v/>
      </c>
    </row>
    <row r="446">
      <c r="A446">
        <f>Raw_Data!A446</f>
        <v/>
      </c>
      <c r="B446" s="29">
        <f>Raw_Data!B446</f>
        <v/>
      </c>
      <c r="C446">
        <f>YEAR(B446)</f>
        <v/>
      </c>
      <c r="D446">
        <f>MONTH(B446)</f>
        <v/>
      </c>
      <c r="E446">
        <f>TEXT(B446,"MMM-YYYY")</f>
        <v/>
      </c>
      <c r="F446">
        <f>Raw_Data!C446</f>
        <v/>
      </c>
      <c r="G446">
        <f>Raw_Data!D446</f>
        <v/>
      </c>
      <c r="H446">
        <f>Raw_Data!E446</f>
        <v/>
      </c>
      <c r="I446">
        <f>Raw_Data!F446</f>
        <v/>
      </c>
      <c r="J446">
        <f>Raw_Data!G446</f>
        <v/>
      </c>
      <c r="K446">
        <f>Raw_Data!H446</f>
        <v/>
      </c>
      <c r="L446" s="30">
        <f>Raw_Data!I446</f>
        <v/>
      </c>
      <c r="M446" s="31">
        <f>Raw_Data!J446</f>
        <v/>
      </c>
      <c r="N446" s="17">
        <f>K446*L446</f>
        <v/>
      </c>
      <c r="O446" s="17">
        <f>N446*(1-M446)</f>
        <v/>
      </c>
      <c r="P446" s="17">
        <f>Raw_Data!L446</f>
        <v/>
      </c>
      <c r="Q446" s="17">
        <f>O446-P446</f>
        <v/>
      </c>
      <c r="R446" s="31">
        <f>IF(O446=0,0,Q446/O446)</f>
        <v/>
      </c>
      <c r="S446">
        <f>XLOOKUP(F446,Lookups!$B$7:$B$11,Lookups!$C$7:$C$11,"Unknown")</f>
        <v/>
      </c>
      <c r="T446" s="31">
        <f>XLOOKUP(G446,Lookups!$E$7:$E$11,Lookups!$F$7:$F$11,0)</f>
        <v/>
      </c>
      <c r="U446" s="32">
        <f>R446-T446</f>
        <v/>
      </c>
      <c r="V446">
        <f>XLOOKUP(I446,Lookups!$H$7:$H$10,Lookups!$I$7:$I$10,"")</f>
        <v/>
      </c>
      <c r="W446">
        <f>IF(O446&gt;=50000,"HIGH VALUE","")</f>
        <v/>
      </c>
      <c r="X446">
        <f>IF(Q446&lt;0,"LOSS","")</f>
        <v/>
      </c>
      <c r="Y446">
        <f>IFS(M446&gt;=0.15,"Deep Discount",M446&gt;=0.1,"Moderate",TRUE,"Standard")</f>
        <v/>
      </c>
    </row>
    <row r="447">
      <c r="A447">
        <f>Raw_Data!A447</f>
        <v/>
      </c>
      <c r="B447" s="29">
        <f>Raw_Data!B447</f>
        <v/>
      </c>
      <c r="C447">
        <f>YEAR(B447)</f>
        <v/>
      </c>
      <c r="D447">
        <f>MONTH(B447)</f>
        <v/>
      </c>
      <c r="E447">
        <f>TEXT(B447,"MMM-YYYY")</f>
        <v/>
      </c>
      <c r="F447">
        <f>Raw_Data!C447</f>
        <v/>
      </c>
      <c r="G447">
        <f>Raw_Data!D447</f>
        <v/>
      </c>
      <c r="H447">
        <f>Raw_Data!E447</f>
        <v/>
      </c>
      <c r="I447">
        <f>Raw_Data!F447</f>
        <v/>
      </c>
      <c r="J447">
        <f>Raw_Data!G447</f>
        <v/>
      </c>
      <c r="K447">
        <f>Raw_Data!H447</f>
        <v/>
      </c>
      <c r="L447" s="30">
        <f>Raw_Data!I447</f>
        <v/>
      </c>
      <c r="M447" s="31">
        <f>Raw_Data!J447</f>
        <v/>
      </c>
      <c r="N447" s="17">
        <f>K447*L447</f>
        <v/>
      </c>
      <c r="O447" s="17">
        <f>N447*(1-M447)</f>
        <v/>
      </c>
      <c r="P447" s="17">
        <f>Raw_Data!L447</f>
        <v/>
      </c>
      <c r="Q447" s="17">
        <f>O447-P447</f>
        <v/>
      </c>
      <c r="R447" s="31">
        <f>IF(O447=0,0,Q447/O447)</f>
        <v/>
      </c>
      <c r="S447">
        <f>XLOOKUP(F447,Lookups!$B$7:$B$11,Lookups!$C$7:$C$11,"Unknown")</f>
        <v/>
      </c>
      <c r="T447" s="31">
        <f>XLOOKUP(G447,Lookups!$E$7:$E$11,Lookups!$F$7:$F$11,0)</f>
        <v/>
      </c>
      <c r="U447" s="32">
        <f>R447-T447</f>
        <v/>
      </c>
      <c r="V447">
        <f>XLOOKUP(I447,Lookups!$H$7:$H$10,Lookups!$I$7:$I$10,"")</f>
        <v/>
      </c>
      <c r="W447">
        <f>IF(O447&gt;=50000,"HIGH VALUE","")</f>
        <v/>
      </c>
      <c r="X447">
        <f>IF(Q447&lt;0,"LOSS","")</f>
        <v/>
      </c>
      <c r="Y447">
        <f>IFS(M447&gt;=0.15,"Deep Discount",M447&gt;=0.1,"Moderate",TRUE,"Standard")</f>
        <v/>
      </c>
    </row>
    <row r="448">
      <c r="A448">
        <f>Raw_Data!A448</f>
        <v/>
      </c>
      <c r="B448" s="29">
        <f>Raw_Data!B448</f>
        <v/>
      </c>
      <c r="C448">
        <f>YEAR(B448)</f>
        <v/>
      </c>
      <c r="D448">
        <f>MONTH(B448)</f>
        <v/>
      </c>
      <c r="E448">
        <f>TEXT(B448,"MMM-YYYY")</f>
        <v/>
      </c>
      <c r="F448">
        <f>Raw_Data!C448</f>
        <v/>
      </c>
      <c r="G448">
        <f>Raw_Data!D448</f>
        <v/>
      </c>
      <c r="H448">
        <f>Raw_Data!E448</f>
        <v/>
      </c>
      <c r="I448">
        <f>Raw_Data!F448</f>
        <v/>
      </c>
      <c r="J448">
        <f>Raw_Data!G448</f>
        <v/>
      </c>
      <c r="K448">
        <f>Raw_Data!H448</f>
        <v/>
      </c>
      <c r="L448" s="30">
        <f>Raw_Data!I448</f>
        <v/>
      </c>
      <c r="M448" s="31">
        <f>Raw_Data!J448</f>
        <v/>
      </c>
      <c r="N448" s="17">
        <f>K448*L448</f>
        <v/>
      </c>
      <c r="O448" s="17">
        <f>N448*(1-M448)</f>
        <v/>
      </c>
      <c r="P448" s="17">
        <f>Raw_Data!L448</f>
        <v/>
      </c>
      <c r="Q448" s="17">
        <f>O448-P448</f>
        <v/>
      </c>
      <c r="R448" s="31">
        <f>IF(O448=0,0,Q448/O448)</f>
        <v/>
      </c>
      <c r="S448">
        <f>XLOOKUP(F448,Lookups!$B$7:$B$11,Lookups!$C$7:$C$11,"Unknown")</f>
        <v/>
      </c>
      <c r="T448" s="31">
        <f>XLOOKUP(G448,Lookups!$E$7:$E$11,Lookups!$F$7:$F$11,0)</f>
        <v/>
      </c>
      <c r="U448" s="32">
        <f>R448-T448</f>
        <v/>
      </c>
      <c r="V448">
        <f>XLOOKUP(I448,Lookups!$H$7:$H$10,Lookups!$I$7:$I$10,"")</f>
        <v/>
      </c>
      <c r="W448">
        <f>IF(O448&gt;=50000,"HIGH VALUE","")</f>
        <v/>
      </c>
      <c r="X448">
        <f>IF(Q448&lt;0,"LOSS","")</f>
        <v/>
      </c>
      <c r="Y448">
        <f>IFS(M448&gt;=0.15,"Deep Discount",M448&gt;=0.1,"Moderate",TRUE,"Standard")</f>
        <v/>
      </c>
    </row>
    <row r="449">
      <c r="A449">
        <f>Raw_Data!A449</f>
        <v/>
      </c>
      <c r="B449" s="29">
        <f>Raw_Data!B449</f>
        <v/>
      </c>
      <c r="C449">
        <f>YEAR(B449)</f>
        <v/>
      </c>
      <c r="D449">
        <f>MONTH(B449)</f>
        <v/>
      </c>
      <c r="E449">
        <f>TEXT(B449,"MMM-YYYY")</f>
        <v/>
      </c>
      <c r="F449">
        <f>Raw_Data!C449</f>
        <v/>
      </c>
      <c r="G449">
        <f>Raw_Data!D449</f>
        <v/>
      </c>
      <c r="H449">
        <f>Raw_Data!E449</f>
        <v/>
      </c>
      <c r="I449">
        <f>Raw_Data!F449</f>
        <v/>
      </c>
      <c r="J449">
        <f>Raw_Data!G449</f>
        <v/>
      </c>
      <c r="K449">
        <f>Raw_Data!H449</f>
        <v/>
      </c>
      <c r="L449" s="30">
        <f>Raw_Data!I449</f>
        <v/>
      </c>
      <c r="M449" s="31">
        <f>Raw_Data!J449</f>
        <v/>
      </c>
      <c r="N449" s="17">
        <f>K449*L449</f>
        <v/>
      </c>
      <c r="O449" s="17">
        <f>N449*(1-M449)</f>
        <v/>
      </c>
      <c r="P449" s="17">
        <f>Raw_Data!L449</f>
        <v/>
      </c>
      <c r="Q449" s="17">
        <f>O449-P449</f>
        <v/>
      </c>
      <c r="R449" s="31">
        <f>IF(O449=0,0,Q449/O449)</f>
        <v/>
      </c>
      <c r="S449">
        <f>XLOOKUP(F449,Lookups!$B$7:$B$11,Lookups!$C$7:$C$11,"Unknown")</f>
        <v/>
      </c>
      <c r="T449" s="31">
        <f>XLOOKUP(G449,Lookups!$E$7:$E$11,Lookups!$F$7:$F$11,0)</f>
        <v/>
      </c>
      <c r="U449" s="32">
        <f>R449-T449</f>
        <v/>
      </c>
      <c r="V449">
        <f>XLOOKUP(I449,Lookups!$H$7:$H$10,Lookups!$I$7:$I$10,"")</f>
        <v/>
      </c>
      <c r="W449">
        <f>IF(O449&gt;=50000,"HIGH VALUE","")</f>
        <v/>
      </c>
      <c r="X449">
        <f>IF(Q449&lt;0,"LOSS","")</f>
        <v/>
      </c>
      <c r="Y449">
        <f>IFS(M449&gt;=0.15,"Deep Discount",M449&gt;=0.1,"Moderate",TRUE,"Standard")</f>
        <v/>
      </c>
    </row>
    <row r="450">
      <c r="A450">
        <f>Raw_Data!A450</f>
        <v/>
      </c>
      <c r="B450" s="29">
        <f>Raw_Data!B450</f>
        <v/>
      </c>
      <c r="C450">
        <f>YEAR(B450)</f>
        <v/>
      </c>
      <c r="D450">
        <f>MONTH(B450)</f>
        <v/>
      </c>
      <c r="E450">
        <f>TEXT(B450,"MMM-YYYY")</f>
        <v/>
      </c>
      <c r="F450">
        <f>Raw_Data!C450</f>
        <v/>
      </c>
      <c r="G450">
        <f>Raw_Data!D450</f>
        <v/>
      </c>
      <c r="H450">
        <f>Raw_Data!E450</f>
        <v/>
      </c>
      <c r="I450">
        <f>Raw_Data!F450</f>
        <v/>
      </c>
      <c r="J450">
        <f>Raw_Data!G450</f>
        <v/>
      </c>
      <c r="K450">
        <f>Raw_Data!H450</f>
        <v/>
      </c>
      <c r="L450" s="30">
        <f>Raw_Data!I450</f>
        <v/>
      </c>
      <c r="M450" s="31">
        <f>Raw_Data!J450</f>
        <v/>
      </c>
      <c r="N450" s="17">
        <f>K450*L450</f>
        <v/>
      </c>
      <c r="O450" s="17">
        <f>N450*(1-M450)</f>
        <v/>
      </c>
      <c r="P450" s="17">
        <f>Raw_Data!L450</f>
        <v/>
      </c>
      <c r="Q450" s="17">
        <f>O450-P450</f>
        <v/>
      </c>
      <c r="R450" s="31">
        <f>IF(O450=0,0,Q450/O450)</f>
        <v/>
      </c>
      <c r="S450">
        <f>XLOOKUP(F450,Lookups!$B$7:$B$11,Lookups!$C$7:$C$11,"Unknown")</f>
        <v/>
      </c>
      <c r="T450" s="31">
        <f>XLOOKUP(G450,Lookups!$E$7:$E$11,Lookups!$F$7:$F$11,0)</f>
        <v/>
      </c>
      <c r="U450" s="32">
        <f>R450-T450</f>
        <v/>
      </c>
      <c r="V450">
        <f>XLOOKUP(I450,Lookups!$H$7:$H$10,Lookups!$I$7:$I$10,"")</f>
        <v/>
      </c>
      <c r="W450">
        <f>IF(O450&gt;=50000,"HIGH VALUE","")</f>
        <v/>
      </c>
      <c r="X450">
        <f>IF(Q450&lt;0,"LOSS","")</f>
        <v/>
      </c>
      <c r="Y450">
        <f>IFS(M450&gt;=0.15,"Deep Discount",M450&gt;=0.1,"Moderate",TRUE,"Standard")</f>
        <v/>
      </c>
    </row>
    <row r="451">
      <c r="A451">
        <f>Raw_Data!A451</f>
        <v/>
      </c>
      <c r="B451" s="29">
        <f>Raw_Data!B451</f>
        <v/>
      </c>
      <c r="C451">
        <f>YEAR(B451)</f>
        <v/>
      </c>
      <c r="D451">
        <f>MONTH(B451)</f>
        <v/>
      </c>
      <c r="E451">
        <f>TEXT(B451,"MMM-YYYY")</f>
        <v/>
      </c>
      <c r="F451">
        <f>Raw_Data!C451</f>
        <v/>
      </c>
      <c r="G451">
        <f>Raw_Data!D451</f>
        <v/>
      </c>
      <c r="H451">
        <f>Raw_Data!E451</f>
        <v/>
      </c>
      <c r="I451">
        <f>Raw_Data!F451</f>
        <v/>
      </c>
      <c r="J451">
        <f>Raw_Data!G451</f>
        <v/>
      </c>
      <c r="K451">
        <f>Raw_Data!H451</f>
        <v/>
      </c>
      <c r="L451" s="30">
        <f>Raw_Data!I451</f>
        <v/>
      </c>
      <c r="M451" s="31">
        <f>Raw_Data!J451</f>
        <v/>
      </c>
      <c r="N451" s="17">
        <f>K451*L451</f>
        <v/>
      </c>
      <c r="O451" s="17">
        <f>N451*(1-M451)</f>
        <v/>
      </c>
      <c r="P451" s="17">
        <f>Raw_Data!L451</f>
        <v/>
      </c>
      <c r="Q451" s="17">
        <f>O451-P451</f>
        <v/>
      </c>
      <c r="R451" s="31">
        <f>IF(O451=0,0,Q451/O451)</f>
        <v/>
      </c>
      <c r="S451">
        <f>XLOOKUP(F451,Lookups!$B$7:$B$11,Lookups!$C$7:$C$11,"Unknown")</f>
        <v/>
      </c>
      <c r="T451" s="31">
        <f>XLOOKUP(G451,Lookups!$E$7:$E$11,Lookups!$F$7:$F$11,0)</f>
        <v/>
      </c>
      <c r="U451" s="32">
        <f>R451-T451</f>
        <v/>
      </c>
      <c r="V451">
        <f>XLOOKUP(I451,Lookups!$H$7:$H$10,Lookups!$I$7:$I$10,"")</f>
        <v/>
      </c>
      <c r="W451">
        <f>IF(O451&gt;=50000,"HIGH VALUE","")</f>
        <v/>
      </c>
      <c r="X451">
        <f>IF(Q451&lt;0,"LOSS","")</f>
        <v/>
      </c>
      <c r="Y451">
        <f>IFS(M451&gt;=0.15,"Deep Discount",M451&gt;=0.1,"Moderate",TRUE,"Standard")</f>
        <v/>
      </c>
    </row>
    <row r="452">
      <c r="A452">
        <f>Raw_Data!A452</f>
        <v/>
      </c>
      <c r="B452" s="29">
        <f>Raw_Data!B452</f>
        <v/>
      </c>
      <c r="C452">
        <f>YEAR(B452)</f>
        <v/>
      </c>
      <c r="D452">
        <f>MONTH(B452)</f>
        <v/>
      </c>
      <c r="E452">
        <f>TEXT(B452,"MMM-YYYY")</f>
        <v/>
      </c>
      <c r="F452">
        <f>Raw_Data!C452</f>
        <v/>
      </c>
      <c r="G452">
        <f>Raw_Data!D452</f>
        <v/>
      </c>
      <c r="H452">
        <f>Raw_Data!E452</f>
        <v/>
      </c>
      <c r="I452">
        <f>Raw_Data!F452</f>
        <v/>
      </c>
      <c r="J452">
        <f>Raw_Data!G452</f>
        <v/>
      </c>
      <c r="K452">
        <f>Raw_Data!H452</f>
        <v/>
      </c>
      <c r="L452" s="30">
        <f>Raw_Data!I452</f>
        <v/>
      </c>
      <c r="M452" s="31">
        <f>Raw_Data!J452</f>
        <v/>
      </c>
      <c r="N452" s="17">
        <f>K452*L452</f>
        <v/>
      </c>
      <c r="O452" s="17">
        <f>N452*(1-M452)</f>
        <v/>
      </c>
      <c r="P452" s="17">
        <f>Raw_Data!L452</f>
        <v/>
      </c>
      <c r="Q452" s="17">
        <f>O452-P452</f>
        <v/>
      </c>
      <c r="R452" s="31">
        <f>IF(O452=0,0,Q452/O452)</f>
        <v/>
      </c>
      <c r="S452">
        <f>XLOOKUP(F452,Lookups!$B$7:$B$11,Lookups!$C$7:$C$11,"Unknown")</f>
        <v/>
      </c>
      <c r="T452" s="31">
        <f>XLOOKUP(G452,Lookups!$E$7:$E$11,Lookups!$F$7:$F$11,0)</f>
        <v/>
      </c>
      <c r="U452" s="32">
        <f>R452-T452</f>
        <v/>
      </c>
      <c r="V452">
        <f>XLOOKUP(I452,Lookups!$H$7:$H$10,Lookups!$I$7:$I$10,"")</f>
        <v/>
      </c>
      <c r="W452">
        <f>IF(O452&gt;=50000,"HIGH VALUE","")</f>
        <v/>
      </c>
      <c r="X452">
        <f>IF(Q452&lt;0,"LOSS","")</f>
        <v/>
      </c>
      <c r="Y452">
        <f>IFS(M452&gt;=0.15,"Deep Discount",M452&gt;=0.1,"Moderate",TRUE,"Standard")</f>
        <v/>
      </c>
    </row>
    <row r="453">
      <c r="A453">
        <f>Raw_Data!A453</f>
        <v/>
      </c>
      <c r="B453" s="29">
        <f>Raw_Data!B453</f>
        <v/>
      </c>
      <c r="C453">
        <f>YEAR(B453)</f>
        <v/>
      </c>
      <c r="D453">
        <f>MONTH(B453)</f>
        <v/>
      </c>
      <c r="E453">
        <f>TEXT(B453,"MMM-YYYY")</f>
        <v/>
      </c>
      <c r="F453">
        <f>Raw_Data!C453</f>
        <v/>
      </c>
      <c r="G453">
        <f>Raw_Data!D453</f>
        <v/>
      </c>
      <c r="H453">
        <f>Raw_Data!E453</f>
        <v/>
      </c>
      <c r="I453">
        <f>Raw_Data!F453</f>
        <v/>
      </c>
      <c r="J453">
        <f>Raw_Data!G453</f>
        <v/>
      </c>
      <c r="K453">
        <f>Raw_Data!H453</f>
        <v/>
      </c>
      <c r="L453" s="30">
        <f>Raw_Data!I453</f>
        <v/>
      </c>
      <c r="M453" s="31">
        <f>Raw_Data!J453</f>
        <v/>
      </c>
      <c r="N453" s="17">
        <f>K453*L453</f>
        <v/>
      </c>
      <c r="O453" s="17">
        <f>N453*(1-M453)</f>
        <v/>
      </c>
      <c r="P453" s="17">
        <f>Raw_Data!L453</f>
        <v/>
      </c>
      <c r="Q453" s="17">
        <f>O453-P453</f>
        <v/>
      </c>
      <c r="R453" s="31">
        <f>IF(O453=0,0,Q453/O453)</f>
        <v/>
      </c>
      <c r="S453">
        <f>XLOOKUP(F453,Lookups!$B$7:$B$11,Lookups!$C$7:$C$11,"Unknown")</f>
        <v/>
      </c>
      <c r="T453" s="31">
        <f>XLOOKUP(G453,Lookups!$E$7:$E$11,Lookups!$F$7:$F$11,0)</f>
        <v/>
      </c>
      <c r="U453" s="32">
        <f>R453-T453</f>
        <v/>
      </c>
      <c r="V453">
        <f>XLOOKUP(I453,Lookups!$H$7:$H$10,Lookups!$I$7:$I$10,"")</f>
        <v/>
      </c>
      <c r="W453">
        <f>IF(O453&gt;=50000,"HIGH VALUE","")</f>
        <v/>
      </c>
      <c r="X453">
        <f>IF(Q453&lt;0,"LOSS","")</f>
        <v/>
      </c>
      <c r="Y453">
        <f>IFS(M453&gt;=0.15,"Deep Discount",M453&gt;=0.1,"Moderate",TRUE,"Standard")</f>
        <v/>
      </c>
    </row>
    <row r="454">
      <c r="A454">
        <f>Raw_Data!A454</f>
        <v/>
      </c>
      <c r="B454" s="29">
        <f>Raw_Data!B454</f>
        <v/>
      </c>
      <c r="C454">
        <f>YEAR(B454)</f>
        <v/>
      </c>
      <c r="D454">
        <f>MONTH(B454)</f>
        <v/>
      </c>
      <c r="E454">
        <f>TEXT(B454,"MMM-YYYY")</f>
        <v/>
      </c>
      <c r="F454">
        <f>Raw_Data!C454</f>
        <v/>
      </c>
      <c r="G454">
        <f>Raw_Data!D454</f>
        <v/>
      </c>
      <c r="H454">
        <f>Raw_Data!E454</f>
        <v/>
      </c>
      <c r="I454">
        <f>Raw_Data!F454</f>
        <v/>
      </c>
      <c r="J454">
        <f>Raw_Data!G454</f>
        <v/>
      </c>
      <c r="K454">
        <f>Raw_Data!H454</f>
        <v/>
      </c>
      <c r="L454" s="30">
        <f>Raw_Data!I454</f>
        <v/>
      </c>
      <c r="M454" s="31">
        <f>Raw_Data!J454</f>
        <v/>
      </c>
      <c r="N454" s="17">
        <f>K454*L454</f>
        <v/>
      </c>
      <c r="O454" s="17">
        <f>N454*(1-M454)</f>
        <v/>
      </c>
      <c r="P454" s="17">
        <f>Raw_Data!L454</f>
        <v/>
      </c>
      <c r="Q454" s="17">
        <f>O454-P454</f>
        <v/>
      </c>
      <c r="R454" s="31">
        <f>IF(O454=0,0,Q454/O454)</f>
        <v/>
      </c>
      <c r="S454">
        <f>XLOOKUP(F454,Lookups!$B$7:$B$11,Lookups!$C$7:$C$11,"Unknown")</f>
        <v/>
      </c>
      <c r="T454" s="31">
        <f>XLOOKUP(G454,Lookups!$E$7:$E$11,Lookups!$F$7:$F$11,0)</f>
        <v/>
      </c>
      <c r="U454" s="32">
        <f>R454-T454</f>
        <v/>
      </c>
      <c r="V454">
        <f>XLOOKUP(I454,Lookups!$H$7:$H$10,Lookups!$I$7:$I$10,"")</f>
        <v/>
      </c>
      <c r="W454">
        <f>IF(O454&gt;=50000,"HIGH VALUE","")</f>
        <v/>
      </c>
      <c r="X454">
        <f>IF(Q454&lt;0,"LOSS","")</f>
        <v/>
      </c>
      <c r="Y454">
        <f>IFS(M454&gt;=0.15,"Deep Discount",M454&gt;=0.1,"Moderate",TRUE,"Standard")</f>
        <v/>
      </c>
    </row>
    <row r="455">
      <c r="A455">
        <f>Raw_Data!A455</f>
        <v/>
      </c>
      <c r="B455" s="29">
        <f>Raw_Data!B455</f>
        <v/>
      </c>
      <c r="C455">
        <f>YEAR(B455)</f>
        <v/>
      </c>
      <c r="D455">
        <f>MONTH(B455)</f>
        <v/>
      </c>
      <c r="E455">
        <f>TEXT(B455,"MMM-YYYY")</f>
        <v/>
      </c>
      <c r="F455">
        <f>Raw_Data!C455</f>
        <v/>
      </c>
      <c r="G455">
        <f>Raw_Data!D455</f>
        <v/>
      </c>
      <c r="H455">
        <f>Raw_Data!E455</f>
        <v/>
      </c>
      <c r="I455">
        <f>Raw_Data!F455</f>
        <v/>
      </c>
      <c r="J455">
        <f>Raw_Data!G455</f>
        <v/>
      </c>
      <c r="K455">
        <f>Raw_Data!H455</f>
        <v/>
      </c>
      <c r="L455" s="30">
        <f>Raw_Data!I455</f>
        <v/>
      </c>
      <c r="M455" s="31">
        <f>Raw_Data!J455</f>
        <v/>
      </c>
      <c r="N455" s="17">
        <f>K455*L455</f>
        <v/>
      </c>
      <c r="O455" s="17">
        <f>N455*(1-M455)</f>
        <v/>
      </c>
      <c r="P455" s="17">
        <f>Raw_Data!L455</f>
        <v/>
      </c>
      <c r="Q455" s="17">
        <f>O455-P455</f>
        <v/>
      </c>
      <c r="R455" s="31">
        <f>IF(O455=0,0,Q455/O455)</f>
        <v/>
      </c>
      <c r="S455">
        <f>XLOOKUP(F455,Lookups!$B$7:$B$11,Lookups!$C$7:$C$11,"Unknown")</f>
        <v/>
      </c>
      <c r="T455" s="31">
        <f>XLOOKUP(G455,Lookups!$E$7:$E$11,Lookups!$F$7:$F$11,0)</f>
        <v/>
      </c>
      <c r="U455" s="32">
        <f>R455-T455</f>
        <v/>
      </c>
      <c r="V455">
        <f>XLOOKUP(I455,Lookups!$H$7:$H$10,Lookups!$I$7:$I$10,"")</f>
        <v/>
      </c>
      <c r="W455">
        <f>IF(O455&gt;=50000,"HIGH VALUE","")</f>
        <v/>
      </c>
      <c r="X455">
        <f>IF(Q455&lt;0,"LOSS","")</f>
        <v/>
      </c>
      <c r="Y455">
        <f>IFS(M455&gt;=0.15,"Deep Discount",M455&gt;=0.1,"Moderate",TRUE,"Standard")</f>
        <v/>
      </c>
    </row>
    <row r="456">
      <c r="A456">
        <f>Raw_Data!A456</f>
        <v/>
      </c>
      <c r="B456" s="29">
        <f>Raw_Data!B456</f>
        <v/>
      </c>
      <c r="C456">
        <f>YEAR(B456)</f>
        <v/>
      </c>
      <c r="D456">
        <f>MONTH(B456)</f>
        <v/>
      </c>
      <c r="E456">
        <f>TEXT(B456,"MMM-YYYY")</f>
        <v/>
      </c>
      <c r="F456">
        <f>Raw_Data!C456</f>
        <v/>
      </c>
      <c r="G456">
        <f>Raw_Data!D456</f>
        <v/>
      </c>
      <c r="H456">
        <f>Raw_Data!E456</f>
        <v/>
      </c>
      <c r="I456">
        <f>Raw_Data!F456</f>
        <v/>
      </c>
      <c r="J456">
        <f>Raw_Data!G456</f>
        <v/>
      </c>
      <c r="K456">
        <f>Raw_Data!H456</f>
        <v/>
      </c>
      <c r="L456" s="30">
        <f>Raw_Data!I456</f>
        <v/>
      </c>
      <c r="M456" s="31">
        <f>Raw_Data!J456</f>
        <v/>
      </c>
      <c r="N456" s="17">
        <f>K456*L456</f>
        <v/>
      </c>
      <c r="O456" s="17">
        <f>N456*(1-M456)</f>
        <v/>
      </c>
      <c r="P456" s="17">
        <f>Raw_Data!L456</f>
        <v/>
      </c>
      <c r="Q456" s="17">
        <f>O456-P456</f>
        <v/>
      </c>
      <c r="R456" s="31">
        <f>IF(O456=0,0,Q456/O456)</f>
        <v/>
      </c>
      <c r="S456">
        <f>XLOOKUP(F456,Lookups!$B$7:$B$11,Lookups!$C$7:$C$11,"Unknown")</f>
        <v/>
      </c>
      <c r="T456" s="31">
        <f>XLOOKUP(G456,Lookups!$E$7:$E$11,Lookups!$F$7:$F$11,0)</f>
        <v/>
      </c>
      <c r="U456" s="32">
        <f>R456-T456</f>
        <v/>
      </c>
      <c r="V456">
        <f>XLOOKUP(I456,Lookups!$H$7:$H$10,Lookups!$I$7:$I$10,"")</f>
        <v/>
      </c>
      <c r="W456">
        <f>IF(O456&gt;=50000,"HIGH VALUE","")</f>
        <v/>
      </c>
      <c r="X456">
        <f>IF(Q456&lt;0,"LOSS","")</f>
        <v/>
      </c>
      <c r="Y456">
        <f>IFS(M456&gt;=0.15,"Deep Discount",M456&gt;=0.1,"Moderate",TRUE,"Standard")</f>
        <v/>
      </c>
    </row>
    <row r="457">
      <c r="A457">
        <f>Raw_Data!A457</f>
        <v/>
      </c>
      <c r="B457" s="29">
        <f>Raw_Data!B457</f>
        <v/>
      </c>
      <c r="C457">
        <f>YEAR(B457)</f>
        <v/>
      </c>
      <c r="D457">
        <f>MONTH(B457)</f>
        <v/>
      </c>
      <c r="E457">
        <f>TEXT(B457,"MMM-YYYY")</f>
        <v/>
      </c>
      <c r="F457">
        <f>Raw_Data!C457</f>
        <v/>
      </c>
      <c r="G457">
        <f>Raw_Data!D457</f>
        <v/>
      </c>
      <c r="H457">
        <f>Raw_Data!E457</f>
        <v/>
      </c>
      <c r="I457">
        <f>Raw_Data!F457</f>
        <v/>
      </c>
      <c r="J457">
        <f>Raw_Data!G457</f>
        <v/>
      </c>
      <c r="K457">
        <f>Raw_Data!H457</f>
        <v/>
      </c>
      <c r="L457" s="30">
        <f>Raw_Data!I457</f>
        <v/>
      </c>
      <c r="M457" s="31">
        <f>Raw_Data!J457</f>
        <v/>
      </c>
      <c r="N457" s="17">
        <f>K457*L457</f>
        <v/>
      </c>
      <c r="O457" s="17">
        <f>N457*(1-M457)</f>
        <v/>
      </c>
      <c r="P457" s="17">
        <f>Raw_Data!L457</f>
        <v/>
      </c>
      <c r="Q457" s="17">
        <f>O457-P457</f>
        <v/>
      </c>
      <c r="R457" s="31">
        <f>IF(O457=0,0,Q457/O457)</f>
        <v/>
      </c>
      <c r="S457">
        <f>XLOOKUP(F457,Lookups!$B$7:$B$11,Lookups!$C$7:$C$11,"Unknown")</f>
        <v/>
      </c>
      <c r="T457" s="31">
        <f>XLOOKUP(G457,Lookups!$E$7:$E$11,Lookups!$F$7:$F$11,0)</f>
        <v/>
      </c>
      <c r="U457" s="32">
        <f>R457-T457</f>
        <v/>
      </c>
      <c r="V457">
        <f>XLOOKUP(I457,Lookups!$H$7:$H$10,Lookups!$I$7:$I$10,"")</f>
        <v/>
      </c>
      <c r="W457">
        <f>IF(O457&gt;=50000,"HIGH VALUE","")</f>
        <v/>
      </c>
      <c r="X457">
        <f>IF(Q457&lt;0,"LOSS","")</f>
        <v/>
      </c>
      <c r="Y457">
        <f>IFS(M457&gt;=0.15,"Deep Discount",M457&gt;=0.1,"Moderate",TRUE,"Standard")</f>
        <v/>
      </c>
    </row>
    <row r="458">
      <c r="A458">
        <f>Raw_Data!A458</f>
        <v/>
      </c>
      <c r="B458" s="29">
        <f>Raw_Data!B458</f>
        <v/>
      </c>
      <c r="C458">
        <f>YEAR(B458)</f>
        <v/>
      </c>
      <c r="D458">
        <f>MONTH(B458)</f>
        <v/>
      </c>
      <c r="E458">
        <f>TEXT(B458,"MMM-YYYY")</f>
        <v/>
      </c>
      <c r="F458">
        <f>Raw_Data!C458</f>
        <v/>
      </c>
      <c r="G458">
        <f>Raw_Data!D458</f>
        <v/>
      </c>
      <c r="H458">
        <f>Raw_Data!E458</f>
        <v/>
      </c>
      <c r="I458">
        <f>Raw_Data!F458</f>
        <v/>
      </c>
      <c r="J458">
        <f>Raw_Data!G458</f>
        <v/>
      </c>
      <c r="K458">
        <f>Raw_Data!H458</f>
        <v/>
      </c>
      <c r="L458" s="30">
        <f>Raw_Data!I458</f>
        <v/>
      </c>
      <c r="M458" s="31">
        <f>Raw_Data!J458</f>
        <v/>
      </c>
      <c r="N458" s="17">
        <f>K458*L458</f>
        <v/>
      </c>
      <c r="O458" s="17">
        <f>N458*(1-M458)</f>
        <v/>
      </c>
      <c r="P458" s="17">
        <f>Raw_Data!L458</f>
        <v/>
      </c>
      <c r="Q458" s="17">
        <f>O458-P458</f>
        <v/>
      </c>
      <c r="R458" s="31">
        <f>IF(O458=0,0,Q458/O458)</f>
        <v/>
      </c>
      <c r="S458">
        <f>XLOOKUP(F458,Lookups!$B$7:$B$11,Lookups!$C$7:$C$11,"Unknown")</f>
        <v/>
      </c>
      <c r="T458" s="31">
        <f>XLOOKUP(G458,Lookups!$E$7:$E$11,Lookups!$F$7:$F$11,0)</f>
        <v/>
      </c>
      <c r="U458" s="32">
        <f>R458-T458</f>
        <v/>
      </c>
      <c r="V458">
        <f>XLOOKUP(I458,Lookups!$H$7:$H$10,Lookups!$I$7:$I$10,"")</f>
        <v/>
      </c>
      <c r="W458">
        <f>IF(O458&gt;=50000,"HIGH VALUE","")</f>
        <v/>
      </c>
      <c r="X458">
        <f>IF(Q458&lt;0,"LOSS","")</f>
        <v/>
      </c>
      <c r="Y458">
        <f>IFS(M458&gt;=0.15,"Deep Discount",M458&gt;=0.1,"Moderate",TRUE,"Standard")</f>
        <v/>
      </c>
    </row>
    <row r="459">
      <c r="A459">
        <f>Raw_Data!A459</f>
        <v/>
      </c>
      <c r="B459" s="29">
        <f>Raw_Data!B459</f>
        <v/>
      </c>
      <c r="C459">
        <f>YEAR(B459)</f>
        <v/>
      </c>
      <c r="D459">
        <f>MONTH(B459)</f>
        <v/>
      </c>
      <c r="E459">
        <f>TEXT(B459,"MMM-YYYY")</f>
        <v/>
      </c>
      <c r="F459">
        <f>Raw_Data!C459</f>
        <v/>
      </c>
      <c r="G459">
        <f>Raw_Data!D459</f>
        <v/>
      </c>
      <c r="H459">
        <f>Raw_Data!E459</f>
        <v/>
      </c>
      <c r="I459">
        <f>Raw_Data!F459</f>
        <v/>
      </c>
      <c r="J459">
        <f>Raw_Data!G459</f>
        <v/>
      </c>
      <c r="K459">
        <f>Raw_Data!H459</f>
        <v/>
      </c>
      <c r="L459" s="30">
        <f>Raw_Data!I459</f>
        <v/>
      </c>
      <c r="M459" s="31">
        <f>Raw_Data!J459</f>
        <v/>
      </c>
      <c r="N459" s="17">
        <f>K459*L459</f>
        <v/>
      </c>
      <c r="O459" s="17">
        <f>N459*(1-M459)</f>
        <v/>
      </c>
      <c r="P459" s="17">
        <f>Raw_Data!L459</f>
        <v/>
      </c>
      <c r="Q459" s="17">
        <f>O459-P459</f>
        <v/>
      </c>
      <c r="R459" s="31">
        <f>IF(O459=0,0,Q459/O459)</f>
        <v/>
      </c>
      <c r="S459">
        <f>XLOOKUP(F459,Lookups!$B$7:$B$11,Lookups!$C$7:$C$11,"Unknown")</f>
        <v/>
      </c>
      <c r="T459" s="31">
        <f>XLOOKUP(G459,Lookups!$E$7:$E$11,Lookups!$F$7:$F$11,0)</f>
        <v/>
      </c>
      <c r="U459" s="32">
        <f>R459-T459</f>
        <v/>
      </c>
      <c r="V459">
        <f>XLOOKUP(I459,Lookups!$H$7:$H$10,Lookups!$I$7:$I$10,"")</f>
        <v/>
      </c>
      <c r="W459">
        <f>IF(O459&gt;=50000,"HIGH VALUE","")</f>
        <v/>
      </c>
      <c r="X459">
        <f>IF(Q459&lt;0,"LOSS","")</f>
        <v/>
      </c>
      <c r="Y459">
        <f>IFS(M459&gt;=0.15,"Deep Discount",M459&gt;=0.1,"Moderate",TRUE,"Standard")</f>
        <v/>
      </c>
    </row>
    <row r="460">
      <c r="A460">
        <f>Raw_Data!A460</f>
        <v/>
      </c>
      <c r="B460" s="29">
        <f>Raw_Data!B460</f>
        <v/>
      </c>
      <c r="C460">
        <f>YEAR(B460)</f>
        <v/>
      </c>
      <c r="D460">
        <f>MONTH(B460)</f>
        <v/>
      </c>
      <c r="E460">
        <f>TEXT(B460,"MMM-YYYY")</f>
        <v/>
      </c>
      <c r="F460">
        <f>Raw_Data!C460</f>
        <v/>
      </c>
      <c r="G460">
        <f>Raw_Data!D460</f>
        <v/>
      </c>
      <c r="H460">
        <f>Raw_Data!E460</f>
        <v/>
      </c>
      <c r="I460">
        <f>Raw_Data!F460</f>
        <v/>
      </c>
      <c r="J460">
        <f>Raw_Data!G460</f>
        <v/>
      </c>
      <c r="K460">
        <f>Raw_Data!H460</f>
        <v/>
      </c>
      <c r="L460" s="30">
        <f>Raw_Data!I460</f>
        <v/>
      </c>
      <c r="M460" s="31">
        <f>Raw_Data!J460</f>
        <v/>
      </c>
      <c r="N460" s="17">
        <f>K460*L460</f>
        <v/>
      </c>
      <c r="O460" s="17">
        <f>N460*(1-M460)</f>
        <v/>
      </c>
      <c r="P460" s="17">
        <f>Raw_Data!L460</f>
        <v/>
      </c>
      <c r="Q460" s="17">
        <f>O460-P460</f>
        <v/>
      </c>
      <c r="R460" s="31">
        <f>IF(O460=0,0,Q460/O460)</f>
        <v/>
      </c>
      <c r="S460">
        <f>XLOOKUP(F460,Lookups!$B$7:$B$11,Lookups!$C$7:$C$11,"Unknown")</f>
        <v/>
      </c>
      <c r="T460" s="31">
        <f>XLOOKUP(G460,Lookups!$E$7:$E$11,Lookups!$F$7:$F$11,0)</f>
        <v/>
      </c>
      <c r="U460" s="32">
        <f>R460-T460</f>
        <v/>
      </c>
      <c r="V460">
        <f>XLOOKUP(I460,Lookups!$H$7:$H$10,Lookups!$I$7:$I$10,"")</f>
        <v/>
      </c>
      <c r="W460">
        <f>IF(O460&gt;=50000,"HIGH VALUE","")</f>
        <v/>
      </c>
      <c r="X460">
        <f>IF(Q460&lt;0,"LOSS","")</f>
        <v/>
      </c>
      <c r="Y460">
        <f>IFS(M460&gt;=0.15,"Deep Discount",M460&gt;=0.1,"Moderate",TRUE,"Standard")</f>
        <v/>
      </c>
    </row>
    <row r="461">
      <c r="A461">
        <f>Raw_Data!A461</f>
        <v/>
      </c>
      <c r="B461" s="29">
        <f>Raw_Data!B461</f>
        <v/>
      </c>
      <c r="C461">
        <f>YEAR(B461)</f>
        <v/>
      </c>
      <c r="D461">
        <f>MONTH(B461)</f>
        <v/>
      </c>
      <c r="E461">
        <f>TEXT(B461,"MMM-YYYY")</f>
        <v/>
      </c>
      <c r="F461">
        <f>Raw_Data!C461</f>
        <v/>
      </c>
      <c r="G461">
        <f>Raw_Data!D461</f>
        <v/>
      </c>
      <c r="H461">
        <f>Raw_Data!E461</f>
        <v/>
      </c>
      <c r="I461">
        <f>Raw_Data!F461</f>
        <v/>
      </c>
      <c r="J461">
        <f>Raw_Data!G461</f>
        <v/>
      </c>
      <c r="K461">
        <f>Raw_Data!H461</f>
        <v/>
      </c>
      <c r="L461" s="30">
        <f>Raw_Data!I461</f>
        <v/>
      </c>
      <c r="M461" s="31">
        <f>Raw_Data!J461</f>
        <v/>
      </c>
      <c r="N461" s="17">
        <f>K461*L461</f>
        <v/>
      </c>
      <c r="O461" s="17">
        <f>N461*(1-M461)</f>
        <v/>
      </c>
      <c r="P461" s="17">
        <f>Raw_Data!L461</f>
        <v/>
      </c>
      <c r="Q461" s="17">
        <f>O461-P461</f>
        <v/>
      </c>
      <c r="R461" s="31">
        <f>IF(O461=0,0,Q461/O461)</f>
        <v/>
      </c>
      <c r="S461">
        <f>XLOOKUP(F461,Lookups!$B$7:$B$11,Lookups!$C$7:$C$11,"Unknown")</f>
        <v/>
      </c>
      <c r="T461" s="31">
        <f>XLOOKUP(G461,Lookups!$E$7:$E$11,Lookups!$F$7:$F$11,0)</f>
        <v/>
      </c>
      <c r="U461" s="32">
        <f>R461-T461</f>
        <v/>
      </c>
      <c r="V461">
        <f>XLOOKUP(I461,Lookups!$H$7:$H$10,Lookups!$I$7:$I$10,"")</f>
        <v/>
      </c>
      <c r="W461">
        <f>IF(O461&gt;=50000,"HIGH VALUE","")</f>
        <v/>
      </c>
      <c r="X461">
        <f>IF(Q461&lt;0,"LOSS","")</f>
        <v/>
      </c>
      <c r="Y461">
        <f>IFS(M461&gt;=0.15,"Deep Discount",M461&gt;=0.1,"Moderate",TRUE,"Standard")</f>
        <v/>
      </c>
    </row>
    <row r="462">
      <c r="A462">
        <f>Raw_Data!A462</f>
        <v/>
      </c>
      <c r="B462" s="29">
        <f>Raw_Data!B462</f>
        <v/>
      </c>
      <c r="C462">
        <f>YEAR(B462)</f>
        <v/>
      </c>
      <c r="D462">
        <f>MONTH(B462)</f>
        <v/>
      </c>
      <c r="E462">
        <f>TEXT(B462,"MMM-YYYY")</f>
        <v/>
      </c>
      <c r="F462">
        <f>Raw_Data!C462</f>
        <v/>
      </c>
      <c r="G462">
        <f>Raw_Data!D462</f>
        <v/>
      </c>
      <c r="H462">
        <f>Raw_Data!E462</f>
        <v/>
      </c>
      <c r="I462">
        <f>Raw_Data!F462</f>
        <v/>
      </c>
      <c r="J462">
        <f>Raw_Data!G462</f>
        <v/>
      </c>
      <c r="K462">
        <f>Raw_Data!H462</f>
        <v/>
      </c>
      <c r="L462" s="30">
        <f>Raw_Data!I462</f>
        <v/>
      </c>
      <c r="M462" s="31">
        <f>Raw_Data!J462</f>
        <v/>
      </c>
      <c r="N462" s="17">
        <f>K462*L462</f>
        <v/>
      </c>
      <c r="O462" s="17">
        <f>N462*(1-M462)</f>
        <v/>
      </c>
      <c r="P462" s="17">
        <f>Raw_Data!L462</f>
        <v/>
      </c>
      <c r="Q462" s="17">
        <f>O462-P462</f>
        <v/>
      </c>
      <c r="R462" s="31">
        <f>IF(O462=0,0,Q462/O462)</f>
        <v/>
      </c>
      <c r="S462">
        <f>XLOOKUP(F462,Lookups!$B$7:$B$11,Lookups!$C$7:$C$11,"Unknown")</f>
        <v/>
      </c>
      <c r="T462" s="31">
        <f>XLOOKUP(G462,Lookups!$E$7:$E$11,Lookups!$F$7:$F$11,0)</f>
        <v/>
      </c>
      <c r="U462" s="32">
        <f>R462-T462</f>
        <v/>
      </c>
      <c r="V462">
        <f>XLOOKUP(I462,Lookups!$H$7:$H$10,Lookups!$I$7:$I$10,"")</f>
        <v/>
      </c>
      <c r="W462">
        <f>IF(O462&gt;=50000,"HIGH VALUE","")</f>
        <v/>
      </c>
      <c r="X462">
        <f>IF(Q462&lt;0,"LOSS","")</f>
        <v/>
      </c>
      <c r="Y462">
        <f>IFS(M462&gt;=0.15,"Deep Discount",M462&gt;=0.1,"Moderate",TRUE,"Standard")</f>
        <v/>
      </c>
    </row>
    <row r="463">
      <c r="A463">
        <f>Raw_Data!A463</f>
        <v/>
      </c>
      <c r="B463" s="29">
        <f>Raw_Data!B463</f>
        <v/>
      </c>
      <c r="C463">
        <f>YEAR(B463)</f>
        <v/>
      </c>
      <c r="D463">
        <f>MONTH(B463)</f>
        <v/>
      </c>
      <c r="E463">
        <f>TEXT(B463,"MMM-YYYY")</f>
        <v/>
      </c>
      <c r="F463">
        <f>Raw_Data!C463</f>
        <v/>
      </c>
      <c r="G463">
        <f>Raw_Data!D463</f>
        <v/>
      </c>
      <c r="H463">
        <f>Raw_Data!E463</f>
        <v/>
      </c>
      <c r="I463">
        <f>Raw_Data!F463</f>
        <v/>
      </c>
      <c r="J463">
        <f>Raw_Data!G463</f>
        <v/>
      </c>
      <c r="K463">
        <f>Raw_Data!H463</f>
        <v/>
      </c>
      <c r="L463" s="30">
        <f>Raw_Data!I463</f>
        <v/>
      </c>
      <c r="M463" s="31">
        <f>Raw_Data!J463</f>
        <v/>
      </c>
      <c r="N463" s="17">
        <f>K463*L463</f>
        <v/>
      </c>
      <c r="O463" s="17">
        <f>N463*(1-M463)</f>
        <v/>
      </c>
      <c r="P463" s="17">
        <f>Raw_Data!L463</f>
        <v/>
      </c>
      <c r="Q463" s="17">
        <f>O463-P463</f>
        <v/>
      </c>
      <c r="R463" s="31">
        <f>IF(O463=0,0,Q463/O463)</f>
        <v/>
      </c>
      <c r="S463">
        <f>XLOOKUP(F463,Lookups!$B$7:$B$11,Lookups!$C$7:$C$11,"Unknown")</f>
        <v/>
      </c>
      <c r="T463" s="31">
        <f>XLOOKUP(G463,Lookups!$E$7:$E$11,Lookups!$F$7:$F$11,0)</f>
        <v/>
      </c>
      <c r="U463" s="32">
        <f>R463-T463</f>
        <v/>
      </c>
      <c r="V463">
        <f>XLOOKUP(I463,Lookups!$H$7:$H$10,Lookups!$I$7:$I$10,"")</f>
        <v/>
      </c>
      <c r="W463">
        <f>IF(O463&gt;=50000,"HIGH VALUE","")</f>
        <v/>
      </c>
      <c r="X463">
        <f>IF(Q463&lt;0,"LOSS","")</f>
        <v/>
      </c>
      <c r="Y463">
        <f>IFS(M463&gt;=0.15,"Deep Discount",M463&gt;=0.1,"Moderate",TRUE,"Standard")</f>
        <v/>
      </c>
    </row>
    <row r="464">
      <c r="A464">
        <f>Raw_Data!A464</f>
        <v/>
      </c>
      <c r="B464" s="29">
        <f>Raw_Data!B464</f>
        <v/>
      </c>
      <c r="C464">
        <f>YEAR(B464)</f>
        <v/>
      </c>
      <c r="D464">
        <f>MONTH(B464)</f>
        <v/>
      </c>
      <c r="E464">
        <f>TEXT(B464,"MMM-YYYY")</f>
        <v/>
      </c>
      <c r="F464">
        <f>Raw_Data!C464</f>
        <v/>
      </c>
      <c r="G464">
        <f>Raw_Data!D464</f>
        <v/>
      </c>
      <c r="H464">
        <f>Raw_Data!E464</f>
        <v/>
      </c>
      <c r="I464">
        <f>Raw_Data!F464</f>
        <v/>
      </c>
      <c r="J464">
        <f>Raw_Data!G464</f>
        <v/>
      </c>
      <c r="K464">
        <f>Raw_Data!H464</f>
        <v/>
      </c>
      <c r="L464" s="30">
        <f>Raw_Data!I464</f>
        <v/>
      </c>
      <c r="M464" s="31">
        <f>Raw_Data!J464</f>
        <v/>
      </c>
      <c r="N464" s="17">
        <f>K464*L464</f>
        <v/>
      </c>
      <c r="O464" s="17">
        <f>N464*(1-M464)</f>
        <v/>
      </c>
      <c r="P464" s="17">
        <f>Raw_Data!L464</f>
        <v/>
      </c>
      <c r="Q464" s="17">
        <f>O464-P464</f>
        <v/>
      </c>
      <c r="R464" s="31">
        <f>IF(O464=0,0,Q464/O464)</f>
        <v/>
      </c>
      <c r="S464">
        <f>XLOOKUP(F464,Lookups!$B$7:$B$11,Lookups!$C$7:$C$11,"Unknown")</f>
        <v/>
      </c>
      <c r="T464" s="31">
        <f>XLOOKUP(G464,Lookups!$E$7:$E$11,Lookups!$F$7:$F$11,0)</f>
        <v/>
      </c>
      <c r="U464" s="32">
        <f>R464-T464</f>
        <v/>
      </c>
      <c r="V464">
        <f>XLOOKUP(I464,Lookups!$H$7:$H$10,Lookups!$I$7:$I$10,"")</f>
        <v/>
      </c>
      <c r="W464">
        <f>IF(O464&gt;=50000,"HIGH VALUE","")</f>
        <v/>
      </c>
      <c r="X464">
        <f>IF(Q464&lt;0,"LOSS","")</f>
        <v/>
      </c>
      <c r="Y464">
        <f>IFS(M464&gt;=0.15,"Deep Discount",M464&gt;=0.1,"Moderate",TRUE,"Standard")</f>
        <v/>
      </c>
    </row>
    <row r="465">
      <c r="A465">
        <f>Raw_Data!A465</f>
        <v/>
      </c>
      <c r="B465" s="29">
        <f>Raw_Data!B465</f>
        <v/>
      </c>
      <c r="C465">
        <f>YEAR(B465)</f>
        <v/>
      </c>
      <c r="D465">
        <f>MONTH(B465)</f>
        <v/>
      </c>
      <c r="E465">
        <f>TEXT(B465,"MMM-YYYY")</f>
        <v/>
      </c>
      <c r="F465">
        <f>Raw_Data!C465</f>
        <v/>
      </c>
      <c r="G465">
        <f>Raw_Data!D465</f>
        <v/>
      </c>
      <c r="H465">
        <f>Raw_Data!E465</f>
        <v/>
      </c>
      <c r="I465">
        <f>Raw_Data!F465</f>
        <v/>
      </c>
      <c r="J465">
        <f>Raw_Data!G465</f>
        <v/>
      </c>
      <c r="K465">
        <f>Raw_Data!H465</f>
        <v/>
      </c>
      <c r="L465" s="30">
        <f>Raw_Data!I465</f>
        <v/>
      </c>
      <c r="M465" s="31">
        <f>Raw_Data!J465</f>
        <v/>
      </c>
      <c r="N465" s="17">
        <f>K465*L465</f>
        <v/>
      </c>
      <c r="O465" s="17">
        <f>N465*(1-M465)</f>
        <v/>
      </c>
      <c r="P465" s="17">
        <f>Raw_Data!L465</f>
        <v/>
      </c>
      <c r="Q465" s="17">
        <f>O465-P465</f>
        <v/>
      </c>
      <c r="R465" s="31">
        <f>IF(O465=0,0,Q465/O465)</f>
        <v/>
      </c>
      <c r="S465">
        <f>XLOOKUP(F465,Lookups!$B$7:$B$11,Lookups!$C$7:$C$11,"Unknown")</f>
        <v/>
      </c>
      <c r="T465" s="31">
        <f>XLOOKUP(G465,Lookups!$E$7:$E$11,Lookups!$F$7:$F$11,0)</f>
        <v/>
      </c>
      <c r="U465" s="32">
        <f>R465-T465</f>
        <v/>
      </c>
      <c r="V465">
        <f>XLOOKUP(I465,Lookups!$H$7:$H$10,Lookups!$I$7:$I$10,"")</f>
        <v/>
      </c>
      <c r="W465">
        <f>IF(O465&gt;=50000,"HIGH VALUE","")</f>
        <v/>
      </c>
      <c r="X465">
        <f>IF(Q465&lt;0,"LOSS","")</f>
        <v/>
      </c>
      <c r="Y465">
        <f>IFS(M465&gt;=0.15,"Deep Discount",M465&gt;=0.1,"Moderate",TRUE,"Standard")</f>
        <v/>
      </c>
    </row>
    <row r="466">
      <c r="A466">
        <f>Raw_Data!A466</f>
        <v/>
      </c>
      <c r="B466" s="29">
        <f>Raw_Data!B466</f>
        <v/>
      </c>
      <c r="C466">
        <f>YEAR(B466)</f>
        <v/>
      </c>
      <c r="D466">
        <f>MONTH(B466)</f>
        <v/>
      </c>
      <c r="E466">
        <f>TEXT(B466,"MMM-YYYY")</f>
        <v/>
      </c>
      <c r="F466">
        <f>Raw_Data!C466</f>
        <v/>
      </c>
      <c r="G466">
        <f>Raw_Data!D466</f>
        <v/>
      </c>
      <c r="H466">
        <f>Raw_Data!E466</f>
        <v/>
      </c>
      <c r="I466">
        <f>Raw_Data!F466</f>
        <v/>
      </c>
      <c r="J466">
        <f>Raw_Data!G466</f>
        <v/>
      </c>
      <c r="K466">
        <f>Raw_Data!H466</f>
        <v/>
      </c>
      <c r="L466" s="30">
        <f>Raw_Data!I466</f>
        <v/>
      </c>
      <c r="M466" s="31">
        <f>Raw_Data!J466</f>
        <v/>
      </c>
      <c r="N466" s="17">
        <f>K466*L466</f>
        <v/>
      </c>
      <c r="O466" s="17">
        <f>N466*(1-M466)</f>
        <v/>
      </c>
      <c r="P466" s="17">
        <f>Raw_Data!L466</f>
        <v/>
      </c>
      <c r="Q466" s="17">
        <f>O466-P466</f>
        <v/>
      </c>
      <c r="R466" s="31">
        <f>IF(O466=0,0,Q466/O466)</f>
        <v/>
      </c>
      <c r="S466">
        <f>XLOOKUP(F466,Lookups!$B$7:$B$11,Lookups!$C$7:$C$11,"Unknown")</f>
        <v/>
      </c>
      <c r="T466" s="31">
        <f>XLOOKUP(G466,Lookups!$E$7:$E$11,Lookups!$F$7:$F$11,0)</f>
        <v/>
      </c>
      <c r="U466" s="32">
        <f>R466-T466</f>
        <v/>
      </c>
      <c r="V466">
        <f>XLOOKUP(I466,Lookups!$H$7:$H$10,Lookups!$I$7:$I$10,"")</f>
        <v/>
      </c>
      <c r="W466">
        <f>IF(O466&gt;=50000,"HIGH VALUE","")</f>
        <v/>
      </c>
      <c r="X466">
        <f>IF(Q466&lt;0,"LOSS","")</f>
        <v/>
      </c>
      <c r="Y466">
        <f>IFS(M466&gt;=0.15,"Deep Discount",M466&gt;=0.1,"Moderate",TRUE,"Standard")</f>
        <v/>
      </c>
    </row>
    <row r="467">
      <c r="A467">
        <f>Raw_Data!A467</f>
        <v/>
      </c>
      <c r="B467" s="29">
        <f>Raw_Data!B467</f>
        <v/>
      </c>
      <c r="C467">
        <f>YEAR(B467)</f>
        <v/>
      </c>
      <c r="D467">
        <f>MONTH(B467)</f>
        <v/>
      </c>
      <c r="E467">
        <f>TEXT(B467,"MMM-YYYY")</f>
        <v/>
      </c>
      <c r="F467">
        <f>Raw_Data!C467</f>
        <v/>
      </c>
      <c r="G467">
        <f>Raw_Data!D467</f>
        <v/>
      </c>
      <c r="H467">
        <f>Raw_Data!E467</f>
        <v/>
      </c>
      <c r="I467">
        <f>Raw_Data!F467</f>
        <v/>
      </c>
      <c r="J467">
        <f>Raw_Data!G467</f>
        <v/>
      </c>
      <c r="K467">
        <f>Raw_Data!H467</f>
        <v/>
      </c>
      <c r="L467" s="30">
        <f>Raw_Data!I467</f>
        <v/>
      </c>
      <c r="M467" s="31">
        <f>Raw_Data!J467</f>
        <v/>
      </c>
      <c r="N467" s="17">
        <f>K467*L467</f>
        <v/>
      </c>
      <c r="O467" s="17">
        <f>N467*(1-M467)</f>
        <v/>
      </c>
      <c r="P467" s="17">
        <f>Raw_Data!L467</f>
        <v/>
      </c>
      <c r="Q467" s="17">
        <f>O467-P467</f>
        <v/>
      </c>
      <c r="R467" s="31">
        <f>IF(O467=0,0,Q467/O467)</f>
        <v/>
      </c>
      <c r="S467">
        <f>XLOOKUP(F467,Lookups!$B$7:$B$11,Lookups!$C$7:$C$11,"Unknown")</f>
        <v/>
      </c>
      <c r="T467" s="31">
        <f>XLOOKUP(G467,Lookups!$E$7:$E$11,Lookups!$F$7:$F$11,0)</f>
        <v/>
      </c>
      <c r="U467" s="32">
        <f>R467-T467</f>
        <v/>
      </c>
      <c r="V467">
        <f>XLOOKUP(I467,Lookups!$H$7:$H$10,Lookups!$I$7:$I$10,"")</f>
        <v/>
      </c>
      <c r="W467">
        <f>IF(O467&gt;=50000,"HIGH VALUE","")</f>
        <v/>
      </c>
      <c r="X467">
        <f>IF(Q467&lt;0,"LOSS","")</f>
        <v/>
      </c>
      <c r="Y467">
        <f>IFS(M467&gt;=0.15,"Deep Discount",M467&gt;=0.1,"Moderate",TRUE,"Standard")</f>
        <v/>
      </c>
    </row>
    <row r="468">
      <c r="A468">
        <f>Raw_Data!A468</f>
        <v/>
      </c>
      <c r="B468" s="29">
        <f>Raw_Data!B468</f>
        <v/>
      </c>
      <c r="C468">
        <f>YEAR(B468)</f>
        <v/>
      </c>
      <c r="D468">
        <f>MONTH(B468)</f>
        <v/>
      </c>
      <c r="E468">
        <f>TEXT(B468,"MMM-YYYY")</f>
        <v/>
      </c>
      <c r="F468">
        <f>Raw_Data!C468</f>
        <v/>
      </c>
      <c r="G468">
        <f>Raw_Data!D468</f>
        <v/>
      </c>
      <c r="H468">
        <f>Raw_Data!E468</f>
        <v/>
      </c>
      <c r="I468">
        <f>Raw_Data!F468</f>
        <v/>
      </c>
      <c r="J468">
        <f>Raw_Data!G468</f>
        <v/>
      </c>
      <c r="K468">
        <f>Raw_Data!H468</f>
        <v/>
      </c>
      <c r="L468" s="30">
        <f>Raw_Data!I468</f>
        <v/>
      </c>
      <c r="M468" s="31">
        <f>Raw_Data!J468</f>
        <v/>
      </c>
      <c r="N468" s="17">
        <f>K468*L468</f>
        <v/>
      </c>
      <c r="O468" s="17">
        <f>N468*(1-M468)</f>
        <v/>
      </c>
      <c r="P468" s="17">
        <f>Raw_Data!L468</f>
        <v/>
      </c>
      <c r="Q468" s="17">
        <f>O468-P468</f>
        <v/>
      </c>
      <c r="R468" s="31">
        <f>IF(O468=0,0,Q468/O468)</f>
        <v/>
      </c>
      <c r="S468">
        <f>XLOOKUP(F468,Lookups!$B$7:$B$11,Lookups!$C$7:$C$11,"Unknown")</f>
        <v/>
      </c>
      <c r="T468" s="31">
        <f>XLOOKUP(G468,Lookups!$E$7:$E$11,Lookups!$F$7:$F$11,0)</f>
        <v/>
      </c>
      <c r="U468" s="32">
        <f>R468-T468</f>
        <v/>
      </c>
      <c r="V468">
        <f>XLOOKUP(I468,Lookups!$H$7:$H$10,Lookups!$I$7:$I$10,"")</f>
        <v/>
      </c>
      <c r="W468">
        <f>IF(O468&gt;=50000,"HIGH VALUE","")</f>
        <v/>
      </c>
      <c r="X468">
        <f>IF(Q468&lt;0,"LOSS","")</f>
        <v/>
      </c>
      <c r="Y468">
        <f>IFS(M468&gt;=0.15,"Deep Discount",M468&gt;=0.1,"Moderate",TRUE,"Standard")</f>
        <v/>
      </c>
    </row>
    <row r="469">
      <c r="A469">
        <f>Raw_Data!A469</f>
        <v/>
      </c>
      <c r="B469" s="29">
        <f>Raw_Data!B469</f>
        <v/>
      </c>
      <c r="C469">
        <f>YEAR(B469)</f>
        <v/>
      </c>
      <c r="D469">
        <f>MONTH(B469)</f>
        <v/>
      </c>
      <c r="E469">
        <f>TEXT(B469,"MMM-YYYY")</f>
        <v/>
      </c>
      <c r="F469">
        <f>Raw_Data!C469</f>
        <v/>
      </c>
      <c r="G469">
        <f>Raw_Data!D469</f>
        <v/>
      </c>
      <c r="H469">
        <f>Raw_Data!E469</f>
        <v/>
      </c>
      <c r="I469">
        <f>Raw_Data!F469</f>
        <v/>
      </c>
      <c r="J469">
        <f>Raw_Data!G469</f>
        <v/>
      </c>
      <c r="K469">
        <f>Raw_Data!H469</f>
        <v/>
      </c>
      <c r="L469" s="30">
        <f>Raw_Data!I469</f>
        <v/>
      </c>
      <c r="M469" s="31">
        <f>Raw_Data!J469</f>
        <v/>
      </c>
      <c r="N469" s="17">
        <f>K469*L469</f>
        <v/>
      </c>
      <c r="O469" s="17">
        <f>N469*(1-M469)</f>
        <v/>
      </c>
      <c r="P469" s="17">
        <f>Raw_Data!L469</f>
        <v/>
      </c>
      <c r="Q469" s="17">
        <f>O469-P469</f>
        <v/>
      </c>
      <c r="R469" s="31">
        <f>IF(O469=0,0,Q469/O469)</f>
        <v/>
      </c>
      <c r="S469">
        <f>XLOOKUP(F469,Lookups!$B$7:$B$11,Lookups!$C$7:$C$11,"Unknown")</f>
        <v/>
      </c>
      <c r="T469" s="31">
        <f>XLOOKUP(G469,Lookups!$E$7:$E$11,Lookups!$F$7:$F$11,0)</f>
        <v/>
      </c>
      <c r="U469" s="32">
        <f>R469-T469</f>
        <v/>
      </c>
      <c r="V469">
        <f>XLOOKUP(I469,Lookups!$H$7:$H$10,Lookups!$I$7:$I$10,"")</f>
        <v/>
      </c>
      <c r="W469">
        <f>IF(O469&gt;=50000,"HIGH VALUE","")</f>
        <v/>
      </c>
      <c r="X469">
        <f>IF(Q469&lt;0,"LOSS","")</f>
        <v/>
      </c>
      <c r="Y469">
        <f>IFS(M469&gt;=0.15,"Deep Discount",M469&gt;=0.1,"Moderate",TRUE,"Standard")</f>
        <v/>
      </c>
    </row>
    <row r="470">
      <c r="A470">
        <f>Raw_Data!A470</f>
        <v/>
      </c>
      <c r="B470" s="29">
        <f>Raw_Data!B470</f>
        <v/>
      </c>
      <c r="C470">
        <f>YEAR(B470)</f>
        <v/>
      </c>
      <c r="D470">
        <f>MONTH(B470)</f>
        <v/>
      </c>
      <c r="E470">
        <f>TEXT(B470,"MMM-YYYY")</f>
        <v/>
      </c>
      <c r="F470">
        <f>Raw_Data!C470</f>
        <v/>
      </c>
      <c r="G470">
        <f>Raw_Data!D470</f>
        <v/>
      </c>
      <c r="H470">
        <f>Raw_Data!E470</f>
        <v/>
      </c>
      <c r="I470">
        <f>Raw_Data!F470</f>
        <v/>
      </c>
      <c r="J470">
        <f>Raw_Data!G470</f>
        <v/>
      </c>
      <c r="K470">
        <f>Raw_Data!H470</f>
        <v/>
      </c>
      <c r="L470" s="30">
        <f>Raw_Data!I470</f>
        <v/>
      </c>
      <c r="M470" s="31">
        <f>Raw_Data!J470</f>
        <v/>
      </c>
      <c r="N470" s="17">
        <f>K470*L470</f>
        <v/>
      </c>
      <c r="O470" s="17">
        <f>N470*(1-M470)</f>
        <v/>
      </c>
      <c r="P470" s="17">
        <f>Raw_Data!L470</f>
        <v/>
      </c>
      <c r="Q470" s="17">
        <f>O470-P470</f>
        <v/>
      </c>
      <c r="R470" s="31">
        <f>IF(O470=0,0,Q470/O470)</f>
        <v/>
      </c>
      <c r="S470">
        <f>XLOOKUP(F470,Lookups!$B$7:$B$11,Lookups!$C$7:$C$11,"Unknown")</f>
        <v/>
      </c>
      <c r="T470" s="31">
        <f>XLOOKUP(G470,Lookups!$E$7:$E$11,Lookups!$F$7:$F$11,0)</f>
        <v/>
      </c>
      <c r="U470" s="32">
        <f>R470-T470</f>
        <v/>
      </c>
      <c r="V470">
        <f>XLOOKUP(I470,Lookups!$H$7:$H$10,Lookups!$I$7:$I$10,"")</f>
        <v/>
      </c>
      <c r="W470">
        <f>IF(O470&gt;=50000,"HIGH VALUE","")</f>
        <v/>
      </c>
      <c r="X470">
        <f>IF(Q470&lt;0,"LOSS","")</f>
        <v/>
      </c>
      <c r="Y470">
        <f>IFS(M470&gt;=0.15,"Deep Discount",M470&gt;=0.1,"Moderate",TRUE,"Standard")</f>
        <v/>
      </c>
    </row>
    <row r="471">
      <c r="A471">
        <f>Raw_Data!A471</f>
        <v/>
      </c>
      <c r="B471" s="29">
        <f>Raw_Data!B471</f>
        <v/>
      </c>
      <c r="C471">
        <f>YEAR(B471)</f>
        <v/>
      </c>
      <c r="D471">
        <f>MONTH(B471)</f>
        <v/>
      </c>
      <c r="E471">
        <f>TEXT(B471,"MMM-YYYY")</f>
        <v/>
      </c>
      <c r="F471">
        <f>Raw_Data!C471</f>
        <v/>
      </c>
      <c r="G471">
        <f>Raw_Data!D471</f>
        <v/>
      </c>
      <c r="H471">
        <f>Raw_Data!E471</f>
        <v/>
      </c>
      <c r="I471">
        <f>Raw_Data!F471</f>
        <v/>
      </c>
      <c r="J471">
        <f>Raw_Data!G471</f>
        <v/>
      </c>
      <c r="K471">
        <f>Raw_Data!H471</f>
        <v/>
      </c>
      <c r="L471" s="30">
        <f>Raw_Data!I471</f>
        <v/>
      </c>
      <c r="M471" s="31">
        <f>Raw_Data!J471</f>
        <v/>
      </c>
      <c r="N471" s="17">
        <f>K471*L471</f>
        <v/>
      </c>
      <c r="O471" s="17">
        <f>N471*(1-M471)</f>
        <v/>
      </c>
      <c r="P471" s="17">
        <f>Raw_Data!L471</f>
        <v/>
      </c>
      <c r="Q471" s="17">
        <f>O471-P471</f>
        <v/>
      </c>
      <c r="R471" s="31">
        <f>IF(O471=0,0,Q471/O471)</f>
        <v/>
      </c>
      <c r="S471">
        <f>XLOOKUP(F471,Lookups!$B$7:$B$11,Lookups!$C$7:$C$11,"Unknown")</f>
        <v/>
      </c>
      <c r="T471" s="31">
        <f>XLOOKUP(G471,Lookups!$E$7:$E$11,Lookups!$F$7:$F$11,0)</f>
        <v/>
      </c>
      <c r="U471" s="32">
        <f>R471-T471</f>
        <v/>
      </c>
      <c r="V471">
        <f>XLOOKUP(I471,Lookups!$H$7:$H$10,Lookups!$I$7:$I$10,"")</f>
        <v/>
      </c>
      <c r="W471">
        <f>IF(O471&gt;=50000,"HIGH VALUE","")</f>
        <v/>
      </c>
      <c r="X471">
        <f>IF(Q471&lt;0,"LOSS","")</f>
        <v/>
      </c>
      <c r="Y471">
        <f>IFS(M471&gt;=0.15,"Deep Discount",M471&gt;=0.1,"Moderate",TRUE,"Standard")</f>
        <v/>
      </c>
    </row>
    <row r="472">
      <c r="A472">
        <f>Raw_Data!A472</f>
        <v/>
      </c>
      <c r="B472" s="29">
        <f>Raw_Data!B472</f>
        <v/>
      </c>
      <c r="C472">
        <f>YEAR(B472)</f>
        <v/>
      </c>
      <c r="D472">
        <f>MONTH(B472)</f>
        <v/>
      </c>
      <c r="E472">
        <f>TEXT(B472,"MMM-YYYY")</f>
        <v/>
      </c>
      <c r="F472">
        <f>Raw_Data!C472</f>
        <v/>
      </c>
      <c r="G472">
        <f>Raw_Data!D472</f>
        <v/>
      </c>
      <c r="H472">
        <f>Raw_Data!E472</f>
        <v/>
      </c>
      <c r="I472">
        <f>Raw_Data!F472</f>
        <v/>
      </c>
      <c r="J472">
        <f>Raw_Data!G472</f>
        <v/>
      </c>
      <c r="K472">
        <f>Raw_Data!H472</f>
        <v/>
      </c>
      <c r="L472" s="30">
        <f>Raw_Data!I472</f>
        <v/>
      </c>
      <c r="M472" s="31">
        <f>Raw_Data!J472</f>
        <v/>
      </c>
      <c r="N472" s="17">
        <f>K472*L472</f>
        <v/>
      </c>
      <c r="O472" s="17">
        <f>N472*(1-M472)</f>
        <v/>
      </c>
      <c r="P472" s="17">
        <f>Raw_Data!L472</f>
        <v/>
      </c>
      <c r="Q472" s="17">
        <f>O472-P472</f>
        <v/>
      </c>
      <c r="R472" s="31">
        <f>IF(O472=0,0,Q472/O472)</f>
        <v/>
      </c>
      <c r="S472">
        <f>XLOOKUP(F472,Lookups!$B$7:$B$11,Lookups!$C$7:$C$11,"Unknown")</f>
        <v/>
      </c>
      <c r="T472" s="31">
        <f>XLOOKUP(G472,Lookups!$E$7:$E$11,Lookups!$F$7:$F$11,0)</f>
        <v/>
      </c>
      <c r="U472" s="32">
        <f>R472-T472</f>
        <v/>
      </c>
      <c r="V472">
        <f>XLOOKUP(I472,Lookups!$H$7:$H$10,Lookups!$I$7:$I$10,"")</f>
        <v/>
      </c>
      <c r="W472">
        <f>IF(O472&gt;=50000,"HIGH VALUE","")</f>
        <v/>
      </c>
      <c r="X472">
        <f>IF(Q472&lt;0,"LOSS","")</f>
        <v/>
      </c>
      <c r="Y472">
        <f>IFS(M472&gt;=0.15,"Deep Discount",M472&gt;=0.1,"Moderate",TRUE,"Standard")</f>
        <v/>
      </c>
    </row>
    <row r="473">
      <c r="A473">
        <f>Raw_Data!A473</f>
        <v/>
      </c>
      <c r="B473" s="29">
        <f>Raw_Data!B473</f>
        <v/>
      </c>
      <c r="C473">
        <f>YEAR(B473)</f>
        <v/>
      </c>
      <c r="D473">
        <f>MONTH(B473)</f>
        <v/>
      </c>
      <c r="E473">
        <f>TEXT(B473,"MMM-YYYY")</f>
        <v/>
      </c>
      <c r="F473">
        <f>Raw_Data!C473</f>
        <v/>
      </c>
      <c r="G473">
        <f>Raw_Data!D473</f>
        <v/>
      </c>
      <c r="H473">
        <f>Raw_Data!E473</f>
        <v/>
      </c>
      <c r="I473">
        <f>Raw_Data!F473</f>
        <v/>
      </c>
      <c r="J473">
        <f>Raw_Data!G473</f>
        <v/>
      </c>
      <c r="K473">
        <f>Raw_Data!H473</f>
        <v/>
      </c>
      <c r="L473" s="30">
        <f>Raw_Data!I473</f>
        <v/>
      </c>
      <c r="M473" s="31">
        <f>Raw_Data!J473</f>
        <v/>
      </c>
      <c r="N473" s="17">
        <f>K473*L473</f>
        <v/>
      </c>
      <c r="O473" s="17">
        <f>N473*(1-M473)</f>
        <v/>
      </c>
      <c r="P473" s="17">
        <f>Raw_Data!L473</f>
        <v/>
      </c>
      <c r="Q473" s="17">
        <f>O473-P473</f>
        <v/>
      </c>
      <c r="R473" s="31">
        <f>IF(O473=0,0,Q473/O473)</f>
        <v/>
      </c>
      <c r="S473">
        <f>XLOOKUP(F473,Lookups!$B$7:$B$11,Lookups!$C$7:$C$11,"Unknown")</f>
        <v/>
      </c>
      <c r="T473" s="31">
        <f>XLOOKUP(G473,Lookups!$E$7:$E$11,Lookups!$F$7:$F$11,0)</f>
        <v/>
      </c>
      <c r="U473" s="32">
        <f>R473-T473</f>
        <v/>
      </c>
      <c r="V473">
        <f>XLOOKUP(I473,Lookups!$H$7:$H$10,Lookups!$I$7:$I$10,"")</f>
        <v/>
      </c>
      <c r="W473">
        <f>IF(O473&gt;=50000,"HIGH VALUE","")</f>
        <v/>
      </c>
      <c r="X473">
        <f>IF(Q473&lt;0,"LOSS","")</f>
        <v/>
      </c>
      <c r="Y473">
        <f>IFS(M473&gt;=0.15,"Deep Discount",M473&gt;=0.1,"Moderate",TRUE,"Standard")</f>
        <v/>
      </c>
    </row>
    <row r="474">
      <c r="A474">
        <f>Raw_Data!A474</f>
        <v/>
      </c>
      <c r="B474" s="29">
        <f>Raw_Data!B474</f>
        <v/>
      </c>
      <c r="C474">
        <f>YEAR(B474)</f>
        <v/>
      </c>
      <c r="D474">
        <f>MONTH(B474)</f>
        <v/>
      </c>
      <c r="E474">
        <f>TEXT(B474,"MMM-YYYY")</f>
        <v/>
      </c>
      <c r="F474">
        <f>Raw_Data!C474</f>
        <v/>
      </c>
      <c r="G474">
        <f>Raw_Data!D474</f>
        <v/>
      </c>
      <c r="H474">
        <f>Raw_Data!E474</f>
        <v/>
      </c>
      <c r="I474">
        <f>Raw_Data!F474</f>
        <v/>
      </c>
      <c r="J474">
        <f>Raw_Data!G474</f>
        <v/>
      </c>
      <c r="K474">
        <f>Raw_Data!H474</f>
        <v/>
      </c>
      <c r="L474" s="30">
        <f>Raw_Data!I474</f>
        <v/>
      </c>
      <c r="M474" s="31">
        <f>Raw_Data!J474</f>
        <v/>
      </c>
      <c r="N474" s="17">
        <f>K474*L474</f>
        <v/>
      </c>
      <c r="O474" s="17">
        <f>N474*(1-M474)</f>
        <v/>
      </c>
      <c r="P474" s="17">
        <f>Raw_Data!L474</f>
        <v/>
      </c>
      <c r="Q474" s="17">
        <f>O474-P474</f>
        <v/>
      </c>
      <c r="R474" s="31">
        <f>IF(O474=0,0,Q474/O474)</f>
        <v/>
      </c>
      <c r="S474">
        <f>XLOOKUP(F474,Lookups!$B$7:$B$11,Lookups!$C$7:$C$11,"Unknown")</f>
        <v/>
      </c>
      <c r="T474" s="31">
        <f>XLOOKUP(G474,Lookups!$E$7:$E$11,Lookups!$F$7:$F$11,0)</f>
        <v/>
      </c>
      <c r="U474" s="32">
        <f>R474-T474</f>
        <v/>
      </c>
      <c r="V474">
        <f>XLOOKUP(I474,Lookups!$H$7:$H$10,Lookups!$I$7:$I$10,"")</f>
        <v/>
      </c>
      <c r="W474">
        <f>IF(O474&gt;=50000,"HIGH VALUE","")</f>
        <v/>
      </c>
      <c r="X474">
        <f>IF(Q474&lt;0,"LOSS","")</f>
        <v/>
      </c>
      <c r="Y474">
        <f>IFS(M474&gt;=0.15,"Deep Discount",M474&gt;=0.1,"Moderate",TRUE,"Standard")</f>
        <v/>
      </c>
    </row>
    <row r="475">
      <c r="A475">
        <f>Raw_Data!A475</f>
        <v/>
      </c>
      <c r="B475" s="29">
        <f>Raw_Data!B475</f>
        <v/>
      </c>
      <c r="C475">
        <f>YEAR(B475)</f>
        <v/>
      </c>
      <c r="D475">
        <f>MONTH(B475)</f>
        <v/>
      </c>
      <c r="E475">
        <f>TEXT(B475,"MMM-YYYY")</f>
        <v/>
      </c>
      <c r="F475">
        <f>Raw_Data!C475</f>
        <v/>
      </c>
      <c r="G475">
        <f>Raw_Data!D475</f>
        <v/>
      </c>
      <c r="H475">
        <f>Raw_Data!E475</f>
        <v/>
      </c>
      <c r="I475">
        <f>Raw_Data!F475</f>
        <v/>
      </c>
      <c r="J475">
        <f>Raw_Data!G475</f>
        <v/>
      </c>
      <c r="K475">
        <f>Raw_Data!H475</f>
        <v/>
      </c>
      <c r="L475" s="30">
        <f>Raw_Data!I475</f>
        <v/>
      </c>
      <c r="M475" s="31">
        <f>Raw_Data!J475</f>
        <v/>
      </c>
      <c r="N475" s="17">
        <f>K475*L475</f>
        <v/>
      </c>
      <c r="O475" s="17">
        <f>N475*(1-M475)</f>
        <v/>
      </c>
      <c r="P475" s="17">
        <f>Raw_Data!L475</f>
        <v/>
      </c>
      <c r="Q475" s="17">
        <f>O475-P475</f>
        <v/>
      </c>
      <c r="R475" s="31">
        <f>IF(O475=0,0,Q475/O475)</f>
        <v/>
      </c>
      <c r="S475">
        <f>XLOOKUP(F475,Lookups!$B$7:$B$11,Lookups!$C$7:$C$11,"Unknown")</f>
        <v/>
      </c>
      <c r="T475" s="31">
        <f>XLOOKUP(G475,Lookups!$E$7:$E$11,Lookups!$F$7:$F$11,0)</f>
        <v/>
      </c>
      <c r="U475" s="32">
        <f>R475-T475</f>
        <v/>
      </c>
      <c r="V475">
        <f>XLOOKUP(I475,Lookups!$H$7:$H$10,Lookups!$I$7:$I$10,"")</f>
        <v/>
      </c>
      <c r="W475">
        <f>IF(O475&gt;=50000,"HIGH VALUE","")</f>
        <v/>
      </c>
      <c r="X475">
        <f>IF(Q475&lt;0,"LOSS","")</f>
        <v/>
      </c>
      <c r="Y475">
        <f>IFS(M475&gt;=0.15,"Deep Discount",M475&gt;=0.1,"Moderate",TRUE,"Standard")</f>
        <v/>
      </c>
    </row>
    <row r="476">
      <c r="A476">
        <f>Raw_Data!A476</f>
        <v/>
      </c>
      <c r="B476" s="29">
        <f>Raw_Data!B476</f>
        <v/>
      </c>
      <c r="C476">
        <f>YEAR(B476)</f>
        <v/>
      </c>
      <c r="D476">
        <f>MONTH(B476)</f>
        <v/>
      </c>
      <c r="E476">
        <f>TEXT(B476,"MMM-YYYY")</f>
        <v/>
      </c>
      <c r="F476">
        <f>Raw_Data!C476</f>
        <v/>
      </c>
      <c r="G476">
        <f>Raw_Data!D476</f>
        <v/>
      </c>
      <c r="H476">
        <f>Raw_Data!E476</f>
        <v/>
      </c>
      <c r="I476">
        <f>Raw_Data!F476</f>
        <v/>
      </c>
      <c r="J476">
        <f>Raw_Data!G476</f>
        <v/>
      </c>
      <c r="K476">
        <f>Raw_Data!H476</f>
        <v/>
      </c>
      <c r="L476" s="30">
        <f>Raw_Data!I476</f>
        <v/>
      </c>
      <c r="M476" s="31">
        <f>Raw_Data!J476</f>
        <v/>
      </c>
      <c r="N476" s="17">
        <f>K476*L476</f>
        <v/>
      </c>
      <c r="O476" s="17">
        <f>N476*(1-M476)</f>
        <v/>
      </c>
      <c r="P476" s="17">
        <f>Raw_Data!L476</f>
        <v/>
      </c>
      <c r="Q476" s="17">
        <f>O476-P476</f>
        <v/>
      </c>
      <c r="R476" s="31">
        <f>IF(O476=0,0,Q476/O476)</f>
        <v/>
      </c>
      <c r="S476">
        <f>XLOOKUP(F476,Lookups!$B$7:$B$11,Lookups!$C$7:$C$11,"Unknown")</f>
        <v/>
      </c>
      <c r="T476" s="31">
        <f>XLOOKUP(G476,Lookups!$E$7:$E$11,Lookups!$F$7:$F$11,0)</f>
        <v/>
      </c>
      <c r="U476" s="32">
        <f>R476-T476</f>
        <v/>
      </c>
      <c r="V476">
        <f>XLOOKUP(I476,Lookups!$H$7:$H$10,Lookups!$I$7:$I$10,"")</f>
        <v/>
      </c>
      <c r="W476">
        <f>IF(O476&gt;=50000,"HIGH VALUE","")</f>
        <v/>
      </c>
      <c r="X476">
        <f>IF(Q476&lt;0,"LOSS","")</f>
        <v/>
      </c>
      <c r="Y476">
        <f>IFS(M476&gt;=0.15,"Deep Discount",M476&gt;=0.1,"Moderate",TRUE,"Standard")</f>
        <v/>
      </c>
    </row>
    <row r="477">
      <c r="A477">
        <f>Raw_Data!A477</f>
        <v/>
      </c>
      <c r="B477" s="29">
        <f>Raw_Data!B477</f>
        <v/>
      </c>
      <c r="C477">
        <f>YEAR(B477)</f>
        <v/>
      </c>
      <c r="D477">
        <f>MONTH(B477)</f>
        <v/>
      </c>
      <c r="E477">
        <f>TEXT(B477,"MMM-YYYY")</f>
        <v/>
      </c>
      <c r="F477">
        <f>Raw_Data!C477</f>
        <v/>
      </c>
      <c r="G477">
        <f>Raw_Data!D477</f>
        <v/>
      </c>
      <c r="H477">
        <f>Raw_Data!E477</f>
        <v/>
      </c>
      <c r="I477">
        <f>Raw_Data!F477</f>
        <v/>
      </c>
      <c r="J477">
        <f>Raw_Data!G477</f>
        <v/>
      </c>
      <c r="K477">
        <f>Raw_Data!H477</f>
        <v/>
      </c>
      <c r="L477" s="30">
        <f>Raw_Data!I477</f>
        <v/>
      </c>
      <c r="M477" s="31">
        <f>Raw_Data!J477</f>
        <v/>
      </c>
      <c r="N477" s="17">
        <f>K477*L477</f>
        <v/>
      </c>
      <c r="O477" s="17">
        <f>N477*(1-M477)</f>
        <v/>
      </c>
      <c r="P477" s="17">
        <f>Raw_Data!L477</f>
        <v/>
      </c>
      <c r="Q477" s="17">
        <f>O477-P477</f>
        <v/>
      </c>
      <c r="R477" s="31">
        <f>IF(O477=0,0,Q477/O477)</f>
        <v/>
      </c>
      <c r="S477">
        <f>XLOOKUP(F477,Lookups!$B$7:$B$11,Lookups!$C$7:$C$11,"Unknown")</f>
        <v/>
      </c>
      <c r="T477" s="31">
        <f>XLOOKUP(G477,Lookups!$E$7:$E$11,Lookups!$F$7:$F$11,0)</f>
        <v/>
      </c>
      <c r="U477" s="32">
        <f>R477-T477</f>
        <v/>
      </c>
      <c r="V477">
        <f>XLOOKUP(I477,Lookups!$H$7:$H$10,Lookups!$I$7:$I$10,"")</f>
        <v/>
      </c>
      <c r="W477">
        <f>IF(O477&gt;=50000,"HIGH VALUE","")</f>
        <v/>
      </c>
      <c r="X477">
        <f>IF(Q477&lt;0,"LOSS","")</f>
        <v/>
      </c>
      <c r="Y477">
        <f>IFS(M477&gt;=0.15,"Deep Discount",M477&gt;=0.1,"Moderate",TRUE,"Standard")</f>
        <v/>
      </c>
    </row>
    <row r="478">
      <c r="A478">
        <f>Raw_Data!A478</f>
        <v/>
      </c>
      <c r="B478" s="29">
        <f>Raw_Data!B478</f>
        <v/>
      </c>
      <c r="C478">
        <f>YEAR(B478)</f>
        <v/>
      </c>
      <c r="D478">
        <f>MONTH(B478)</f>
        <v/>
      </c>
      <c r="E478">
        <f>TEXT(B478,"MMM-YYYY")</f>
        <v/>
      </c>
      <c r="F478">
        <f>Raw_Data!C478</f>
        <v/>
      </c>
      <c r="G478">
        <f>Raw_Data!D478</f>
        <v/>
      </c>
      <c r="H478">
        <f>Raw_Data!E478</f>
        <v/>
      </c>
      <c r="I478">
        <f>Raw_Data!F478</f>
        <v/>
      </c>
      <c r="J478">
        <f>Raw_Data!G478</f>
        <v/>
      </c>
      <c r="K478">
        <f>Raw_Data!H478</f>
        <v/>
      </c>
      <c r="L478" s="30">
        <f>Raw_Data!I478</f>
        <v/>
      </c>
      <c r="M478" s="31">
        <f>Raw_Data!J478</f>
        <v/>
      </c>
      <c r="N478" s="17">
        <f>K478*L478</f>
        <v/>
      </c>
      <c r="O478" s="17">
        <f>N478*(1-M478)</f>
        <v/>
      </c>
      <c r="P478" s="17">
        <f>Raw_Data!L478</f>
        <v/>
      </c>
      <c r="Q478" s="17">
        <f>O478-P478</f>
        <v/>
      </c>
      <c r="R478" s="31">
        <f>IF(O478=0,0,Q478/O478)</f>
        <v/>
      </c>
      <c r="S478">
        <f>XLOOKUP(F478,Lookups!$B$7:$B$11,Lookups!$C$7:$C$11,"Unknown")</f>
        <v/>
      </c>
      <c r="T478" s="31">
        <f>XLOOKUP(G478,Lookups!$E$7:$E$11,Lookups!$F$7:$F$11,0)</f>
        <v/>
      </c>
      <c r="U478" s="32">
        <f>R478-T478</f>
        <v/>
      </c>
      <c r="V478">
        <f>XLOOKUP(I478,Lookups!$H$7:$H$10,Lookups!$I$7:$I$10,"")</f>
        <v/>
      </c>
      <c r="W478">
        <f>IF(O478&gt;=50000,"HIGH VALUE","")</f>
        <v/>
      </c>
      <c r="X478">
        <f>IF(Q478&lt;0,"LOSS","")</f>
        <v/>
      </c>
      <c r="Y478">
        <f>IFS(M478&gt;=0.15,"Deep Discount",M478&gt;=0.1,"Moderate",TRUE,"Standard")</f>
        <v/>
      </c>
    </row>
    <row r="479">
      <c r="A479">
        <f>Raw_Data!A479</f>
        <v/>
      </c>
      <c r="B479" s="29">
        <f>Raw_Data!B479</f>
        <v/>
      </c>
      <c r="C479">
        <f>YEAR(B479)</f>
        <v/>
      </c>
      <c r="D479">
        <f>MONTH(B479)</f>
        <v/>
      </c>
      <c r="E479">
        <f>TEXT(B479,"MMM-YYYY")</f>
        <v/>
      </c>
      <c r="F479">
        <f>Raw_Data!C479</f>
        <v/>
      </c>
      <c r="G479">
        <f>Raw_Data!D479</f>
        <v/>
      </c>
      <c r="H479">
        <f>Raw_Data!E479</f>
        <v/>
      </c>
      <c r="I479">
        <f>Raw_Data!F479</f>
        <v/>
      </c>
      <c r="J479">
        <f>Raw_Data!G479</f>
        <v/>
      </c>
      <c r="K479">
        <f>Raw_Data!H479</f>
        <v/>
      </c>
      <c r="L479" s="30">
        <f>Raw_Data!I479</f>
        <v/>
      </c>
      <c r="M479" s="31">
        <f>Raw_Data!J479</f>
        <v/>
      </c>
      <c r="N479" s="17">
        <f>K479*L479</f>
        <v/>
      </c>
      <c r="O479" s="17">
        <f>N479*(1-M479)</f>
        <v/>
      </c>
      <c r="P479" s="17">
        <f>Raw_Data!L479</f>
        <v/>
      </c>
      <c r="Q479" s="17">
        <f>O479-P479</f>
        <v/>
      </c>
      <c r="R479" s="31">
        <f>IF(O479=0,0,Q479/O479)</f>
        <v/>
      </c>
      <c r="S479">
        <f>XLOOKUP(F479,Lookups!$B$7:$B$11,Lookups!$C$7:$C$11,"Unknown")</f>
        <v/>
      </c>
      <c r="T479" s="31">
        <f>XLOOKUP(G479,Lookups!$E$7:$E$11,Lookups!$F$7:$F$11,0)</f>
        <v/>
      </c>
      <c r="U479" s="32">
        <f>R479-T479</f>
        <v/>
      </c>
      <c r="V479">
        <f>XLOOKUP(I479,Lookups!$H$7:$H$10,Lookups!$I$7:$I$10,"")</f>
        <v/>
      </c>
      <c r="W479">
        <f>IF(O479&gt;=50000,"HIGH VALUE","")</f>
        <v/>
      </c>
      <c r="X479">
        <f>IF(Q479&lt;0,"LOSS","")</f>
        <v/>
      </c>
      <c r="Y479">
        <f>IFS(M479&gt;=0.15,"Deep Discount",M479&gt;=0.1,"Moderate",TRUE,"Standard")</f>
        <v/>
      </c>
    </row>
    <row r="480">
      <c r="A480">
        <f>Raw_Data!A480</f>
        <v/>
      </c>
      <c r="B480" s="29">
        <f>Raw_Data!B480</f>
        <v/>
      </c>
      <c r="C480">
        <f>YEAR(B480)</f>
        <v/>
      </c>
      <c r="D480">
        <f>MONTH(B480)</f>
        <v/>
      </c>
      <c r="E480">
        <f>TEXT(B480,"MMM-YYYY")</f>
        <v/>
      </c>
      <c r="F480">
        <f>Raw_Data!C480</f>
        <v/>
      </c>
      <c r="G480">
        <f>Raw_Data!D480</f>
        <v/>
      </c>
      <c r="H480">
        <f>Raw_Data!E480</f>
        <v/>
      </c>
      <c r="I480">
        <f>Raw_Data!F480</f>
        <v/>
      </c>
      <c r="J480">
        <f>Raw_Data!G480</f>
        <v/>
      </c>
      <c r="K480">
        <f>Raw_Data!H480</f>
        <v/>
      </c>
      <c r="L480" s="30">
        <f>Raw_Data!I480</f>
        <v/>
      </c>
      <c r="M480" s="31">
        <f>Raw_Data!J480</f>
        <v/>
      </c>
      <c r="N480" s="17">
        <f>K480*L480</f>
        <v/>
      </c>
      <c r="O480" s="17">
        <f>N480*(1-M480)</f>
        <v/>
      </c>
      <c r="P480" s="17">
        <f>Raw_Data!L480</f>
        <v/>
      </c>
      <c r="Q480" s="17">
        <f>O480-P480</f>
        <v/>
      </c>
      <c r="R480" s="31">
        <f>IF(O480=0,0,Q480/O480)</f>
        <v/>
      </c>
      <c r="S480">
        <f>XLOOKUP(F480,Lookups!$B$7:$B$11,Lookups!$C$7:$C$11,"Unknown")</f>
        <v/>
      </c>
      <c r="T480" s="31">
        <f>XLOOKUP(G480,Lookups!$E$7:$E$11,Lookups!$F$7:$F$11,0)</f>
        <v/>
      </c>
      <c r="U480" s="32">
        <f>R480-T480</f>
        <v/>
      </c>
      <c r="V480">
        <f>XLOOKUP(I480,Lookups!$H$7:$H$10,Lookups!$I$7:$I$10,"")</f>
        <v/>
      </c>
      <c r="W480">
        <f>IF(O480&gt;=50000,"HIGH VALUE","")</f>
        <v/>
      </c>
      <c r="X480">
        <f>IF(Q480&lt;0,"LOSS","")</f>
        <v/>
      </c>
      <c r="Y480">
        <f>IFS(M480&gt;=0.15,"Deep Discount",M480&gt;=0.1,"Moderate",TRUE,"Standard")</f>
        <v/>
      </c>
    </row>
    <row r="481">
      <c r="A481">
        <f>Raw_Data!A481</f>
        <v/>
      </c>
      <c r="B481" s="29">
        <f>Raw_Data!B481</f>
        <v/>
      </c>
      <c r="C481">
        <f>YEAR(B481)</f>
        <v/>
      </c>
      <c r="D481">
        <f>MONTH(B481)</f>
        <v/>
      </c>
      <c r="E481">
        <f>TEXT(B481,"MMM-YYYY")</f>
        <v/>
      </c>
      <c r="F481">
        <f>Raw_Data!C481</f>
        <v/>
      </c>
      <c r="G481">
        <f>Raw_Data!D481</f>
        <v/>
      </c>
      <c r="H481">
        <f>Raw_Data!E481</f>
        <v/>
      </c>
      <c r="I481">
        <f>Raw_Data!F481</f>
        <v/>
      </c>
      <c r="J481">
        <f>Raw_Data!G481</f>
        <v/>
      </c>
      <c r="K481">
        <f>Raw_Data!H481</f>
        <v/>
      </c>
      <c r="L481" s="30">
        <f>Raw_Data!I481</f>
        <v/>
      </c>
      <c r="M481" s="31">
        <f>Raw_Data!J481</f>
        <v/>
      </c>
      <c r="N481" s="17">
        <f>K481*L481</f>
        <v/>
      </c>
      <c r="O481" s="17">
        <f>N481*(1-M481)</f>
        <v/>
      </c>
      <c r="P481" s="17">
        <f>Raw_Data!L481</f>
        <v/>
      </c>
      <c r="Q481" s="17">
        <f>O481-P481</f>
        <v/>
      </c>
      <c r="R481" s="31">
        <f>IF(O481=0,0,Q481/O481)</f>
        <v/>
      </c>
      <c r="S481">
        <f>XLOOKUP(F481,Lookups!$B$7:$B$11,Lookups!$C$7:$C$11,"Unknown")</f>
        <v/>
      </c>
      <c r="T481" s="31">
        <f>XLOOKUP(G481,Lookups!$E$7:$E$11,Lookups!$F$7:$F$11,0)</f>
        <v/>
      </c>
      <c r="U481" s="32">
        <f>R481-T481</f>
        <v/>
      </c>
      <c r="V481">
        <f>XLOOKUP(I481,Lookups!$H$7:$H$10,Lookups!$I$7:$I$10,"")</f>
        <v/>
      </c>
      <c r="W481">
        <f>IF(O481&gt;=50000,"HIGH VALUE","")</f>
        <v/>
      </c>
      <c r="X481">
        <f>IF(Q481&lt;0,"LOSS","")</f>
        <v/>
      </c>
      <c r="Y481">
        <f>IFS(M481&gt;=0.15,"Deep Discount",M481&gt;=0.1,"Moderate",TRUE,"Standard")</f>
        <v/>
      </c>
    </row>
    <row r="482">
      <c r="A482">
        <f>Raw_Data!A482</f>
        <v/>
      </c>
      <c r="B482" s="29">
        <f>Raw_Data!B482</f>
        <v/>
      </c>
      <c r="C482">
        <f>YEAR(B482)</f>
        <v/>
      </c>
      <c r="D482">
        <f>MONTH(B482)</f>
        <v/>
      </c>
      <c r="E482">
        <f>TEXT(B482,"MMM-YYYY")</f>
        <v/>
      </c>
      <c r="F482">
        <f>Raw_Data!C482</f>
        <v/>
      </c>
      <c r="G482">
        <f>Raw_Data!D482</f>
        <v/>
      </c>
      <c r="H482">
        <f>Raw_Data!E482</f>
        <v/>
      </c>
      <c r="I482">
        <f>Raw_Data!F482</f>
        <v/>
      </c>
      <c r="J482">
        <f>Raw_Data!G482</f>
        <v/>
      </c>
      <c r="K482">
        <f>Raw_Data!H482</f>
        <v/>
      </c>
      <c r="L482" s="30">
        <f>Raw_Data!I482</f>
        <v/>
      </c>
      <c r="M482" s="31">
        <f>Raw_Data!J482</f>
        <v/>
      </c>
      <c r="N482" s="17">
        <f>K482*L482</f>
        <v/>
      </c>
      <c r="O482" s="17">
        <f>N482*(1-M482)</f>
        <v/>
      </c>
      <c r="P482" s="17">
        <f>Raw_Data!L482</f>
        <v/>
      </c>
      <c r="Q482" s="17">
        <f>O482-P482</f>
        <v/>
      </c>
      <c r="R482" s="31">
        <f>IF(O482=0,0,Q482/O482)</f>
        <v/>
      </c>
      <c r="S482">
        <f>XLOOKUP(F482,Lookups!$B$7:$B$11,Lookups!$C$7:$C$11,"Unknown")</f>
        <v/>
      </c>
      <c r="T482" s="31">
        <f>XLOOKUP(G482,Lookups!$E$7:$E$11,Lookups!$F$7:$F$11,0)</f>
        <v/>
      </c>
      <c r="U482" s="32">
        <f>R482-T482</f>
        <v/>
      </c>
      <c r="V482">
        <f>XLOOKUP(I482,Lookups!$H$7:$H$10,Lookups!$I$7:$I$10,"")</f>
        <v/>
      </c>
      <c r="W482">
        <f>IF(O482&gt;=50000,"HIGH VALUE","")</f>
        <v/>
      </c>
      <c r="X482">
        <f>IF(Q482&lt;0,"LOSS","")</f>
        <v/>
      </c>
      <c r="Y482">
        <f>IFS(M482&gt;=0.15,"Deep Discount",M482&gt;=0.1,"Moderate",TRUE,"Standard")</f>
        <v/>
      </c>
    </row>
    <row r="483">
      <c r="A483">
        <f>Raw_Data!A483</f>
        <v/>
      </c>
      <c r="B483" s="29">
        <f>Raw_Data!B483</f>
        <v/>
      </c>
      <c r="C483">
        <f>YEAR(B483)</f>
        <v/>
      </c>
      <c r="D483">
        <f>MONTH(B483)</f>
        <v/>
      </c>
      <c r="E483">
        <f>TEXT(B483,"MMM-YYYY")</f>
        <v/>
      </c>
      <c r="F483">
        <f>Raw_Data!C483</f>
        <v/>
      </c>
      <c r="G483">
        <f>Raw_Data!D483</f>
        <v/>
      </c>
      <c r="H483">
        <f>Raw_Data!E483</f>
        <v/>
      </c>
      <c r="I483">
        <f>Raw_Data!F483</f>
        <v/>
      </c>
      <c r="J483">
        <f>Raw_Data!G483</f>
        <v/>
      </c>
      <c r="K483">
        <f>Raw_Data!H483</f>
        <v/>
      </c>
      <c r="L483" s="30">
        <f>Raw_Data!I483</f>
        <v/>
      </c>
      <c r="M483" s="31">
        <f>Raw_Data!J483</f>
        <v/>
      </c>
      <c r="N483" s="17">
        <f>K483*L483</f>
        <v/>
      </c>
      <c r="O483" s="17">
        <f>N483*(1-M483)</f>
        <v/>
      </c>
      <c r="P483" s="17">
        <f>Raw_Data!L483</f>
        <v/>
      </c>
      <c r="Q483" s="17">
        <f>O483-P483</f>
        <v/>
      </c>
      <c r="R483" s="31">
        <f>IF(O483=0,0,Q483/O483)</f>
        <v/>
      </c>
      <c r="S483">
        <f>XLOOKUP(F483,Lookups!$B$7:$B$11,Lookups!$C$7:$C$11,"Unknown")</f>
        <v/>
      </c>
      <c r="T483" s="31">
        <f>XLOOKUP(G483,Lookups!$E$7:$E$11,Lookups!$F$7:$F$11,0)</f>
        <v/>
      </c>
      <c r="U483" s="32">
        <f>R483-T483</f>
        <v/>
      </c>
      <c r="V483">
        <f>XLOOKUP(I483,Lookups!$H$7:$H$10,Lookups!$I$7:$I$10,"")</f>
        <v/>
      </c>
      <c r="W483">
        <f>IF(O483&gt;=50000,"HIGH VALUE","")</f>
        <v/>
      </c>
      <c r="X483">
        <f>IF(Q483&lt;0,"LOSS","")</f>
        <v/>
      </c>
      <c r="Y483">
        <f>IFS(M483&gt;=0.15,"Deep Discount",M483&gt;=0.1,"Moderate",TRUE,"Standard")</f>
        <v/>
      </c>
    </row>
    <row r="484">
      <c r="A484">
        <f>Raw_Data!A484</f>
        <v/>
      </c>
      <c r="B484" s="29">
        <f>Raw_Data!B484</f>
        <v/>
      </c>
      <c r="C484">
        <f>YEAR(B484)</f>
        <v/>
      </c>
      <c r="D484">
        <f>MONTH(B484)</f>
        <v/>
      </c>
      <c r="E484">
        <f>TEXT(B484,"MMM-YYYY")</f>
        <v/>
      </c>
      <c r="F484">
        <f>Raw_Data!C484</f>
        <v/>
      </c>
      <c r="G484">
        <f>Raw_Data!D484</f>
        <v/>
      </c>
      <c r="H484">
        <f>Raw_Data!E484</f>
        <v/>
      </c>
      <c r="I484">
        <f>Raw_Data!F484</f>
        <v/>
      </c>
      <c r="J484">
        <f>Raw_Data!G484</f>
        <v/>
      </c>
      <c r="K484">
        <f>Raw_Data!H484</f>
        <v/>
      </c>
      <c r="L484" s="30">
        <f>Raw_Data!I484</f>
        <v/>
      </c>
      <c r="M484" s="31">
        <f>Raw_Data!J484</f>
        <v/>
      </c>
      <c r="N484" s="17">
        <f>K484*L484</f>
        <v/>
      </c>
      <c r="O484" s="17">
        <f>N484*(1-M484)</f>
        <v/>
      </c>
      <c r="P484" s="17">
        <f>Raw_Data!L484</f>
        <v/>
      </c>
      <c r="Q484" s="17">
        <f>O484-P484</f>
        <v/>
      </c>
      <c r="R484" s="31">
        <f>IF(O484=0,0,Q484/O484)</f>
        <v/>
      </c>
      <c r="S484">
        <f>XLOOKUP(F484,Lookups!$B$7:$B$11,Lookups!$C$7:$C$11,"Unknown")</f>
        <v/>
      </c>
      <c r="T484" s="31">
        <f>XLOOKUP(G484,Lookups!$E$7:$E$11,Lookups!$F$7:$F$11,0)</f>
        <v/>
      </c>
      <c r="U484" s="32">
        <f>R484-T484</f>
        <v/>
      </c>
      <c r="V484">
        <f>XLOOKUP(I484,Lookups!$H$7:$H$10,Lookups!$I$7:$I$10,"")</f>
        <v/>
      </c>
      <c r="W484">
        <f>IF(O484&gt;=50000,"HIGH VALUE","")</f>
        <v/>
      </c>
      <c r="X484">
        <f>IF(Q484&lt;0,"LOSS","")</f>
        <v/>
      </c>
      <c r="Y484">
        <f>IFS(M484&gt;=0.15,"Deep Discount",M484&gt;=0.1,"Moderate",TRUE,"Standard")</f>
        <v/>
      </c>
    </row>
    <row r="485">
      <c r="A485">
        <f>Raw_Data!A485</f>
        <v/>
      </c>
      <c r="B485" s="29">
        <f>Raw_Data!B485</f>
        <v/>
      </c>
      <c r="C485">
        <f>YEAR(B485)</f>
        <v/>
      </c>
      <c r="D485">
        <f>MONTH(B485)</f>
        <v/>
      </c>
      <c r="E485">
        <f>TEXT(B485,"MMM-YYYY")</f>
        <v/>
      </c>
      <c r="F485">
        <f>Raw_Data!C485</f>
        <v/>
      </c>
      <c r="G485">
        <f>Raw_Data!D485</f>
        <v/>
      </c>
      <c r="H485">
        <f>Raw_Data!E485</f>
        <v/>
      </c>
      <c r="I485">
        <f>Raw_Data!F485</f>
        <v/>
      </c>
      <c r="J485">
        <f>Raw_Data!G485</f>
        <v/>
      </c>
      <c r="K485">
        <f>Raw_Data!H485</f>
        <v/>
      </c>
      <c r="L485" s="30">
        <f>Raw_Data!I485</f>
        <v/>
      </c>
      <c r="M485" s="31">
        <f>Raw_Data!J485</f>
        <v/>
      </c>
      <c r="N485" s="17">
        <f>K485*L485</f>
        <v/>
      </c>
      <c r="O485" s="17">
        <f>N485*(1-M485)</f>
        <v/>
      </c>
      <c r="P485" s="17">
        <f>Raw_Data!L485</f>
        <v/>
      </c>
      <c r="Q485" s="17">
        <f>O485-P485</f>
        <v/>
      </c>
      <c r="R485" s="31">
        <f>IF(O485=0,0,Q485/O485)</f>
        <v/>
      </c>
      <c r="S485">
        <f>XLOOKUP(F485,Lookups!$B$7:$B$11,Lookups!$C$7:$C$11,"Unknown")</f>
        <v/>
      </c>
      <c r="T485" s="31">
        <f>XLOOKUP(G485,Lookups!$E$7:$E$11,Lookups!$F$7:$F$11,0)</f>
        <v/>
      </c>
      <c r="U485" s="32">
        <f>R485-T485</f>
        <v/>
      </c>
      <c r="V485">
        <f>XLOOKUP(I485,Lookups!$H$7:$H$10,Lookups!$I$7:$I$10,"")</f>
        <v/>
      </c>
      <c r="W485">
        <f>IF(O485&gt;=50000,"HIGH VALUE","")</f>
        <v/>
      </c>
      <c r="X485">
        <f>IF(Q485&lt;0,"LOSS","")</f>
        <v/>
      </c>
      <c r="Y485">
        <f>IFS(M485&gt;=0.15,"Deep Discount",M485&gt;=0.1,"Moderate",TRUE,"Standard")</f>
        <v/>
      </c>
    </row>
    <row r="486">
      <c r="A486">
        <f>Raw_Data!A486</f>
        <v/>
      </c>
      <c r="B486" s="29">
        <f>Raw_Data!B486</f>
        <v/>
      </c>
      <c r="C486">
        <f>YEAR(B486)</f>
        <v/>
      </c>
      <c r="D486">
        <f>MONTH(B486)</f>
        <v/>
      </c>
      <c r="E486">
        <f>TEXT(B486,"MMM-YYYY")</f>
        <v/>
      </c>
      <c r="F486">
        <f>Raw_Data!C486</f>
        <v/>
      </c>
      <c r="G486">
        <f>Raw_Data!D486</f>
        <v/>
      </c>
      <c r="H486">
        <f>Raw_Data!E486</f>
        <v/>
      </c>
      <c r="I486">
        <f>Raw_Data!F486</f>
        <v/>
      </c>
      <c r="J486">
        <f>Raw_Data!G486</f>
        <v/>
      </c>
      <c r="K486">
        <f>Raw_Data!H486</f>
        <v/>
      </c>
      <c r="L486" s="30">
        <f>Raw_Data!I486</f>
        <v/>
      </c>
      <c r="M486" s="31">
        <f>Raw_Data!J486</f>
        <v/>
      </c>
      <c r="N486" s="17">
        <f>K486*L486</f>
        <v/>
      </c>
      <c r="O486" s="17">
        <f>N486*(1-M486)</f>
        <v/>
      </c>
      <c r="P486" s="17">
        <f>Raw_Data!L486</f>
        <v/>
      </c>
      <c r="Q486" s="17">
        <f>O486-P486</f>
        <v/>
      </c>
      <c r="R486" s="31">
        <f>IF(O486=0,0,Q486/O486)</f>
        <v/>
      </c>
      <c r="S486">
        <f>XLOOKUP(F486,Lookups!$B$7:$B$11,Lookups!$C$7:$C$11,"Unknown")</f>
        <v/>
      </c>
      <c r="T486" s="31">
        <f>XLOOKUP(G486,Lookups!$E$7:$E$11,Lookups!$F$7:$F$11,0)</f>
        <v/>
      </c>
      <c r="U486" s="32">
        <f>R486-T486</f>
        <v/>
      </c>
      <c r="V486">
        <f>XLOOKUP(I486,Lookups!$H$7:$H$10,Lookups!$I$7:$I$10,"")</f>
        <v/>
      </c>
      <c r="W486">
        <f>IF(O486&gt;=50000,"HIGH VALUE","")</f>
        <v/>
      </c>
      <c r="X486">
        <f>IF(Q486&lt;0,"LOSS","")</f>
        <v/>
      </c>
      <c r="Y486">
        <f>IFS(M486&gt;=0.15,"Deep Discount",M486&gt;=0.1,"Moderate",TRUE,"Standard")</f>
        <v/>
      </c>
    </row>
    <row r="487">
      <c r="A487">
        <f>Raw_Data!A487</f>
        <v/>
      </c>
      <c r="B487" s="29">
        <f>Raw_Data!B487</f>
        <v/>
      </c>
      <c r="C487">
        <f>YEAR(B487)</f>
        <v/>
      </c>
      <c r="D487">
        <f>MONTH(B487)</f>
        <v/>
      </c>
      <c r="E487">
        <f>TEXT(B487,"MMM-YYYY")</f>
        <v/>
      </c>
      <c r="F487">
        <f>Raw_Data!C487</f>
        <v/>
      </c>
      <c r="G487">
        <f>Raw_Data!D487</f>
        <v/>
      </c>
      <c r="H487">
        <f>Raw_Data!E487</f>
        <v/>
      </c>
      <c r="I487">
        <f>Raw_Data!F487</f>
        <v/>
      </c>
      <c r="J487">
        <f>Raw_Data!G487</f>
        <v/>
      </c>
      <c r="K487">
        <f>Raw_Data!H487</f>
        <v/>
      </c>
      <c r="L487" s="30">
        <f>Raw_Data!I487</f>
        <v/>
      </c>
      <c r="M487" s="31">
        <f>Raw_Data!J487</f>
        <v/>
      </c>
      <c r="N487" s="17">
        <f>K487*L487</f>
        <v/>
      </c>
      <c r="O487" s="17">
        <f>N487*(1-M487)</f>
        <v/>
      </c>
      <c r="P487" s="17">
        <f>Raw_Data!L487</f>
        <v/>
      </c>
      <c r="Q487" s="17">
        <f>O487-P487</f>
        <v/>
      </c>
      <c r="R487" s="31">
        <f>IF(O487=0,0,Q487/O487)</f>
        <v/>
      </c>
      <c r="S487">
        <f>XLOOKUP(F487,Lookups!$B$7:$B$11,Lookups!$C$7:$C$11,"Unknown")</f>
        <v/>
      </c>
      <c r="T487" s="31">
        <f>XLOOKUP(G487,Lookups!$E$7:$E$11,Lookups!$F$7:$F$11,0)</f>
        <v/>
      </c>
      <c r="U487" s="32">
        <f>R487-T487</f>
        <v/>
      </c>
      <c r="V487">
        <f>XLOOKUP(I487,Lookups!$H$7:$H$10,Lookups!$I$7:$I$10,"")</f>
        <v/>
      </c>
      <c r="W487">
        <f>IF(O487&gt;=50000,"HIGH VALUE","")</f>
        <v/>
      </c>
      <c r="X487">
        <f>IF(Q487&lt;0,"LOSS","")</f>
        <v/>
      </c>
      <c r="Y487">
        <f>IFS(M487&gt;=0.15,"Deep Discount",M487&gt;=0.1,"Moderate",TRUE,"Standard")</f>
        <v/>
      </c>
    </row>
    <row r="488">
      <c r="A488">
        <f>Raw_Data!A488</f>
        <v/>
      </c>
      <c r="B488" s="29">
        <f>Raw_Data!B488</f>
        <v/>
      </c>
      <c r="C488">
        <f>YEAR(B488)</f>
        <v/>
      </c>
      <c r="D488">
        <f>MONTH(B488)</f>
        <v/>
      </c>
      <c r="E488">
        <f>TEXT(B488,"MMM-YYYY")</f>
        <v/>
      </c>
      <c r="F488">
        <f>Raw_Data!C488</f>
        <v/>
      </c>
      <c r="G488">
        <f>Raw_Data!D488</f>
        <v/>
      </c>
      <c r="H488">
        <f>Raw_Data!E488</f>
        <v/>
      </c>
      <c r="I488">
        <f>Raw_Data!F488</f>
        <v/>
      </c>
      <c r="J488">
        <f>Raw_Data!G488</f>
        <v/>
      </c>
      <c r="K488">
        <f>Raw_Data!H488</f>
        <v/>
      </c>
      <c r="L488" s="30">
        <f>Raw_Data!I488</f>
        <v/>
      </c>
      <c r="M488" s="31">
        <f>Raw_Data!J488</f>
        <v/>
      </c>
      <c r="N488" s="17">
        <f>K488*L488</f>
        <v/>
      </c>
      <c r="O488" s="17">
        <f>N488*(1-M488)</f>
        <v/>
      </c>
      <c r="P488" s="17">
        <f>Raw_Data!L488</f>
        <v/>
      </c>
      <c r="Q488" s="17">
        <f>O488-P488</f>
        <v/>
      </c>
      <c r="R488" s="31">
        <f>IF(O488=0,0,Q488/O488)</f>
        <v/>
      </c>
      <c r="S488">
        <f>XLOOKUP(F488,Lookups!$B$7:$B$11,Lookups!$C$7:$C$11,"Unknown")</f>
        <v/>
      </c>
      <c r="T488" s="31">
        <f>XLOOKUP(G488,Lookups!$E$7:$E$11,Lookups!$F$7:$F$11,0)</f>
        <v/>
      </c>
      <c r="U488" s="32">
        <f>R488-T488</f>
        <v/>
      </c>
      <c r="V488">
        <f>XLOOKUP(I488,Lookups!$H$7:$H$10,Lookups!$I$7:$I$10,"")</f>
        <v/>
      </c>
      <c r="W488">
        <f>IF(O488&gt;=50000,"HIGH VALUE","")</f>
        <v/>
      </c>
      <c r="X488">
        <f>IF(Q488&lt;0,"LOSS","")</f>
        <v/>
      </c>
      <c r="Y488">
        <f>IFS(M488&gt;=0.15,"Deep Discount",M488&gt;=0.1,"Moderate",TRUE,"Standard")</f>
        <v/>
      </c>
    </row>
    <row r="489">
      <c r="A489">
        <f>Raw_Data!A489</f>
        <v/>
      </c>
      <c r="B489" s="29">
        <f>Raw_Data!B489</f>
        <v/>
      </c>
      <c r="C489">
        <f>YEAR(B489)</f>
        <v/>
      </c>
      <c r="D489">
        <f>MONTH(B489)</f>
        <v/>
      </c>
      <c r="E489">
        <f>TEXT(B489,"MMM-YYYY")</f>
        <v/>
      </c>
      <c r="F489">
        <f>Raw_Data!C489</f>
        <v/>
      </c>
      <c r="G489">
        <f>Raw_Data!D489</f>
        <v/>
      </c>
      <c r="H489">
        <f>Raw_Data!E489</f>
        <v/>
      </c>
      <c r="I489">
        <f>Raw_Data!F489</f>
        <v/>
      </c>
      <c r="J489">
        <f>Raw_Data!G489</f>
        <v/>
      </c>
      <c r="K489">
        <f>Raw_Data!H489</f>
        <v/>
      </c>
      <c r="L489" s="30">
        <f>Raw_Data!I489</f>
        <v/>
      </c>
      <c r="M489" s="31">
        <f>Raw_Data!J489</f>
        <v/>
      </c>
      <c r="N489" s="17">
        <f>K489*L489</f>
        <v/>
      </c>
      <c r="O489" s="17">
        <f>N489*(1-M489)</f>
        <v/>
      </c>
      <c r="P489" s="17">
        <f>Raw_Data!L489</f>
        <v/>
      </c>
      <c r="Q489" s="17">
        <f>O489-P489</f>
        <v/>
      </c>
      <c r="R489" s="31">
        <f>IF(O489=0,0,Q489/O489)</f>
        <v/>
      </c>
      <c r="S489">
        <f>XLOOKUP(F489,Lookups!$B$7:$B$11,Lookups!$C$7:$C$11,"Unknown")</f>
        <v/>
      </c>
      <c r="T489" s="31">
        <f>XLOOKUP(G489,Lookups!$E$7:$E$11,Lookups!$F$7:$F$11,0)</f>
        <v/>
      </c>
      <c r="U489" s="32">
        <f>R489-T489</f>
        <v/>
      </c>
      <c r="V489">
        <f>XLOOKUP(I489,Lookups!$H$7:$H$10,Lookups!$I$7:$I$10,"")</f>
        <v/>
      </c>
      <c r="W489">
        <f>IF(O489&gt;=50000,"HIGH VALUE","")</f>
        <v/>
      </c>
      <c r="X489">
        <f>IF(Q489&lt;0,"LOSS","")</f>
        <v/>
      </c>
      <c r="Y489">
        <f>IFS(M489&gt;=0.15,"Deep Discount",M489&gt;=0.1,"Moderate",TRUE,"Standard")</f>
        <v/>
      </c>
    </row>
    <row r="490">
      <c r="A490">
        <f>Raw_Data!A490</f>
        <v/>
      </c>
      <c r="B490" s="29">
        <f>Raw_Data!B490</f>
        <v/>
      </c>
      <c r="C490">
        <f>YEAR(B490)</f>
        <v/>
      </c>
      <c r="D490">
        <f>MONTH(B490)</f>
        <v/>
      </c>
      <c r="E490">
        <f>TEXT(B490,"MMM-YYYY")</f>
        <v/>
      </c>
      <c r="F490">
        <f>Raw_Data!C490</f>
        <v/>
      </c>
      <c r="G490">
        <f>Raw_Data!D490</f>
        <v/>
      </c>
      <c r="H490">
        <f>Raw_Data!E490</f>
        <v/>
      </c>
      <c r="I490">
        <f>Raw_Data!F490</f>
        <v/>
      </c>
      <c r="J490">
        <f>Raw_Data!G490</f>
        <v/>
      </c>
      <c r="K490">
        <f>Raw_Data!H490</f>
        <v/>
      </c>
      <c r="L490" s="30">
        <f>Raw_Data!I490</f>
        <v/>
      </c>
      <c r="M490" s="31">
        <f>Raw_Data!J490</f>
        <v/>
      </c>
      <c r="N490" s="17">
        <f>K490*L490</f>
        <v/>
      </c>
      <c r="O490" s="17">
        <f>N490*(1-M490)</f>
        <v/>
      </c>
      <c r="P490" s="17">
        <f>Raw_Data!L490</f>
        <v/>
      </c>
      <c r="Q490" s="17">
        <f>O490-P490</f>
        <v/>
      </c>
      <c r="R490" s="31">
        <f>IF(O490=0,0,Q490/O490)</f>
        <v/>
      </c>
      <c r="S490">
        <f>XLOOKUP(F490,Lookups!$B$7:$B$11,Lookups!$C$7:$C$11,"Unknown")</f>
        <v/>
      </c>
      <c r="T490" s="31">
        <f>XLOOKUP(G490,Lookups!$E$7:$E$11,Lookups!$F$7:$F$11,0)</f>
        <v/>
      </c>
      <c r="U490" s="32">
        <f>R490-T490</f>
        <v/>
      </c>
      <c r="V490">
        <f>XLOOKUP(I490,Lookups!$H$7:$H$10,Lookups!$I$7:$I$10,"")</f>
        <v/>
      </c>
      <c r="W490">
        <f>IF(O490&gt;=50000,"HIGH VALUE","")</f>
        <v/>
      </c>
      <c r="X490">
        <f>IF(Q490&lt;0,"LOSS","")</f>
        <v/>
      </c>
      <c r="Y490">
        <f>IFS(M490&gt;=0.15,"Deep Discount",M490&gt;=0.1,"Moderate",TRUE,"Standard")</f>
        <v/>
      </c>
    </row>
    <row r="491">
      <c r="A491">
        <f>Raw_Data!A491</f>
        <v/>
      </c>
      <c r="B491" s="29">
        <f>Raw_Data!B491</f>
        <v/>
      </c>
      <c r="C491">
        <f>YEAR(B491)</f>
        <v/>
      </c>
      <c r="D491">
        <f>MONTH(B491)</f>
        <v/>
      </c>
      <c r="E491">
        <f>TEXT(B491,"MMM-YYYY")</f>
        <v/>
      </c>
      <c r="F491">
        <f>Raw_Data!C491</f>
        <v/>
      </c>
      <c r="G491">
        <f>Raw_Data!D491</f>
        <v/>
      </c>
      <c r="H491">
        <f>Raw_Data!E491</f>
        <v/>
      </c>
      <c r="I491">
        <f>Raw_Data!F491</f>
        <v/>
      </c>
      <c r="J491">
        <f>Raw_Data!G491</f>
        <v/>
      </c>
      <c r="K491">
        <f>Raw_Data!H491</f>
        <v/>
      </c>
      <c r="L491" s="30">
        <f>Raw_Data!I491</f>
        <v/>
      </c>
      <c r="M491" s="31">
        <f>Raw_Data!J491</f>
        <v/>
      </c>
      <c r="N491" s="17">
        <f>K491*L491</f>
        <v/>
      </c>
      <c r="O491" s="17">
        <f>N491*(1-M491)</f>
        <v/>
      </c>
      <c r="P491" s="17">
        <f>Raw_Data!L491</f>
        <v/>
      </c>
      <c r="Q491" s="17">
        <f>O491-P491</f>
        <v/>
      </c>
      <c r="R491" s="31">
        <f>IF(O491=0,0,Q491/O491)</f>
        <v/>
      </c>
      <c r="S491">
        <f>XLOOKUP(F491,Lookups!$B$7:$B$11,Lookups!$C$7:$C$11,"Unknown")</f>
        <v/>
      </c>
      <c r="T491" s="31">
        <f>XLOOKUP(G491,Lookups!$E$7:$E$11,Lookups!$F$7:$F$11,0)</f>
        <v/>
      </c>
      <c r="U491" s="32">
        <f>R491-T491</f>
        <v/>
      </c>
      <c r="V491">
        <f>XLOOKUP(I491,Lookups!$H$7:$H$10,Lookups!$I$7:$I$10,"")</f>
        <v/>
      </c>
      <c r="W491">
        <f>IF(O491&gt;=50000,"HIGH VALUE","")</f>
        <v/>
      </c>
      <c r="X491">
        <f>IF(Q491&lt;0,"LOSS","")</f>
        <v/>
      </c>
      <c r="Y491">
        <f>IFS(M491&gt;=0.15,"Deep Discount",M491&gt;=0.1,"Moderate",TRUE,"Standard")</f>
        <v/>
      </c>
    </row>
    <row r="492">
      <c r="A492">
        <f>Raw_Data!A492</f>
        <v/>
      </c>
      <c r="B492" s="29">
        <f>Raw_Data!B492</f>
        <v/>
      </c>
      <c r="C492">
        <f>YEAR(B492)</f>
        <v/>
      </c>
      <c r="D492">
        <f>MONTH(B492)</f>
        <v/>
      </c>
      <c r="E492">
        <f>TEXT(B492,"MMM-YYYY")</f>
        <v/>
      </c>
      <c r="F492">
        <f>Raw_Data!C492</f>
        <v/>
      </c>
      <c r="G492">
        <f>Raw_Data!D492</f>
        <v/>
      </c>
      <c r="H492">
        <f>Raw_Data!E492</f>
        <v/>
      </c>
      <c r="I492">
        <f>Raw_Data!F492</f>
        <v/>
      </c>
      <c r="J492">
        <f>Raw_Data!G492</f>
        <v/>
      </c>
      <c r="K492">
        <f>Raw_Data!H492</f>
        <v/>
      </c>
      <c r="L492" s="30">
        <f>Raw_Data!I492</f>
        <v/>
      </c>
      <c r="M492" s="31">
        <f>Raw_Data!J492</f>
        <v/>
      </c>
      <c r="N492" s="17">
        <f>K492*L492</f>
        <v/>
      </c>
      <c r="O492" s="17">
        <f>N492*(1-M492)</f>
        <v/>
      </c>
      <c r="P492" s="17">
        <f>Raw_Data!L492</f>
        <v/>
      </c>
      <c r="Q492" s="17">
        <f>O492-P492</f>
        <v/>
      </c>
      <c r="R492" s="31">
        <f>IF(O492=0,0,Q492/O492)</f>
        <v/>
      </c>
      <c r="S492">
        <f>XLOOKUP(F492,Lookups!$B$7:$B$11,Lookups!$C$7:$C$11,"Unknown")</f>
        <v/>
      </c>
      <c r="T492" s="31">
        <f>XLOOKUP(G492,Lookups!$E$7:$E$11,Lookups!$F$7:$F$11,0)</f>
        <v/>
      </c>
      <c r="U492" s="32">
        <f>R492-T492</f>
        <v/>
      </c>
      <c r="V492">
        <f>XLOOKUP(I492,Lookups!$H$7:$H$10,Lookups!$I$7:$I$10,"")</f>
        <v/>
      </c>
      <c r="W492">
        <f>IF(O492&gt;=50000,"HIGH VALUE","")</f>
        <v/>
      </c>
      <c r="X492">
        <f>IF(Q492&lt;0,"LOSS","")</f>
        <v/>
      </c>
      <c r="Y492">
        <f>IFS(M492&gt;=0.15,"Deep Discount",M492&gt;=0.1,"Moderate",TRUE,"Standard")</f>
        <v/>
      </c>
    </row>
    <row r="493">
      <c r="A493">
        <f>Raw_Data!A493</f>
        <v/>
      </c>
      <c r="B493" s="29">
        <f>Raw_Data!B493</f>
        <v/>
      </c>
      <c r="C493">
        <f>YEAR(B493)</f>
        <v/>
      </c>
      <c r="D493">
        <f>MONTH(B493)</f>
        <v/>
      </c>
      <c r="E493">
        <f>TEXT(B493,"MMM-YYYY")</f>
        <v/>
      </c>
      <c r="F493">
        <f>Raw_Data!C493</f>
        <v/>
      </c>
      <c r="G493">
        <f>Raw_Data!D493</f>
        <v/>
      </c>
      <c r="H493">
        <f>Raw_Data!E493</f>
        <v/>
      </c>
      <c r="I493">
        <f>Raw_Data!F493</f>
        <v/>
      </c>
      <c r="J493">
        <f>Raw_Data!G493</f>
        <v/>
      </c>
      <c r="K493">
        <f>Raw_Data!H493</f>
        <v/>
      </c>
      <c r="L493" s="30">
        <f>Raw_Data!I493</f>
        <v/>
      </c>
      <c r="M493" s="31">
        <f>Raw_Data!J493</f>
        <v/>
      </c>
      <c r="N493" s="17">
        <f>K493*L493</f>
        <v/>
      </c>
      <c r="O493" s="17">
        <f>N493*(1-M493)</f>
        <v/>
      </c>
      <c r="P493" s="17">
        <f>Raw_Data!L493</f>
        <v/>
      </c>
      <c r="Q493" s="17">
        <f>O493-P493</f>
        <v/>
      </c>
      <c r="R493" s="31">
        <f>IF(O493=0,0,Q493/O493)</f>
        <v/>
      </c>
      <c r="S493">
        <f>XLOOKUP(F493,Lookups!$B$7:$B$11,Lookups!$C$7:$C$11,"Unknown")</f>
        <v/>
      </c>
      <c r="T493" s="31">
        <f>XLOOKUP(G493,Lookups!$E$7:$E$11,Lookups!$F$7:$F$11,0)</f>
        <v/>
      </c>
      <c r="U493" s="32">
        <f>R493-T493</f>
        <v/>
      </c>
      <c r="V493">
        <f>XLOOKUP(I493,Lookups!$H$7:$H$10,Lookups!$I$7:$I$10,"")</f>
        <v/>
      </c>
      <c r="W493">
        <f>IF(O493&gt;=50000,"HIGH VALUE","")</f>
        <v/>
      </c>
      <c r="X493">
        <f>IF(Q493&lt;0,"LOSS","")</f>
        <v/>
      </c>
      <c r="Y493">
        <f>IFS(M493&gt;=0.15,"Deep Discount",M493&gt;=0.1,"Moderate",TRUE,"Standard")</f>
        <v/>
      </c>
    </row>
    <row r="494">
      <c r="A494">
        <f>Raw_Data!A494</f>
        <v/>
      </c>
      <c r="B494" s="29">
        <f>Raw_Data!B494</f>
        <v/>
      </c>
      <c r="C494">
        <f>YEAR(B494)</f>
        <v/>
      </c>
      <c r="D494">
        <f>MONTH(B494)</f>
        <v/>
      </c>
      <c r="E494">
        <f>TEXT(B494,"MMM-YYYY")</f>
        <v/>
      </c>
      <c r="F494">
        <f>Raw_Data!C494</f>
        <v/>
      </c>
      <c r="G494">
        <f>Raw_Data!D494</f>
        <v/>
      </c>
      <c r="H494">
        <f>Raw_Data!E494</f>
        <v/>
      </c>
      <c r="I494">
        <f>Raw_Data!F494</f>
        <v/>
      </c>
      <c r="J494">
        <f>Raw_Data!G494</f>
        <v/>
      </c>
      <c r="K494">
        <f>Raw_Data!H494</f>
        <v/>
      </c>
      <c r="L494" s="30">
        <f>Raw_Data!I494</f>
        <v/>
      </c>
      <c r="M494" s="31">
        <f>Raw_Data!J494</f>
        <v/>
      </c>
      <c r="N494" s="17">
        <f>K494*L494</f>
        <v/>
      </c>
      <c r="O494" s="17">
        <f>N494*(1-M494)</f>
        <v/>
      </c>
      <c r="P494" s="17">
        <f>Raw_Data!L494</f>
        <v/>
      </c>
      <c r="Q494" s="17">
        <f>O494-P494</f>
        <v/>
      </c>
      <c r="R494" s="31">
        <f>IF(O494=0,0,Q494/O494)</f>
        <v/>
      </c>
      <c r="S494">
        <f>XLOOKUP(F494,Lookups!$B$7:$B$11,Lookups!$C$7:$C$11,"Unknown")</f>
        <v/>
      </c>
      <c r="T494" s="31">
        <f>XLOOKUP(G494,Lookups!$E$7:$E$11,Lookups!$F$7:$F$11,0)</f>
        <v/>
      </c>
      <c r="U494" s="32">
        <f>R494-T494</f>
        <v/>
      </c>
      <c r="V494">
        <f>XLOOKUP(I494,Lookups!$H$7:$H$10,Lookups!$I$7:$I$10,"")</f>
        <v/>
      </c>
      <c r="W494">
        <f>IF(O494&gt;=50000,"HIGH VALUE","")</f>
        <v/>
      </c>
      <c r="X494">
        <f>IF(Q494&lt;0,"LOSS","")</f>
        <v/>
      </c>
      <c r="Y494">
        <f>IFS(M494&gt;=0.15,"Deep Discount",M494&gt;=0.1,"Moderate",TRUE,"Standard")</f>
        <v/>
      </c>
    </row>
    <row r="495">
      <c r="A495">
        <f>Raw_Data!A495</f>
        <v/>
      </c>
      <c r="B495" s="29">
        <f>Raw_Data!B495</f>
        <v/>
      </c>
      <c r="C495">
        <f>YEAR(B495)</f>
        <v/>
      </c>
      <c r="D495">
        <f>MONTH(B495)</f>
        <v/>
      </c>
      <c r="E495">
        <f>TEXT(B495,"MMM-YYYY")</f>
        <v/>
      </c>
      <c r="F495">
        <f>Raw_Data!C495</f>
        <v/>
      </c>
      <c r="G495">
        <f>Raw_Data!D495</f>
        <v/>
      </c>
      <c r="H495">
        <f>Raw_Data!E495</f>
        <v/>
      </c>
      <c r="I495">
        <f>Raw_Data!F495</f>
        <v/>
      </c>
      <c r="J495">
        <f>Raw_Data!G495</f>
        <v/>
      </c>
      <c r="K495">
        <f>Raw_Data!H495</f>
        <v/>
      </c>
      <c r="L495" s="30">
        <f>Raw_Data!I495</f>
        <v/>
      </c>
      <c r="M495" s="31">
        <f>Raw_Data!J495</f>
        <v/>
      </c>
      <c r="N495" s="17">
        <f>K495*L495</f>
        <v/>
      </c>
      <c r="O495" s="17">
        <f>N495*(1-M495)</f>
        <v/>
      </c>
      <c r="P495" s="17">
        <f>Raw_Data!L495</f>
        <v/>
      </c>
      <c r="Q495" s="17">
        <f>O495-P495</f>
        <v/>
      </c>
      <c r="R495" s="31">
        <f>IF(O495=0,0,Q495/O495)</f>
        <v/>
      </c>
      <c r="S495">
        <f>XLOOKUP(F495,Lookups!$B$7:$B$11,Lookups!$C$7:$C$11,"Unknown")</f>
        <v/>
      </c>
      <c r="T495" s="31">
        <f>XLOOKUP(G495,Lookups!$E$7:$E$11,Lookups!$F$7:$F$11,0)</f>
        <v/>
      </c>
      <c r="U495" s="32">
        <f>R495-T495</f>
        <v/>
      </c>
      <c r="V495">
        <f>XLOOKUP(I495,Lookups!$H$7:$H$10,Lookups!$I$7:$I$10,"")</f>
        <v/>
      </c>
      <c r="W495">
        <f>IF(O495&gt;=50000,"HIGH VALUE","")</f>
        <v/>
      </c>
      <c r="X495">
        <f>IF(Q495&lt;0,"LOSS","")</f>
        <v/>
      </c>
      <c r="Y495">
        <f>IFS(M495&gt;=0.15,"Deep Discount",M495&gt;=0.1,"Moderate",TRUE,"Standard")</f>
        <v/>
      </c>
    </row>
    <row r="496">
      <c r="A496">
        <f>Raw_Data!A496</f>
        <v/>
      </c>
      <c r="B496" s="29">
        <f>Raw_Data!B496</f>
        <v/>
      </c>
      <c r="C496">
        <f>YEAR(B496)</f>
        <v/>
      </c>
      <c r="D496">
        <f>MONTH(B496)</f>
        <v/>
      </c>
      <c r="E496">
        <f>TEXT(B496,"MMM-YYYY")</f>
        <v/>
      </c>
      <c r="F496">
        <f>Raw_Data!C496</f>
        <v/>
      </c>
      <c r="G496">
        <f>Raw_Data!D496</f>
        <v/>
      </c>
      <c r="H496">
        <f>Raw_Data!E496</f>
        <v/>
      </c>
      <c r="I496">
        <f>Raw_Data!F496</f>
        <v/>
      </c>
      <c r="J496">
        <f>Raw_Data!G496</f>
        <v/>
      </c>
      <c r="K496">
        <f>Raw_Data!H496</f>
        <v/>
      </c>
      <c r="L496" s="30">
        <f>Raw_Data!I496</f>
        <v/>
      </c>
      <c r="M496" s="31">
        <f>Raw_Data!J496</f>
        <v/>
      </c>
      <c r="N496" s="17">
        <f>K496*L496</f>
        <v/>
      </c>
      <c r="O496" s="17">
        <f>N496*(1-M496)</f>
        <v/>
      </c>
      <c r="P496" s="17">
        <f>Raw_Data!L496</f>
        <v/>
      </c>
      <c r="Q496" s="17">
        <f>O496-P496</f>
        <v/>
      </c>
      <c r="R496" s="31">
        <f>IF(O496=0,0,Q496/O496)</f>
        <v/>
      </c>
      <c r="S496">
        <f>XLOOKUP(F496,Lookups!$B$7:$B$11,Lookups!$C$7:$C$11,"Unknown")</f>
        <v/>
      </c>
      <c r="T496" s="31">
        <f>XLOOKUP(G496,Lookups!$E$7:$E$11,Lookups!$F$7:$F$11,0)</f>
        <v/>
      </c>
      <c r="U496" s="32">
        <f>R496-T496</f>
        <v/>
      </c>
      <c r="V496">
        <f>XLOOKUP(I496,Lookups!$H$7:$H$10,Lookups!$I$7:$I$10,"")</f>
        <v/>
      </c>
      <c r="W496">
        <f>IF(O496&gt;=50000,"HIGH VALUE","")</f>
        <v/>
      </c>
      <c r="X496">
        <f>IF(Q496&lt;0,"LOSS","")</f>
        <v/>
      </c>
      <c r="Y496">
        <f>IFS(M496&gt;=0.15,"Deep Discount",M496&gt;=0.1,"Moderate",TRUE,"Standard")</f>
        <v/>
      </c>
    </row>
    <row r="497">
      <c r="A497">
        <f>Raw_Data!A497</f>
        <v/>
      </c>
      <c r="B497" s="29">
        <f>Raw_Data!B497</f>
        <v/>
      </c>
      <c r="C497">
        <f>YEAR(B497)</f>
        <v/>
      </c>
      <c r="D497">
        <f>MONTH(B497)</f>
        <v/>
      </c>
      <c r="E497">
        <f>TEXT(B497,"MMM-YYYY")</f>
        <v/>
      </c>
      <c r="F497">
        <f>Raw_Data!C497</f>
        <v/>
      </c>
      <c r="G497">
        <f>Raw_Data!D497</f>
        <v/>
      </c>
      <c r="H497">
        <f>Raw_Data!E497</f>
        <v/>
      </c>
      <c r="I497">
        <f>Raw_Data!F497</f>
        <v/>
      </c>
      <c r="J497">
        <f>Raw_Data!G497</f>
        <v/>
      </c>
      <c r="K497">
        <f>Raw_Data!H497</f>
        <v/>
      </c>
      <c r="L497" s="30">
        <f>Raw_Data!I497</f>
        <v/>
      </c>
      <c r="M497" s="31">
        <f>Raw_Data!J497</f>
        <v/>
      </c>
      <c r="N497" s="17">
        <f>K497*L497</f>
        <v/>
      </c>
      <c r="O497" s="17">
        <f>N497*(1-M497)</f>
        <v/>
      </c>
      <c r="P497" s="17">
        <f>Raw_Data!L497</f>
        <v/>
      </c>
      <c r="Q497" s="17">
        <f>O497-P497</f>
        <v/>
      </c>
      <c r="R497" s="31">
        <f>IF(O497=0,0,Q497/O497)</f>
        <v/>
      </c>
      <c r="S497">
        <f>XLOOKUP(F497,Lookups!$B$7:$B$11,Lookups!$C$7:$C$11,"Unknown")</f>
        <v/>
      </c>
      <c r="T497" s="31">
        <f>XLOOKUP(G497,Lookups!$E$7:$E$11,Lookups!$F$7:$F$11,0)</f>
        <v/>
      </c>
      <c r="U497" s="32">
        <f>R497-T497</f>
        <v/>
      </c>
      <c r="V497">
        <f>XLOOKUP(I497,Lookups!$H$7:$H$10,Lookups!$I$7:$I$10,"")</f>
        <v/>
      </c>
      <c r="W497">
        <f>IF(O497&gt;=50000,"HIGH VALUE","")</f>
        <v/>
      </c>
      <c r="X497">
        <f>IF(Q497&lt;0,"LOSS","")</f>
        <v/>
      </c>
      <c r="Y497">
        <f>IFS(M497&gt;=0.15,"Deep Discount",M497&gt;=0.1,"Moderate",TRUE,"Standard")</f>
        <v/>
      </c>
    </row>
    <row r="498">
      <c r="A498">
        <f>Raw_Data!A498</f>
        <v/>
      </c>
      <c r="B498" s="29">
        <f>Raw_Data!B498</f>
        <v/>
      </c>
      <c r="C498">
        <f>YEAR(B498)</f>
        <v/>
      </c>
      <c r="D498">
        <f>MONTH(B498)</f>
        <v/>
      </c>
      <c r="E498">
        <f>TEXT(B498,"MMM-YYYY")</f>
        <v/>
      </c>
      <c r="F498">
        <f>Raw_Data!C498</f>
        <v/>
      </c>
      <c r="G498">
        <f>Raw_Data!D498</f>
        <v/>
      </c>
      <c r="H498">
        <f>Raw_Data!E498</f>
        <v/>
      </c>
      <c r="I498">
        <f>Raw_Data!F498</f>
        <v/>
      </c>
      <c r="J498">
        <f>Raw_Data!G498</f>
        <v/>
      </c>
      <c r="K498">
        <f>Raw_Data!H498</f>
        <v/>
      </c>
      <c r="L498" s="30">
        <f>Raw_Data!I498</f>
        <v/>
      </c>
      <c r="M498" s="31">
        <f>Raw_Data!J498</f>
        <v/>
      </c>
      <c r="N498" s="17">
        <f>K498*L498</f>
        <v/>
      </c>
      <c r="O498" s="17">
        <f>N498*(1-M498)</f>
        <v/>
      </c>
      <c r="P498" s="17">
        <f>Raw_Data!L498</f>
        <v/>
      </c>
      <c r="Q498" s="17">
        <f>O498-P498</f>
        <v/>
      </c>
      <c r="R498" s="31">
        <f>IF(O498=0,0,Q498/O498)</f>
        <v/>
      </c>
      <c r="S498">
        <f>XLOOKUP(F498,Lookups!$B$7:$B$11,Lookups!$C$7:$C$11,"Unknown")</f>
        <v/>
      </c>
      <c r="T498" s="31">
        <f>XLOOKUP(G498,Lookups!$E$7:$E$11,Lookups!$F$7:$F$11,0)</f>
        <v/>
      </c>
      <c r="U498" s="32">
        <f>R498-T498</f>
        <v/>
      </c>
      <c r="V498">
        <f>XLOOKUP(I498,Lookups!$H$7:$H$10,Lookups!$I$7:$I$10,"")</f>
        <v/>
      </c>
      <c r="W498">
        <f>IF(O498&gt;=50000,"HIGH VALUE","")</f>
        <v/>
      </c>
      <c r="X498">
        <f>IF(Q498&lt;0,"LOSS","")</f>
        <v/>
      </c>
      <c r="Y498">
        <f>IFS(M498&gt;=0.15,"Deep Discount",M498&gt;=0.1,"Moderate",TRUE,"Standard")</f>
        <v/>
      </c>
    </row>
    <row r="499">
      <c r="A499">
        <f>Raw_Data!A499</f>
        <v/>
      </c>
      <c r="B499" s="29">
        <f>Raw_Data!B499</f>
        <v/>
      </c>
      <c r="C499">
        <f>YEAR(B499)</f>
        <v/>
      </c>
      <c r="D499">
        <f>MONTH(B499)</f>
        <v/>
      </c>
      <c r="E499">
        <f>TEXT(B499,"MMM-YYYY")</f>
        <v/>
      </c>
      <c r="F499">
        <f>Raw_Data!C499</f>
        <v/>
      </c>
      <c r="G499">
        <f>Raw_Data!D499</f>
        <v/>
      </c>
      <c r="H499">
        <f>Raw_Data!E499</f>
        <v/>
      </c>
      <c r="I499">
        <f>Raw_Data!F499</f>
        <v/>
      </c>
      <c r="J499">
        <f>Raw_Data!G499</f>
        <v/>
      </c>
      <c r="K499">
        <f>Raw_Data!H499</f>
        <v/>
      </c>
      <c r="L499" s="30">
        <f>Raw_Data!I499</f>
        <v/>
      </c>
      <c r="M499" s="31">
        <f>Raw_Data!J499</f>
        <v/>
      </c>
      <c r="N499" s="17">
        <f>K499*L499</f>
        <v/>
      </c>
      <c r="O499" s="17">
        <f>N499*(1-M499)</f>
        <v/>
      </c>
      <c r="P499" s="17">
        <f>Raw_Data!L499</f>
        <v/>
      </c>
      <c r="Q499" s="17">
        <f>O499-P499</f>
        <v/>
      </c>
      <c r="R499" s="31">
        <f>IF(O499=0,0,Q499/O499)</f>
        <v/>
      </c>
      <c r="S499">
        <f>XLOOKUP(F499,Lookups!$B$7:$B$11,Lookups!$C$7:$C$11,"Unknown")</f>
        <v/>
      </c>
      <c r="T499" s="31">
        <f>XLOOKUP(G499,Lookups!$E$7:$E$11,Lookups!$F$7:$F$11,0)</f>
        <v/>
      </c>
      <c r="U499" s="32">
        <f>R499-T499</f>
        <v/>
      </c>
      <c r="V499">
        <f>XLOOKUP(I499,Lookups!$H$7:$H$10,Lookups!$I$7:$I$10,"")</f>
        <v/>
      </c>
      <c r="W499">
        <f>IF(O499&gt;=50000,"HIGH VALUE","")</f>
        <v/>
      </c>
      <c r="X499">
        <f>IF(Q499&lt;0,"LOSS","")</f>
        <v/>
      </c>
      <c r="Y499">
        <f>IFS(M499&gt;=0.15,"Deep Discount",M499&gt;=0.1,"Moderate",TRUE,"Standard")</f>
        <v/>
      </c>
    </row>
    <row r="500">
      <c r="A500">
        <f>Raw_Data!A500</f>
        <v/>
      </c>
      <c r="B500" s="29">
        <f>Raw_Data!B500</f>
        <v/>
      </c>
      <c r="C500">
        <f>YEAR(B500)</f>
        <v/>
      </c>
      <c r="D500">
        <f>MONTH(B500)</f>
        <v/>
      </c>
      <c r="E500">
        <f>TEXT(B500,"MMM-YYYY")</f>
        <v/>
      </c>
      <c r="F500">
        <f>Raw_Data!C500</f>
        <v/>
      </c>
      <c r="G500">
        <f>Raw_Data!D500</f>
        <v/>
      </c>
      <c r="H500">
        <f>Raw_Data!E500</f>
        <v/>
      </c>
      <c r="I500">
        <f>Raw_Data!F500</f>
        <v/>
      </c>
      <c r="J500">
        <f>Raw_Data!G500</f>
        <v/>
      </c>
      <c r="K500">
        <f>Raw_Data!H500</f>
        <v/>
      </c>
      <c r="L500" s="30">
        <f>Raw_Data!I500</f>
        <v/>
      </c>
      <c r="M500" s="31">
        <f>Raw_Data!J500</f>
        <v/>
      </c>
      <c r="N500" s="17">
        <f>K500*L500</f>
        <v/>
      </c>
      <c r="O500" s="17">
        <f>N500*(1-M500)</f>
        <v/>
      </c>
      <c r="P500" s="17">
        <f>Raw_Data!L500</f>
        <v/>
      </c>
      <c r="Q500" s="17">
        <f>O500-P500</f>
        <v/>
      </c>
      <c r="R500" s="31">
        <f>IF(O500=0,0,Q500/O500)</f>
        <v/>
      </c>
      <c r="S500">
        <f>XLOOKUP(F500,Lookups!$B$7:$B$11,Lookups!$C$7:$C$11,"Unknown")</f>
        <v/>
      </c>
      <c r="T500" s="31">
        <f>XLOOKUP(G500,Lookups!$E$7:$E$11,Lookups!$F$7:$F$11,0)</f>
        <v/>
      </c>
      <c r="U500" s="32">
        <f>R500-T500</f>
        <v/>
      </c>
      <c r="V500">
        <f>XLOOKUP(I500,Lookups!$H$7:$H$10,Lookups!$I$7:$I$10,"")</f>
        <v/>
      </c>
      <c r="W500">
        <f>IF(O500&gt;=50000,"HIGH VALUE","")</f>
        <v/>
      </c>
      <c r="X500">
        <f>IF(Q500&lt;0,"LOSS","")</f>
        <v/>
      </c>
      <c r="Y500">
        <f>IFS(M500&gt;=0.15,"Deep Discount",M500&gt;=0.1,"Moderate",TRUE,"Standard")</f>
        <v/>
      </c>
    </row>
    <row r="501">
      <c r="A501">
        <f>Raw_Data!A501</f>
        <v/>
      </c>
      <c r="B501" s="29">
        <f>Raw_Data!B501</f>
        <v/>
      </c>
      <c r="C501">
        <f>YEAR(B501)</f>
        <v/>
      </c>
      <c r="D501">
        <f>MONTH(B501)</f>
        <v/>
      </c>
      <c r="E501">
        <f>TEXT(B501,"MMM-YYYY")</f>
        <v/>
      </c>
      <c r="F501">
        <f>Raw_Data!C501</f>
        <v/>
      </c>
      <c r="G501">
        <f>Raw_Data!D501</f>
        <v/>
      </c>
      <c r="H501">
        <f>Raw_Data!E501</f>
        <v/>
      </c>
      <c r="I501">
        <f>Raw_Data!F501</f>
        <v/>
      </c>
      <c r="J501">
        <f>Raw_Data!G501</f>
        <v/>
      </c>
      <c r="K501">
        <f>Raw_Data!H501</f>
        <v/>
      </c>
      <c r="L501" s="30">
        <f>Raw_Data!I501</f>
        <v/>
      </c>
      <c r="M501" s="31">
        <f>Raw_Data!J501</f>
        <v/>
      </c>
      <c r="N501" s="17">
        <f>K501*L501</f>
        <v/>
      </c>
      <c r="O501" s="17">
        <f>N501*(1-M501)</f>
        <v/>
      </c>
      <c r="P501" s="17">
        <f>Raw_Data!L501</f>
        <v/>
      </c>
      <c r="Q501" s="17">
        <f>O501-P501</f>
        <v/>
      </c>
      <c r="R501" s="31">
        <f>IF(O501=0,0,Q501/O501)</f>
        <v/>
      </c>
      <c r="S501">
        <f>XLOOKUP(F501,Lookups!$B$7:$B$11,Lookups!$C$7:$C$11,"Unknown")</f>
        <v/>
      </c>
      <c r="T501" s="31">
        <f>XLOOKUP(G501,Lookups!$E$7:$E$11,Lookups!$F$7:$F$11,0)</f>
        <v/>
      </c>
      <c r="U501" s="32">
        <f>R501-T501</f>
        <v/>
      </c>
      <c r="V501">
        <f>XLOOKUP(I501,Lookups!$H$7:$H$10,Lookups!$I$7:$I$10,"")</f>
        <v/>
      </c>
      <c r="W501">
        <f>IF(O501&gt;=50000,"HIGH VALUE","")</f>
        <v/>
      </c>
      <c r="X501">
        <f>IF(Q501&lt;0,"LOSS","")</f>
        <v/>
      </c>
      <c r="Y501">
        <f>IFS(M501&gt;=0.15,"Deep Discount",M501&gt;=0.1,"Moderate",TRUE,"Standard")</f>
        <v/>
      </c>
    </row>
    <row r="502">
      <c r="A502">
        <f>Raw_Data!A502</f>
        <v/>
      </c>
      <c r="B502" s="29">
        <f>Raw_Data!B502</f>
        <v/>
      </c>
      <c r="C502">
        <f>YEAR(B502)</f>
        <v/>
      </c>
      <c r="D502">
        <f>MONTH(B502)</f>
        <v/>
      </c>
      <c r="E502">
        <f>TEXT(B502,"MMM-YYYY")</f>
        <v/>
      </c>
      <c r="F502">
        <f>Raw_Data!C502</f>
        <v/>
      </c>
      <c r="G502">
        <f>Raw_Data!D502</f>
        <v/>
      </c>
      <c r="H502">
        <f>Raw_Data!E502</f>
        <v/>
      </c>
      <c r="I502">
        <f>Raw_Data!F502</f>
        <v/>
      </c>
      <c r="J502">
        <f>Raw_Data!G502</f>
        <v/>
      </c>
      <c r="K502">
        <f>Raw_Data!H502</f>
        <v/>
      </c>
      <c r="L502" s="30">
        <f>Raw_Data!I502</f>
        <v/>
      </c>
      <c r="M502" s="31">
        <f>Raw_Data!J502</f>
        <v/>
      </c>
      <c r="N502" s="17">
        <f>K502*L502</f>
        <v/>
      </c>
      <c r="O502" s="17">
        <f>N502*(1-M502)</f>
        <v/>
      </c>
      <c r="P502" s="17">
        <f>Raw_Data!L502</f>
        <v/>
      </c>
      <c r="Q502" s="17">
        <f>O502-P502</f>
        <v/>
      </c>
      <c r="R502" s="31">
        <f>IF(O502=0,0,Q502/O502)</f>
        <v/>
      </c>
      <c r="S502">
        <f>XLOOKUP(F502,Lookups!$B$7:$B$11,Lookups!$C$7:$C$11,"Unknown")</f>
        <v/>
      </c>
      <c r="T502" s="31">
        <f>XLOOKUP(G502,Lookups!$E$7:$E$11,Lookups!$F$7:$F$11,0)</f>
        <v/>
      </c>
      <c r="U502" s="32">
        <f>R502-T502</f>
        <v/>
      </c>
      <c r="V502">
        <f>XLOOKUP(I502,Lookups!$H$7:$H$10,Lookups!$I$7:$I$10,"")</f>
        <v/>
      </c>
      <c r="W502">
        <f>IF(O502&gt;=50000,"HIGH VALUE","")</f>
        <v/>
      </c>
      <c r="X502">
        <f>IF(Q502&lt;0,"LOSS","")</f>
        <v/>
      </c>
      <c r="Y502">
        <f>IFS(M502&gt;=0.15,"Deep Discount",M502&gt;=0.1,"Moderate",TRUE,"Standard")</f>
        <v/>
      </c>
    </row>
    <row r="503">
      <c r="A503">
        <f>Raw_Data!A503</f>
        <v/>
      </c>
      <c r="B503" s="29">
        <f>Raw_Data!B503</f>
        <v/>
      </c>
      <c r="C503">
        <f>YEAR(B503)</f>
        <v/>
      </c>
      <c r="D503">
        <f>MONTH(B503)</f>
        <v/>
      </c>
      <c r="E503">
        <f>TEXT(B503,"MMM-YYYY")</f>
        <v/>
      </c>
      <c r="F503">
        <f>Raw_Data!C503</f>
        <v/>
      </c>
      <c r="G503">
        <f>Raw_Data!D503</f>
        <v/>
      </c>
      <c r="H503">
        <f>Raw_Data!E503</f>
        <v/>
      </c>
      <c r="I503">
        <f>Raw_Data!F503</f>
        <v/>
      </c>
      <c r="J503">
        <f>Raw_Data!G503</f>
        <v/>
      </c>
      <c r="K503">
        <f>Raw_Data!H503</f>
        <v/>
      </c>
      <c r="L503" s="30">
        <f>Raw_Data!I503</f>
        <v/>
      </c>
      <c r="M503" s="31">
        <f>Raw_Data!J503</f>
        <v/>
      </c>
      <c r="N503" s="17">
        <f>K503*L503</f>
        <v/>
      </c>
      <c r="O503" s="17">
        <f>N503*(1-M503)</f>
        <v/>
      </c>
      <c r="P503" s="17">
        <f>Raw_Data!L503</f>
        <v/>
      </c>
      <c r="Q503" s="17">
        <f>O503-P503</f>
        <v/>
      </c>
      <c r="R503" s="31">
        <f>IF(O503=0,0,Q503/O503)</f>
        <v/>
      </c>
      <c r="S503">
        <f>XLOOKUP(F503,Lookups!$B$7:$B$11,Lookups!$C$7:$C$11,"Unknown")</f>
        <v/>
      </c>
      <c r="T503" s="31">
        <f>XLOOKUP(G503,Lookups!$E$7:$E$11,Lookups!$F$7:$F$11,0)</f>
        <v/>
      </c>
      <c r="U503" s="32">
        <f>R503-T503</f>
        <v/>
      </c>
      <c r="V503">
        <f>XLOOKUP(I503,Lookups!$H$7:$H$10,Lookups!$I$7:$I$10,"")</f>
        <v/>
      </c>
      <c r="W503">
        <f>IF(O503&gt;=50000,"HIGH VALUE","")</f>
        <v/>
      </c>
      <c r="X503">
        <f>IF(Q503&lt;0,"LOSS","")</f>
        <v/>
      </c>
      <c r="Y503">
        <f>IFS(M503&gt;=0.15,"Deep Discount",M503&gt;=0.1,"Moderate",TRUE,"Standard")</f>
        <v/>
      </c>
    </row>
    <row r="504">
      <c r="A504">
        <f>Raw_Data!A504</f>
        <v/>
      </c>
      <c r="B504" s="29">
        <f>Raw_Data!B504</f>
        <v/>
      </c>
      <c r="C504">
        <f>YEAR(B504)</f>
        <v/>
      </c>
      <c r="D504">
        <f>MONTH(B504)</f>
        <v/>
      </c>
      <c r="E504">
        <f>TEXT(B504,"MMM-YYYY")</f>
        <v/>
      </c>
      <c r="F504">
        <f>Raw_Data!C504</f>
        <v/>
      </c>
      <c r="G504">
        <f>Raw_Data!D504</f>
        <v/>
      </c>
      <c r="H504">
        <f>Raw_Data!E504</f>
        <v/>
      </c>
      <c r="I504">
        <f>Raw_Data!F504</f>
        <v/>
      </c>
      <c r="J504">
        <f>Raw_Data!G504</f>
        <v/>
      </c>
      <c r="K504">
        <f>Raw_Data!H504</f>
        <v/>
      </c>
      <c r="L504" s="30">
        <f>Raw_Data!I504</f>
        <v/>
      </c>
      <c r="M504" s="31">
        <f>Raw_Data!J504</f>
        <v/>
      </c>
      <c r="N504" s="17">
        <f>K504*L504</f>
        <v/>
      </c>
      <c r="O504" s="17">
        <f>N504*(1-M504)</f>
        <v/>
      </c>
      <c r="P504" s="17">
        <f>Raw_Data!L504</f>
        <v/>
      </c>
      <c r="Q504" s="17">
        <f>O504-P504</f>
        <v/>
      </c>
      <c r="R504" s="31">
        <f>IF(O504=0,0,Q504/O504)</f>
        <v/>
      </c>
      <c r="S504">
        <f>XLOOKUP(F504,Lookups!$B$7:$B$11,Lookups!$C$7:$C$11,"Unknown")</f>
        <v/>
      </c>
      <c r="T504" s="31">
        <f>XLOOKUP(G504,Lookups!$E$7:$E$11,Lookups!$F$7:$F$11,0)</f>
        <v/>
      </c>
      <c r="U504" s="32">
        <f>R504-T504</f>
        <v/>
      </c>
      <c r="V504">
        <f>XLOOKUP(I504,Lookups!$H$7:$H$10,Lookups!$I$7:$I$10,"")</f>
        <v/>
      </c>
      <c r="W504">
        <f>IF(O504&gt;=50000,"HIGH VALUE","")</f>
        <v/>
      </c>
      <c r="X504">
        <f>IF(Q504&lt;0,"LOSS","")</f>
        <v/>
      </c>
      <c r="Y504">
        <f>IFS(M504&gt;=0.15,"Deep Discount",M504&gt;=0.1,"Moderate",TRUE,"Standard")</f>
        <v/>
      </c>
    </row>
    <row r="505">
      <c r="A505">
        <f>Raw_Data!A505</f>
        <v/>
      </c>
      <c r="B505" s="29">
        <f>Raw_Data!B505</f>
        <v/>
      </c>
      <c r="C505">
        <f>YEAR(B505)</f>
        <v/>
      </c>
      <c r="D505">
        <f>MONTH(B505)</f>
        <v/>
      </c>
      <c r="E505">
        <f>TEXT(B505,"MMM-YYYY")</f>
        <v/>
      </c>
      <c r="F505">
        <f>Raw_Data!C505</f>
        <v/>
      </c>
      <c r="G505">
        <f>Raw_Data!D505</f>
        <v/>
      </c>
      <c r="H505">
        <f>Raw_Data!E505</f>
        <v/>
      </c>
      <c r="I505">
        <f>Raw_Data!F505</f>
        <v/>
      </c>
      <c r="J505">
        <f>Raw_Data!G505</f>
        <v/>
      </c>
      <c r="K505">
        <f>Raw_Data!H505</f>
        <v/>
      </c>
      <c r="L505" s="30">
        <f>Raw_Data!I505</f>
        <v/>
      </c>
      <c r="M505" s="31">
        <f>Raw_Data!J505</f>
        <v/>
      </c>
      <c r="N505" s="17">
        <f>K505*L505</f>
        <v/>
      </c>
      <c r="O505" s="17">
        <f>N505*(1-M505)</f>
        <v/>
      </c>
      <c r="P505" s="17">
        <f>Raw_Data!L505</f>
        <v/>
      </c>
      <c r="Q505" s="17">
        <f>O505-P505</f>
        <v/>
      </c>
      <c r="R505" s="31">
        <f>IF(O505=0,0,Q505/O505)</f>
        <v/>
      </c>
      <c r="S505">
        <f>XLOOKUP(F505,Lookups!$B$7:$B$11,Lookups!$C$7:$C$11,"Unknown")</f>
        <v/>
      </c>
      <c r="T505" s="31">
        <f>XLOOKUP(G505,Lookups!$E$7:$E$11,Lookups!$F$7:$F$11,0)</f>
        <v/>
      </c>
      <c r="U505" s="32">
        <f>R505-T505</f>
        <v/>
      </c>
      <c r="V505">
        <f>XLOOKUP(I505,Lookups!$H$7:$H$10,Lookups!$I$7:$I$10,"")</f>
        <v/>
      </c>
      <c r="W505">
        <f>IF(O505&gt;=50000,"HIGH VALUE","")</f>
        <v/>
      </c>
      <c r="X505">
        <f>IF(Q505&lt;0,"LOSS","")</f>
        <v/>
      </c>
      <c r="Y505">
        <f>IFS(M505&gt;=0.15,"Deep Discount",M505&gt;=0.1,"Moderate",TRUE,"Standard")</f>
        <v/>
      </c>
    </row>
    <row r="506">
      <c r="A506">
        <f>Raw_Data!A506</f>
        <v/>
      </c>
      <c r="B506" s="29">
        <f>Raw_Data!B506</f>
        <v/>
      </c>
      <c r="C506">
        <f>YEAR(B506)</f>
        <v/>
      </c>
      <c r="D506">
        <f>MONTH(B506)</f>
        <v/>
      </c>
      <c r="E506">
        <f>TEXT(B506,"MMM-YYYY")</f>
        <v/>
      </c>
      <c r="F506">
        <f>Raw_Data!C506</f>
        <v/>
      </c>
      <c r="G506">
        <f>Raw_Data!D506</f>
        <v/>
      </c>
      <c r="H506">
        <f>Raw_Data!E506</f>
        <v/>
      </c>
      <c r="I506">
        <f>Raw_Data!F506</f>
        <v/>
      </c>
      <c r="J506">
        <f>Raw_Data!G506</f>
        <v/>
      </c>
      <c r="K506">
        <f>Raw_Data!H506</f>
        <v/>
      </c>
      <c r="L506" s="30">
        <f>Raw_Data!I506</f>
        <v/>
      </c>
      <c r="M506" s="31">
        <f>Raw_Data!J506</f>
        <v/>
      </c>
      <c r="N506" s="17">
        <f>K506*L506</f>
        <v/>
      </c>
      <c r="O506" s="17">
        <f>N506*(1-M506)</f>
        <v/>
      </c>
      <c r="P506" s="17">
        <f>Raw_Data!L506</f>
        <v/>
      </c>
      <c r="Q506" s="17">
        <f>O506-P506</f>
        <v/>
      </c>
      <c r="R506" s="31">
        <f>IF(O506=0,0,Q506/O506)</f>
        <v/>
      </c>
      <c r="S506">
        <f>XLOOKUP(F506,Lookups!$B$7:$B$11,Lookups!$C$7:$C$11,"Unknown")</f>
        <v/>
      </c>
      <c r="T506" s="31">
        <f>XLOOKUP(G506,Lookups!$E$7:$E$11,Lookups!$F$7:$F$11,0)</f>
        <v/>
      </c>
      <c r="U506" s="32">
        <f>R506-T506</f>
        <v/>
      </c>
      <c r="V506">
        <f>XLOOKUP(I506,Lookups!$H$7:$H$10,Lookups!$I$7:$I$10,"")</f>
        <v/>
      </c>
      <c r="W506">
        <f>IF(O506&gt;=50000,"HIGH VALUE","")</f>
        <v/>
      </c>
      <c r="X506">
        <f>IF(Q506&lt;0,"LOSS","")</f>
        <v/>
      </c>
      <c r="Y506">
        <f>IFS(M506&gt;=0.15,"Deep Discount",M506&gt;=0.1,"Moderate",TRUE,"Standard")</f>
        <v/>
      </c>
    </row>
    <row r="507">
      <c r="A507">
        <f>Raw_Data!A507</f>
        <v/>
      </c>
      <c r="B507" s="29">
        <f>Raw_Data!B507</f>
        <v/>
      </c>
      <c r="C507">
        <f>YEAR(B507)</f>
        <v/>
      </c>
      <c r="D507">
        <f>MONTH(B507)</f>
        <v/>
      </c>
      <c r="E507">
        <f>TEXT(B507,"MMM-YYYY")</f>
        <v/>
      </c>
      <c r="F507">
        <f>Raw_Data!C507</f>
        <v/>
      </c>
      <c r="G507">
        <f>Raw_Data!D507</f>
        <v/>
      </c>
      <c r="H507">
        <f>Raw_Data!E507</f>
        <v/>
      </c>
      <c r="I507">
        <f>Raw_Data!F507</f>
        <v/>
      </c>
      <c r="J507">
        <f>Raw_Data!G507</f>
        <v/>
      </c>
      <c r="K507">
        <f>Raw_Data!H507</f>
        <v/>
      </c>
      <c r="L507" s="30">
        <f>Raw_Data!I507</f>
        <v/>
      </c>
      <c r="M507" s="31">
        <f>Raw_Data!J507</f>
        <v/>
      </c>
      <c r="N507" s="17">
        <f>K507*L507</f>
        <v/>
      </c>
      <c r="O507" s="17">
        <f>N507*(1-M507)</f>
        <v/>
      </c>
      <c r="P507" s="17">
        <f>Raw_Data!L507</f>
        <v/>
      </c>
      <c r="Q507" s="17">
        <f>O507-P507</f>
        <v/>
      </c>
      <c r="R507" s="31">
        <f>IF(O507=0,0,Q507/O507)</f>
        <v/>
      </c>
      <c r="S507">
        <f>XLOOKUP(F507,Lookups!$B$7:$B$11,Lookups!$C$7:$C$11,"Unknown")</f>
        <v/>
      </c>
      <c r="T507" s="31">
        <f>XLOOKUP(G507,Lookups!$E$7:$E$11,Lookups!$F$7:$F$11,0)</f>
        <v/>
      </c>
      <c r="U507" s="32">
        <f>R507-T507</f>
        <v/>
      </c>
      <c r="V507">
        <f>XLOOKUP(I507,Lookups!$H$7:$H$10,Lookups!$I$7:$I$10,"")</f>
        <v/>
      </c>
      <c r="W507">
        <f>IF(O507&gt;=50000,"HIGH VALUE","")</f>
        <v/>
      </c>
      <c r="X507">
        <f>IF(Q507&lt;0,"LOSS","")</f>
        <v/>
      </c>
      <c r="Y507">
        <f>IFS(M507&gt;=0.15,"Deep Discount",M507&gt;=0.1,"Moderate",TRUE,"Standard")</f>
        <v/>
      </c>
    </row>
    <row r="508">
      <c r="A508">
        <f>Raw_Data!A508</f>
        <v/>
      </c>
      <c r="B508" s="29">
        <f>Raw_Data!B508</f>
        <v/>
      </c>
      <c r="C508">
        <f>YEAR(B508)</f>
        <v/>
      </c>
      <c r="D508">
        <f>MONTH(B508)</f>
        <v/>
      </c>
      <c r="E508">
        <f>TEXT(B508,"MMM-YYYY")</f>
        <v/>
      </c>
      <c r="F508">
        <f>Raw_Data!C508</f>
        <v/>
      </c>
      <c r="G508">
        <f>Raw_Data!D508</f>
        <v/>
      </c>
      <c r="H508">
        <f>Raw_Data!E508</f>
        <v/>
      </c>
      <c r="I508">
        <f>Raw_Data!F508</f>
        <v/>
      </c>
      <c r="J508">
        <f>Raw_Data!G508</f>
        <v/>
      </c>
      <c r="K508">
        <f>Raw_Data!H508</f>
        <v/>
      </c>
      <c r="L508" s="30">
        <f>Raw_Data!I508</f>
        <v/>
      </c>
      <c r="M508" s="31">
        <f>Raw_Data!J508</f>
        <v/>
      </c>
      <c r="N508" s="17">
        <f>K508*L508</f>
        <v/>
      </c>
      <c r="O508" s="17">
        <f>N508*(1-M508)</f>
        <v/>
      </c>
      <c r="P508" s="17">
        <f>Raw_Data!L508</f>
        <v/>
      </c>
      <c r="Q508" s="17">
        <f>O508-P508</f>
        <v/>
      </c>
      <c r="R508" s="31">
        <f>IF(O508=0,0,Q508/O508)</f>
        <v/>
      </c>
      <c r="S508">
        <f>XLOOKUP(F508,Lookups!$B$7:$B$11,Lookups!$C$7:$C$11,"Unknown")</f>
        <v/>
      </c>
      <c r="T508" s="31">
        <f>XLOOKUP(G508,Lookups!$E$7:$E$11,Lookups!$F$7:$F$11,0)</f>
        <v/>
      </c>
      <c r="U508" s="32">
        <f>R508-T508</f>
        <v/>
      </c>
      <c r="V508">
        <f>XLOOKUP(I508,Lookups!$H$7:$H$10,Lookups!$I$7:$I$10,"")</f>
        <v/>
      </c>
      <c r="W508">
        <f>IF(O508&gt;=50000,"HIGH VALUE","")</f>
        <v/>
      </c>
      <c r="X508">
        <f>IF(Q508&lt;0,"LOSS","")</f>
        <v/>
      </c>
      <c r="Y508">
        <f>IFS(M508&gt;=0.15,"Deep Discount",M508&gt;=0.1,"Moderate",TRUE,"Standard")</f>
        <v/>
      </c>
    </row>
    <row r="509">
      <c r="A509">
        <f>Raw_Data!A509</f>
        <v/>
      </c>
      <c r="B509" s="29">
        <f>Raw_Data!B509</f>
        <v/>
      </c>
      <c r="C509">
        <f>YEAR(B509)</f>
        <v/>
      </c>
      <c r="D509">
        <f>MONTH(B509)</f>
        <v/>
      </c>
      <c r="E509">
        <f>TEXT(B509,"MMM-YYYY")</f>
        <v/>
      </c>
      <c r="F509">
        <f>Raw_Data!C509</f>
        <v/>
      </c>
      <c r="G509">
        <f>Raw_Data!D509</f>
        <v/>
      </c>
      <c r="H509">
        <f>Raw_Data!E509</f>
        <v/>
      </c>
      <c r="I509">
        <f>Raw_Data!F509</f>
        <v/>
      </c>
      <c r="J509">
        <f>Raw_Data!G509</f>
        <v/>
      </c>
      <c r="K509">
        <f>Raw_Data!H509</f>
        <v/>
      </c>
      <c r="L509" s="30">
        <f>Raw_Data!I509</f>
        <v/>
      </c>
      <c r="M509" s="31">
        <f>Raw_Data!J509</f>
        <v/>
      </c>
      <c r="N509" s="17">
        <f>K509*L509</f>
        <v/>
      </c>
      <c r="O509" s="17">
        <f>N509*(1-M509)</f>
        <v/>
      </c>
      <c r="P509" s="17">
        <f>Raw_Data!L509</f>
        <v/>
      </c>
      <c r="Q509" s="17">
        <f>O509-P509</f>
        <v/>
      </c>
      <c r="R509" s="31">
        <f>IF(O509=0,0,Q509/O509)</f>
        <v/>
      </c>
      <c r="S509">
        <f>XLOOKUP(F509,Lookups!$B$7:$B$11,Lookups!$C$7:$C$11,"Unknown")</f>
        <v/>
      </c>
      <c r="T509" s="31">
        <f>XLOOKUP(G509,Lookups!$E$7:$E$11,Lookups!$F$7:$F$11,0)</f>
        <v/>
      </c>
      <c r="U509" s="32">
        <f>R509-T509</f>
        <v/>
      </c>
      <c r="V509">
        <f>XLOOKUP(I509,Lookups!$H$7:$H$10,Lookups!$I$7:$I$10,"")</f>
        <v/>
      </c>
      <c r="W509">
        <f>IF(O509&gt;=50000,"HIGH VALUE","")</f>
        <v/>
      </c>
      <c r="X509">
        <f>IF(Q509&lt;0,"LOSS","")</f>
        <v/>
      </c>
      <c r="Y509">
        <f>IFS(M509&gt;=0.15,"Deep Discount",M509&gt;=0.1,"Moderate",TRUE,"Standard")</f>
        <v/>
      </c>
    </row>
    <row r="510">
      <c r="A510">
        <f>Raw_Data!A510</f>
        <v/>
      </c>
      <c r="B510" s="29">
        <f>Raw_Data!B510</f>
        <v/>
      </c>
      <c r="C510">
        <f>YEAR(B510)</f>
        <v/>
      </c>
      <c r="D510">
        <f>MONTH(B510)</f>
        <v/>
      </c>
      <c r="E510">
        <f>TEXT(B510,"MMM-YYYY")</f>
        <v/>
      </c>
      <c r="F510">
        <f>Raw_Data!C510</f>
        <v/>
      </c>
      <c r="G510">
        <f>Raw_Data!D510</f>
        <v/>
      </c>
      <c r="H510">
        <f>Raw_Data!E510</f>
        <v/>
      </c>
      <c r="I510">
        <f>Raw_Data!F510</f>
        <v/>
      </c>
      <c r="J510">
        <f>Raw_Data!G510</f>
        <v/>
      </c>
      <c r="K510">
        <f>Raw_Data!H510</f>
        <v/>
      </c>
      <c r="L510" s="30">
        <f>Raw_Data!I510</f>
        <v/>
      </c>
      <c r="M510" s="31">
        <f>Raw_Data!J510</f>
        <v/>
      </c>
      <c r="N510" s="17">
        <f>K510*L510</f>
        <v/>
      </c>
      <c r="O510" s="17">
        <f>N510*(1-M510)</f>
        <v/>
      </c>
      <c r="P510" s="17">
        <f>Raw_Data!L510</f>
        <v/>
      </c>
      <c r="Q510" s="17">
        <f>O510-P510</f>
        <v/>
      </c>
      <c r="R510" s="31">
        <f>IF(O510=0,0,Q510/O510)</f>
        <v/>
      </c>
      <c r="S510">
        <f>XLOOKUP(F510,Lookups!$B$7:$B$11,Lookups!$C$7:$C$11,"Unknown")</f>
        <v/>
      </c>
      <c r="T510" s="31">
        <f>XLOOKUP(G510,Lookups!$E$7:$E$11,Lookups!$F$7:$F$11,0)</f>
        <v/>
      </c>
      <c r="U510" s="32">
        <f>R510-T510</f>
        <v/>
      </c>
      <c r="V510">
        <f>XLOOKUP(I510,Lookups!$H$7:$H$10,Lookups!$I$7:$I$10,"")</f>
        <v/>
      </c>
      <c r="W510">
        <f>IF(O510&gt;=50000,"HIGH VALUE","")</f>
        <v/>
      </c>
      <c r="X510">
        <f>IF(Q510&lt;0,"LOSS","")</f>
        <v/>
      </c>
      <c r="Y510">
        <f>IFS(M510&gt;=0.15,"Deep Discount",M510&gt;=0.1,"Moderate",TRUE,"Standard")</f>
        <v/>
      </c>
    </row>
    <row r="511">
      <c r="A511">
        <f>Raw_Data!A511</f>
        <v/>
      </c>
      <c r="B511" s="29">
        <f>Raw_Data!B511</f>
        <v/>
      </c>
      <c r="C511">
        <f>YEAR(B511)</f>
        <v/>
      </c>
      <c r="D511">
        <f>MONTH(B511)</f>
        <v/>
      </c>
      <c r="E511">
        <f>TEXT(B511,"MMM-YYYY")</f>
        <v/>
      </c>
      <c r="F511">
        <f>Raw_Data!C511</f>
        <v/>
      </c>
      <c r="G511">
        <f>Raw_Data!D511</f>
        <v/>
      </c>
      <c r="H511">
        <f>Raw_Data!E511</f>
        <v/>
      </c>
      <c r="I511">
        <f>Raw_Data!F511</f>
        <v/>
      </c>
      <c r="J511">
        <f>Raw_Data!G511</f>
        <v/>
      </c>
      <c r="K511">
        <f>Raw_Data!H511</f>
        <v/>
      </c>
      <c r="L511" s="30">
        <f>Raw_Data!I511</f>
        <v/>
      </c>
      <c r="M511" s="31">
        <f>Raw_Data!J511</f>
        <v/>
      </c>
      <c r="N511" s="17">
        <f>K511*L511</f>
        <v/>
      </c>
      <c r="O511" s="17">
        <f>N511*(1-M511)</f>
        <v/>
      </c>
      <c r="P511" s="17">
        <f>Raw_Data!L511</f>
        <v/>
      </c>
      <c r="Q511" s="17">
        <f>O511-P511</f>
        <v/>
      </c>
      <c r="R511" s="31">
        <f>IF(O511=0,0,Q511/O511)</f>
        <v/>
      </c>
      <c r="S511">
        <f>XLOOKUP(F511,Lookups!$B$7:$B$11,Lookups!$C$7:$C$11,"Unknown")</f>
        <v/>
      </c>
      <c r="T511" s="31">
        <f>XLOOKUP(G511,Lookups!$E$7:$E$11,Lookups!$F$7:$F$11,0)</f>
        <v/>
      </c>
      <c r="U511" s="32">
        <f>R511-T511</f>
        <v/>
      </c>
      <c r="V511">
        <f>XLOOKUP(I511,Lookups!$H$7:$H$10,Lookups!$I$7:$I$10,"")</f>
        <v/>
      </c>
      <c r="W511">
        <f>IF(O511&gt;=50000,"HIGH VALUE","")</f>
        <v/>
      </c>
      <c r="X511">
        <f>IF(Q511&lt;0,"LOSS","")</f>
        <v/>
      </c>
      <c r="Y511">
        <f>IFS(M511&gt;=0.15,"Deep Discount",M511&gt;=0.1,"Moderate",TRUE,"Standard")</f>
        <v/>
      </c>
    </row>
    <row r="512">
      <c r="A512">
        <f>Raw_Data!A512</f>
        <v/>
      </c>
      <c r="B512" s="29">
        <f>Raw_Data!B512</f>
        <v/>
      </c>
      <c r="C512">
        <f>YEAR(B512)</f>
        <v/>
      </c>
      <c r="D512">
        <f>MONTH(B512)</f>
        <v/>
      </c>
      <c r="E512">
        <f>TEXT(B512,"MMM-YYYY")</f>
        <v/>
      </c>
      <c r="F512">
        <f>Raw_Data!C512</f>
        <v/>
      </c>
      <c r="G512">
        <f>Raw_Data!D512</f>
        <v/>
      </c>
      <c r="H512">
        <f>Raw_Data!E512</f>
        <v/>
      </c>
      <c r="I512">
        <f>Raw_Data!F512</f>
        <v/>
      </c>
      <c r="J512">
        <f>Raw_Data!G512</f>
        <v/>
      </c>
      <c r="K512">
        <f>Raw_Data!H512</f>
        <v/>
      </c>
      <c r="L512" s="30">
        <f>Raw_Data!I512</f>
        <v/>
      </c>
      <c r="M512" s="31">
        <f>Raw_Data!J512</f>
        <v/>
      </c>
      <c r="N512" s="17">
        <f>K512*L512</f>
        <v/>
      </c>
      <c r="O512" s="17">
        <f>N512*(1-M512)</f>
        <v/>
      </c>
      <c r="P512" s="17">
        <f>Raw_Data!L512</f>
        <v/>
      </c>
      <c r="Q512" s="17">
        <f>O512-P512</f>
        <v/>
      </c>
      <c r="R512" s="31">
        <f>IF(O512=0,0,Q512/O512)</f>
        <v/>
      </c>
      <c r="S512">
        <f>XLOOKUP(F512,Lookups!$B$7:$B$11,Lookups!$C$7:$C$11,"Unknown")</f>
        <v/>
      </c>
      <c r="T512" s="31">
        <f>XLOOKUP(G512,Lookups!$E$7:$E$11,Lookups!$F$7:$F$11,0)</f>
        <v/>
      </c>
      <c r="U512" s="32">
        <f>R512-T512</f>
        <v/>
      </c>
      <c r="V512">
        <f>XLOOKUP(I512,Lookups!$H$7:$H$10,Lookups!$I$7:$I$10,"")</f>
        <v/>
      </c>
      <c r="W512">
        <f>IF(O512&gt;=50000,"HIGH VALUE","")</f>
        <v/>
      </c>
      <c r="X512">
        <f>IF(Q512&lt;0,"LOSS","")</f>
        <v/>
      </c>
      <c r="Y512">
        <f>IFS(M512&gt;=0.15,"Deep Discount",M512&gt;=0.1,"Moderate",TRUE,"Standard")</f>
        <v/>
      </c>
    </row>
    <row r="513">
      <c r="A513">
        <f>Raw_Data!A513</f>
        <v/>
      </c>
      <c r="B513" s="29">
        <f>Raw_Data!B513</f>
        <v/>
      </c>
      <c r="C513">
        <f>YEAR(B513)</f>
        <v/>
      </c>
      <c r="D513">
        <f>MONTH(B513)</f>
        <v/>
      </c>
      <c r="E513">
        <f>TEXT(B513,"MMM-YYYY")</f>
        <v/>
      </c>
      <c r="F513">
        <f>Raw_Data!C513</f>
        <v/>
      </c>
      <c r="G513">
        <f>Raw_Data!D513</f>
        <v/>
      </c>
      <c r="H513">
        <f>Raw_Data!E513</f>
        <v/>
      </c>
      <c r="I513">
        <f>Raw_Data!F513</f>
        <v/>
      </c>
      <c r="J513">
        <f>Raw_Data!G513</f>
        <v/>
      </c>
      <c r="K513">
        <f>Raw_Data!H513</f>
        <v/>
      </c>
      <c r="L513" s="30">
        <f>Raw_Data!I513</f>
        <v/>
      </c>
      <c r="M513" s="31">
        <f>Raw_Data!J513</f>
        <v/>
      </c>
      <c r="N513" s="17">
        <f>K513*L513</f>
        <v/>
      </c>
      <c r="O513" s="17">
        <f>N513*(1-M513)</f>
        <v/>
      </c>
      <c r="P513" s="17">
        <f>Raw_Data!L513</f>
        <v/>
      </c>
      <c r="Q513" s="17">
        <f>O513-P513</f>
        <v/>
      </c>
      <c r="R513" s="31">
        <f>IF(O513=0,0,Q513/O513)</f>
        <v/>
      </c>
      <c r="S513">
        <f>XLOOKUP(F513,Lookups!$B$7:$B$11,Lookups!$C$7:$C$11,"Unknown")</f>
        <v/>
      </c>
      <c r="T513" s="31">
        <f>XLOOKUP(G513,Lookups!$E$7:$E$11,Lookups!$F$7:$F$11,0)</f>
        <v/>
      </c>
      <c r="U513" s="32">
        <f>R513-T513</f>
        <v/>
      </c>
      <c r="V513">
        <f>XLOOKUP(I513,Lookups!$H$7:$H$10,Lookups!$I$7:$I$10,"")</f>
        <v/>
      </c>
      <c r="W513">
        <f>IF(O513&gt;=50000,"HIGH VALUE","")</f>
        <v/>
      </c>
      <c r="X513">
        <f>IF(Q513&lt;0,"LOSS","")</f>
        <v/>
      </c>
      <c r="Y513">
        <f>IFS(M513&gt;=0.15,"Deep Discount",M513&gt;=0.1,"Moderate",TRUE,"Standard")</f>
        <v/>
      </c>
    </row>
    <row r="514">
      <c r="A514">
        <f>Raw_Data!A514</f>
        <v/>
      </c>
      <c r="B514" s="29">
        <f>Raw_Data!B514</f>
        <v/>
      </c>
      <c r="C514">
        <f>YEAR(B514)</f>
        <v/>
      </c>
      <c r="D514">
        <f>MONTH(B514)</f>
        <v/>
      </c>
      <c r="E514">
        <f>TEXT(B514,"MMM-YYYY")</f>
        <v/>
      </c>
      <c r="F514">
        <f>Raw_Data!C514</f>
        <v/>
      </c>
      <c r="G514">
        <f>Raw_Data!D514</f>
        <v/>
      </c>
      <c r="H514">
        <f>Raw_Data!E514</f>
        <v/>
      </c>
      <c r="I514">
        <f>Raw_Data!F514</f>
        <v/>
      </c>
      <c r="J514">
        <f>Raw_Data!G514</f>
        <v/>
      </c>
      <c r="K514">
        <f>Raw_Data!H514</f>
        <v/>
      </c>
      <c r="L514" s="30">
        <f>Raw_Data!I514</f>
        <v/>
      </c>
      <c r="M514" s="31">
        <f>Raw_Data!J514</f>
        <v/>
      </c>
      <c r="N514" s="17">
        <f>K514*L514</f>
        <v/>
      </c>
      <c r="O514" s="17">
        <f>N514*(1-M514)</f>
        <v/>
      </c>
      <c r="P514" s="17">
        <f>Raw_Data!L514</f>
        <v/>
      </c>
      <c r="Q514" s="17">
        <f>O514-P514</f>
        <v/>
      </c>
      <c r="R514" s="31">
        <f>IF(O514=0,0,Q514/O514)</f>
        <v/>
      </c>
      <c r="S514">
        <f>XLOOKUP(F514,Lookups!$B$7:$B$11,Lookups!$C$7:$C$11,"Unknown")</f>
        <v/>
      </c>
      <c r="T514" s="31">
        <f>XLOOKUP(G514,Lookups!$E$7:$E$11,Lookups!$F$7:$F$11,0)</f>
        <v/>
      </c>
      <c r="U514" s="32">
        <f>R514-T514</f>
        <v/>
      </c>
      <c r="V514">
        <f>XLOOKUP(I514,Lookups!$H$7:$H$10,Lookups!$I$7:$I$10,"")</f>
        <v/>
      </c>
      <c r="W514">
        <f>IF(O514&gt;=50000,"HIGH VALUE","")</f>
        <v/>
      </c>
      <c r="X514">
        <f>IF(Q514&lt;0,"LOSS","")</f>
        <v/>
      </c>
      <c r="Y514">
        <f>IFS(M514&gt;=0.15,"Deep Discount",M514&gt;=0.1,"Moderate",TRUE,"Standard")</f>
        <v/>
      </c>
    </row>
    <row r="515">
      <c r="A515">
        <f>Raw_Data!A515</f>
        <v/>
      </c>
      <c r="B515" s="29">
        <f>Raw_Data!B515</f>
        <v/>
      </c>
      <c r="C515">
        <f>YEAR(B515)</f>
        <v/>
      </c>
      <c r="D515">
        <f>MONTH(B515)</f>
        <v/>
      </c>
      <c r="E515">
        <f>TEXT(B515,"MMM-YYYY")</f>
        <v/>
      </c>
      <c r="F515">
        <f>Raw_Data!C515</f>
        <v/>
      </c>
      <c r="G515">
        <f>Raw_Data!D515</f>
        <v/>
      </c>
      <c r="H515">
        <f>Raw_Data!E515</f>
        <v/>
      </c>
      <c r="I515">
        <f>Raw_Data!F515</f>
        <v/>
      </c>
      <c r="J515">
        <f>Raw_Data!G515</f>
        <v/>
      </c>
      <c r="K515">
        <f>Raw_Data!H515</f>
        <v/>
      </c>
      <c r="L515" s="30">
        <f>Raw_Data!I515</f>
        <v/>
      </c>
      <c r="M515" s="31">
        <f>Raw_Data!J515</f>
        <v/>
      </c>
      <c r="N515" s="17">
        <f>K515*L515</f>
        <v/>
      </c>
      <c r="O515" s="17">
        <f>N515*(1-M515)</f>
        <v/>
      </c>
      <c r="P515" s="17">
        <f>Raw_Data!L515</f>
        <v/>
      </c>
      <c r="Q515" s="17">
        <f>O515-P515</f>
        <v/>
      </c>
      <c r="R515" s="31">
        <f>IF(O515=0,0,Q515/O515)</f>
        <v/>
      </c>
      <c r="S515">
        <f>XLOOKUP(F515,Lookups!$B$7:$B$11,Lookups!$C$7:$C$11,"Unknown")</f>
        <v/>
      </c>
      <c r="T515" s="31">
        <f>XLOOKUP(G515,Lookups!$E$7:$E$11,Lookups!$F$7:$F$11,0)</f>
        <v/>
      </c>
      <c r="U515" s="32">
        <f>R515-T515</f>
        <v/>
      </c>
      <c r="V515">
        <f>XLOOKUP(I515,Lookups!$H$7:$H$10,Lookups!$I$7:$I$10,"")</f>
        <v/>
      </c>
      <c r="W515">
        <f>IF(O515&gt;=50000,"HIGH VALUE","")</f>
        <v/>
      </c>
      <c r="X515">
        <f>IF(Q515&lt;0,"LOSS","")</f>
        <v/>
      </c>
      <c r="Y515">
        <f>IFS(M515&gt;=0.15,"Deep Discount",M515&gt;=0.1,"Moderate",TRUE,"Standard")</f>
        <v/>
      </c>
    </row>
    <row r="516">
      <c r="A516">
        <f>Raw_Data!A516</f>
        <v/>
      </c>
      <c r="B516" s="29">
        <f>Raw_Data!B516</f>
        <v/>
      </c>
      <c r="C516">
        <f>YEAR(B516)</f>
        <v/>
      </c>
      <c r="D516">
        <f>MONTH(B516)</f>
        <v/>
      </c>
      <c r="E516">
        <f>TEXT(B516,"MMM-YYYY")</f>
        <v/>
      </c>
      <c r="F516">
        <f>Raw_Data!C516</f>
        <v/>
      </c>
      <c r="G516">
        <f>Raw_Data!D516</f>
        <v/>
      </c>
      <c r="H516">
        <f>Raw_Data!E516</f>
        <v/>
      </c>
      <c r="I516">
        <f>Raw_Data!F516</f>
        <v/>
      </c>
      <c r="J516">
        <f>Raw_Data!G516</f>
        <v/>
      </c>
      <c r="K516">
        <f>Raw_Data!H516</f>
        <v/>
      </c>
      <c r="L516" s="30">
        <f>Raw_Data!I516</f>
        <v/>
      </c>
      <c r="M516" s="31">
        <f>Raw_Data!J516</f>
        <v/>
      </c>
      <c r="N516" s="17">
        <f>K516*L516</f>
        <v/>
      </c>
      <c r="O516" s="17">
        <f>N516*(1-M516)</f>
        <v/>
      </c>
      <c r="P516" s="17">
        <f>Raw_Data!L516</f>
        <v/>
      </c>
      <c r="Q516" s="17">
        <f>O516-P516</f>
        <v/>
      </c>
      <c r="R516" s="31">
        <f>IF(O516=0,0,Q516/O516)</f>
        <v/>
      </c>
      <c r="S516">
        <f>XLOOKUP(F516,Lookups!$B$7:$B$11,Lookups!$C$7:$C$11,"Unknown")</f>
        <v/>
      </c>
      <c r="T516" s="31">
        <f>XLOOKUP(G516,Lookups!$E$7:$E$11,Lookups!$F$7:$F$11,0)</f>
        <v/>
      </c>
      <c r="U516" s="32">
        <f>R516-T516</f>
        <v/>
      </c>
      <c r="V516">
        <f>XLOOKUP(I516,Lookups!$H$7:$H$10,Lookups!$I$7:$I$10,"")</f>
        <v/>
      </c>
      <c r="W516">
        <f>IF(O516&gt;=50000,"HIGH VALUE","")</f>
        <v/>
      </c>
      <c r="X516">
        <f>IF(Q516&lt;0,"LOSS","")</f>
        <v/>
      </c>
      <c r="Y516">
        <f>IFS(M516&gt;=0.15,"Deep Discount",M516&gt;=0.1,"Moderate",TRUE,"Standard")</f>
        <v/>
      </c>
    </row>
    <row r="517">
      <c r="A517">
        <f>Raw_Data!A517</f>
        <v/>
      </c>
      <c r="B517" s="29">
        <f>Raw_Data!B517</f>
        <v/>
      </c>
      <c r="C517">
        <f>YEAR(B517)</f>
        <v/>
      </c>
      <c r="D517">
        <f>MONTH(B517)</f>
        <v/>
      </c>
      <c r="E517">
        <f>TEXT(B517,"MMM-YYYY")</f>
        <v/>
      </c>
      <c r="F517">
        <f>Raw_Data!C517</f>
        <v/>
      </c>
      <c r="G517">
        <f>Raw_Data!D517</f>
        <v/>
      </c>
      <c r="H517">
        <f>Raw_Data!E517</f>
        <v/>
      </c>
      <c r="I517">
        <f>Raw_Data!F517</f>
        <v/>
      </c>
      <c r="J517">
        <f>Raw_Data!G517</f>
        <v/>
      </c>
      <c r="K517">
        <f>Raw_Data!H517</f>
        <v/>
      </c>
      <c r="L517" s="30">
        <f>Raw_Data!I517</f>
        <v/>
      </c>
      <c r="M517" s="31">
        <f>Raw_Data!J517</f>
        <v/>
      </c>
      <c r="N517" s="17">
        <f>K517*L517</f>
        <v/>
      </c>
      <c r="O517" s="17">
        <f>N517*(1-M517)</f>
        <v/>
      </c>
      <c r="P517" s="17">
        <f>Raw_Data!L517</f>
        <v/>
      </c>
      <c r="Q517" s="17">
        <f>O517-P517</f>
        <v/>
      </c>
      <c r="R517" s="31">
        <f>IF(O517=0,0,Q517/O517)</f>
        <v/>
      </c>
      <c r="S517">
        <f>XLOOKUP(F517,Lookups!$B$7:$B$11,Lookups!$C$7:$C$11,"Unknown")</f>
        <v/>
      </c>
      <c r="T517" s="31">
        <f>XLOOKUP(G517,Lookups!$E$7:$E$11,Lookups!$F$7:$F$11,0)</f>
        <v/>
      </c>
      <c r="U517" s="32">
        <f>R517-T517</f>
        <v/>
      </c>
      <c r="V517">
        <f>XLOOKUP(I517,Lookups!$H$7:$H$10,Lookups!$I$7:$I$10,"")</f>
        <v/>
      </c>
      <c r="W517">
        <f>IF(O517&gt;=50000,"HIGH VALUE","")</f>
        <v/>
      </c>
      <c r="X517">
        <f>IF(Q517&lt;0,"LOSS","")</f>
        <v/>
      </c>
      <c r="Y517">
        <f>IFS(M517&gt;=0.15,"Deep Discount",M517&gt;=0.1,"Moderate",TRUE,"Standard")</f>
        <v/>
      </c>
    </row>
    <row r="518">
      <c r="A518">
        <f>Raw_Data!A518</f>
        <v/>
      </c>
      <c r="B518" s="29">
        <f>Raw_Data!B518</f>
        <v/>
      </c>
      <c r="C518">
        <f>YEAR(B518)</f>
        <v/>
      </c>
      <c r="D518">
        <f>MONTH(B518)</f>
        <v/>
      </c>
      <c r="E518">
        <f>TEXT(B518,"MMM-YYYY")</f>
        <v/>
      </c>
      <c r="F518">
        <f>Raw_Data!C518</f>
        <v/>
      </c>
      <c r="G518">
        <f>Raw_Data!D518</f>
        <v/>
      </c>
      <c r="H518">
        <f>Raw_Data!E518</f>
        <v/>
      </c>
      <c r="I518">
        <f>Raw_Data!F518</f>
        <v/>
      </c>
      <c r="J518">
        <f>Raw_Data!G518</f>
        <v/>
      </c>
      <c r="K518">
        <f>Raw_Data!H518</f>
        <v/>
      </c>
      <c r="L518" s="30">
        <f>Raw_Data!I518</f>
        <v/>
      </c>
      <c r="M518" s="31">
        <f>Raw_Data!J518</f>
        <v/>
      </c>
      <c r="N518" s="17">
        <f>K518*L518</f>
        <v/>
      </c>
      <c r="O518" s="17">
        <f>N518*(1-M518)</f>
        <v/>
      </c>
      <c r="P518" s="17">
        <f>Raw_Data!L518</f>
        <v/>
      </c>
      <c r="Q518" s="17">
        <f>O518-P518</f>
        <v/>
      </c>
      <c r="R518" s="31">
        <f>IF(O518=0,0,Q518/O518)</f>
        <v/>
      </c>
      <c r="S518">
        <f>XLOOKUP(F518,Lookups!$B$7:$B$11,Lookups!$C$7:$C$11,"Unknown")</f>
        <v/>
      </c>
      <c r="T518" s="31">
        <f>XLOOKUP(G518,Lookups!$E$7:$E$11,Lookups!$F$7:$F$11,0)</f>
        <v/>
      </c>
      <c r="U518" s="32">
        <f>R518-T518</f>
        <v/>
      </c>
      <c r="V518">
        <f>XLOOKUP(I518,Lookups!$H$7:$H$10,Lookups!$I$7:$I$10,"")</f>
        <v/>
      </c>
      <c r="W518">
        <f>IF(O518&gt;=50000,"HIGH VALUE","")</f>
        <v/>
      </c>
      <c r="X518">
        <f>IF(Q518&lt;0,"LOSS","")</f>
        <v/>
      </c>
      <c r="Y518">
        <f>IFS(M518&gt;=0.15,"Deep Discount",M518&gt;=0.1,"Moderate",TRUE,"Standard")</f>
        <v/>
      </c>
    </row>
    <row r="519">
      <c r="A519">
        <f>Raw_Data!A519</f>
        <v/>
      </c>
      <c r="B519" s="29">
        <f>Raw_Data!B519</f>
        <v/>
      </c>
      <c r="C519">
        <f>YEAR(B519)</f>
        <v/>
      </c>
      <c r="D519">
        <f>MONTH(B519)</f>
        <v/>
      </c>
      <c r="E519">
        <f>TEXT(B519,"MMM-YYYY")</f>
        <v/>
      </c>
      <c r="F519">
        <f>Raw_Data!C519</f>
        <v/>
      </c>
      <c r="G519">
        <f>Raw_Data!D519</f>
        <v/>
      </c>
      <c r="H519">
        <f>Raw_Data!E519</f>
        <v/>
      </c>
      <c r="I519">
        <f>Raw_Data!F519</f>
        <v/>
      </c>
      <c r="J519">
        <f>Raw_Data!G519</f>
        <v/>
      </c>
      <c r="K519">
        <f>Raw_Data!H519</f>
        <v/>
      </c>
      <c r="L519" s="30">
        <f>Raw_Data!I519</f>
        <v/>
      </c>
      <c r="M519" s="31">
        <f>Raw_Data!J519</f>
        <v/>
      </c>
      <c r="N519" s="17">
        <f>K519*L519</f>
        <v/>
      </c>
      <c r="O519" s="17">
        <f>N519*(1-M519)</f>
        <v/>
      </c>
      <c r="P519" s="17">
        <f>Raw_Data!L519</f>
        <v/>
      </c>
      <c r="Q519" s="17">
        <f>O519-P519</f>
        <v/>
      </c>
      <c r="R519" s="31">
        <f>IF(O519=0,0,Q519/O519)</f>
        <v/>
      </c>
      <c r="S519">
        <f>XLOOKUP(F519,Lookups!$B$7:$B$11,Lookups!$C$7:$C$11,"Unknown")</f>
        <v/>
      </c>
      <c r="T519" s="31">
        <f>XLOOKUP(G519,Lookups!$E$7:$E$11,Lookups!$F$7:$F$11,0)</f>
        <v/>
      </c>
      <c r="U519" s="32">
        <f>R519-T519</f>
        <v/>
      </c>
      <c r="V519">
        <f>XLOOKUP(I519,Lookups!$H$7:$H$10,Lookups!$I$7:$I$10,"")</f>
        <v/>
      </c>
      <c r="W519">
        <f>IF(O519&gt;=50000,"HIGH VALUE","")</f>
        <v/>
      </c>
      <c r="X519">
        <f>IF(Q519&lt;0,"LOSS","")</f>
        <v/>
      </c>
      <c r="Y519">
        <f>IFS(M519&gt;=0.15,"Deep Discount",M519&gt;=0.1,"Moderate",TRUE,"Standard")</f>
        <v/>
      </c>
    </row>
    <row r="520">
      <c r="A520">
        <f>Raw_Data!A520</f>
        <v/>
      </c>
      <c r="B520" s="29">
        <f>Raw_Data!B520</f>
        <v/>
      </c>
      <c r="C520">
        <f>YEAR(B520)</f>
        <v/>
      </c>
      <c r="D520">
        <f>MONTH(B520)</f>
        <v/>
      </c>
      <c r="E520">
        <f>TEXT(B520,"MMM-YYYY")</f>
        <v/>
      </c>
      <c r="F520">
        <f>Raw_Data!C520</f>
        <v/>
      </c>
      <c r="G520">
        <f>Raw_Data!D520</f>
        <v/>
      </c>
      <c r="H520">
        <f>Raw_Data!E520</f>
        <v/>
      </c>
      <c r="I520">
        <f>Raw_Data!F520</f>
        <v/>
      </c>
      <c r="J520">
        <f>Raw_Data!G520</f>
        <v/>
      </c>
      <c r="K520">
        <f>Raw_Data!H520</f>
        <v/>
      </c>
      <c r="L520" s="30">
        <f>Raw_Data!I520</f>
        <v/>
      </c>
      <c r="M520" s="31">
        <f>Raw_Data!J520</f>
        <v/>
      </c>
      <c r="N520" s="17">
        <f>K520*L520</f>
        <v/>
      </c>
      <c r="O520" s="17">
        <f>N520*(1-M520)</f>
        <v/>
      </c>
      <c r="P520" s="17">
        <f>Raw_Data!L520</f>
        <v/>
      </c>
      <c r="Q520" s="17">
        <f>O520-P520</f>
        <v/>
      </c>
      <c r="R520" s="31">
        <f>IF(O520=0,0,Q520/O520)</f>
        <v/>
      </c>
      <c r="S520">
        <f>XLOOKUP(F520,Lookups!$B$7:$B$11,Lookups!$C$7:$C$11,"Unknown")</f>
        <v/>
      </c>
      <c r="T520" s="31">
        <f>XLOOKUP(G520,Lookups!$E$7:$E$11,Lookups!$F$7:$F$11,0)</f>
        <v/>
      </c>
      <c r="U520" s="32">
        <f>R520-T520</f>
        <v/>
      </c>
      <c r="V520">
        <f>XLOOKUP(I520,Lookups!$H$7:$H$10,Lookups!$I$7:$I$10,"")</f>
        <v/>
      </c>
      <c r="W520">
        <f>IF(O520&gt;=50000,"HIGH VALUE","")</f>
        <v/>
      </c>
      <c r="X520">
        <f>IF(Q520&lt;0,"LOSS","")</f>
        <v/>
      </c>
      <c r="Y520">
        <f>IFS(M520&gt;=0.15,"Deep Discount",M520&gt;=0.1,"Moderate",TRUE,"Standard")</f>
        <v/>
      </c>
    </row>
    <row r="521">
      <c r="A521">
        <f>Raw_Data!A521</f>
        <v/>
      </c>
      <c r="B521" s="29">
        <f>Raw_Data!B521</f>
        <v/>
      </c>
      <c r="C521">
        <f>YEAR(B521)</f>
        <v/>
      </c>
      <c r="D521">
        <f>MONTH(B521)</f>
        <v/>
      </c>
      <c r="E521">
        <f>TEXT(B521,"MMM-YYYY")</f>
        <v/>
      </c>
      <c r="F521">
        <f>Raw_Data!C521</f>
        <v/>
      </c>
      <c r="G521">
        <f>Raw_Data!D521</f>
        <v/>
      </c>
      <c r="H521">
        <f>Raw_Data!E521</f>
        <v/>
      </c>
      <c r="I521">
        <f>Raw_Data!F521</f>
        <v/>
      </c>
      <c r="J521">
        <f>Raw_Data!G521</f>
        <v/>
      </c>
      <c r="K521">
        <f>Raw_Data!H521</f>
        <v/>
      </c>
      <c r="L521" s="30">
        <f>Raw_Data!I521</f>
        <v/>
      </c>
      <c r="M521" s="31">
        <f>Raw_Data!J521</f>
        <v/>
      </c>
      <c r="N521" s="17">
        <f>K521*L521</f>
        <v/>
      </c>
      <c r="O521" s="17">
        <f>N521*(1-M521)</f>
        <v/>
      </c>
      <c r="P521" s="17">
        <f>Raw_Data!L521</f>
        <v/>
      </c>
      <c r="Q521" s="17">
        <f>O521-P521</f>
        <v/>
      </c>
      <c r="R521" s="31">
        <f>IF(O521=0,0,Q521/O521)</f>
        <v/>
      </c>
      <c r="S521">
        <f>XLOOKUP(F521,Lookups!$B$7:$B$11,Lookups!$C$7:$C$11,"Unknown")</f>
        <v/>
      </c>
      <c r="T521" s="31">
        <f>XLOOKUP(G521,Lookups!$E$7:$E$11,Lookups!$F$7:$F$11,0)</f>
        <v/>
      </c>
      <c r="U521" s="32">
        <f>R521-T521</f>
        <v/>
      </c>
      <c r="V521">
        <f>XLOOKUP(I521,Lookups!$H$7:$H$10,Lookups!$I$7:$I$10,"")</f>
        <v/>
      </c>
      <c r="W521">
        <f>IF(O521&gt;=50000,"HIGH VALUE","")</f>
        <v/>
      </c>
      <c r="X521">
        <f>IF(Q521&lt;0,"LOSS","")</f>
        <v/>
      </c>
      <c r="Y521">
        <f>IFS(M521&gt;=0.15,"Deep Discount",M521&gt;=0.1,"Moderate",TRUE,"Standard")</f>
        <v/>
      </c>
    </row>
    <row r="522">
      <c r="A522">
        <f>Raw_Data!A522</f>
        <v/>
      </c>
      <c r="B522" s="29">
        <f>Raw_Data!B522</f>
        <v/>
      </c>
      <c r="C522">
        <f>YEAR(B522)</f>
        <v/>
      </c>
      <c r="D522">
        <f>MONTH(B522)</f>
        <v/>
      </c>
      <c r="E522">
        <f>TEXT(B522,"MMM-YYYY")</f>
        <v/>
      </c>
      <c r="F522">
        <f>Raw_Data!C522</f>
        <v/>
      </c>
      <c r="G522">
        <f>Raw_Data!D522</f>
        <v/>
      </c>
      <c r="H522">
        <f>Raw_Data!E522</f>
        <v/>
      </c>
      <c r="I522">
        <f>Raw_Data!F522</f>
        <v/>
      </c>
      <c r="J522">
        <f>Raw_Data!G522</f>
        <v/>
      </c>
      <c r="K522">
        <f>Raw_Data!H522</f>
        <v/>
      </c>
      <c r="L522" s="30">
        <f>Raw_Data!I522</f>
        <v/>
      </c>
      <c r="M522" s="31">
        <f>Raw_Data!J522</f>
        <v/>
      </c>
      <c r="N522" s="17">
        <f>K522*L522</f>
        <v/>
      </c>
      <c r="O522" s="17">
        <f>N522*(1-M522)</f>
        <v/>
      </c>
      <c r="P522" s="17">
        <f>Raw_Data!L522</f>
        <v/>
      </c>
      <c r="Q522" s="17">
        <f>O522-P522</f>
        <v/>
      </c>
      <c r="R522" s="31">
        <f>IF(O522=0,0,Q522/O522)</f>
        <v/>
      </c>
      <c r="S522">
        <f>XLOOKUP(F522,Lookups!$B$7:$B$11,Lookups!$C$7:$C$11,"Unknown")</f>
        <v/>
      </c>
      <c r="T522" s="31">
        <f>XLOOKUP(G522,Lookups!$E$7:$E$11,Lookups!$F$7:$F$11,0)</f>
        <v/>
      </c>
      <c r="U522" s="32">
        <f>R522-T522</f>
        <v/>
      </c>
      <c r="V522">
        <f>XLOOKUP(I522,Lookups!$H$7:$H$10,Lookups!$I$7:$I$10,"")</f>
        <v/>
      </c>
      <c r="W522">
        <f>IF(O522&gt;=50000,"HIGH VALUE","")</f>
        <v/>
      </c>
      <c r="X522">
        <f>IF(Q522&lt;0,"LOSS","")</f>
        <v/>
      </c>
      <c r="Y522">
        <f>IFS(M522&gt;=0.15,"Deep Discount",M522&gt;=0.1,"Moderate",TRUE,"Standard")</f>
        <v/>
      </c>
    </row>
    <row r="523">
      <c r="A523">
        <f>Raw_Data!A523</f>
        <v/>
      </c>
      <c r="B523" s="29">
        <f>Raw_Data!B523</f>
        <v/>
      </c>
      <c r="C523">
        <f>YEAR(B523)</f>
        <v/>
      </c>
      <c r="D523">
        <f>MONTH(B523)</f>
        <v/>
      </c>
      <c r="E523">
        <f>TEXT(B523,"MMM-YYYY")</f>
        <v/>
      </c>
      <c r="F523">
        <f>Raw_Data!C523</f>
        <v/>
      </c>
      <c r="G523">
        <f>Raw_Data!D523</f>
        <v/>
      </c>
      <c r="H523">
        <f>Raw_Data!E523</f>
        <v/>
      </c>
      <c r="I523">
        <f>Raw_Data!F523</f>
        <v/>
      </c>
      <c r="J523">
        <f>Raw_Data!G523</f>
        <v/>
      </c>
      <c r="K523">
        <f>Raw_Data!H523</f>
        <v/>
      </c>
      <c r="L523" s="30">
        <f>Raw_Data!I523</f>
        <v/>
      </c>
      <c r="M523" s="31">
        <f>Raw_Data!J523</f>
        <v/>
      </c>
      <c r="N523" s="17">
        <f>K523*L523</f>
        <v/>
      </c>
      <c r="O523" s="17">
        <f>N523*(1-M523)</f>
        <v/>
      </c>
      <c r="P523" s="17">
        <f>Raw_Data!L523</f>
        <v/>
      </c>
      <c r="Q523" s="17">
        <f>O523-P523</f>
        <v/>
      </c>
      <c r="R523" s="31">
        <f>IF(O523=0,0,Q523/O523)</f>
        <v/>
      </c>
      <c r="S523">
        <f>XLOOKUP(F523,Lookups!$B$7:$B$11,Lookups!$C$7:$C$11,"Unknown")</f>
        <v/>
      </c>
      <c r="T523" s="31">
        <f>XLOOKUP(G523,Lookups!$E$7:$E$11,Lookups!$F$7:$F$11,0)</f>
        <v/>
      </c>
      <c r="U523" s="32">
        <f>R523-T523</f>
        <v/>
      </c>
      <c r="V523">
        <f>XLOOKUP(I523,Lookups!$H$7:$H$10,Lookups!$I$7:$I$10,"")</f>
        <v/>
      </c>
      <c r="W523">
        <f>IF(O523&gt;=50000,"HIGH VALUE","")</f>
        <v/>
      </c>
      <c r="X523">
        <f>IF(Q523&lt;0,"LOSS","")</f>
        <v/>
      </c>
      <c r="Y523">
        <f>IFS(M523&gt;=0.15,"Deep Discount",M523&gt;=0.1,"Moderate",TRUE,"Standard")</f>
        <v/>
      </c>
    </row>
    <row r="524">
      <c r="A524">
        <f>Raw_Data!A524</f>
        <v/>
      </c>
      <c r="B524" s="29">
        <f>Raw_Data!B524</f>
        <v/>
      </c>
      <c r="C524">
        <f>YEAR(B524)</f>
        <v/>
      </c>
      <c r="D524">
        <f>MONTH(B524)</f>
        <v/>
      </c>
      <c r="E524">
        <f>TEXT(B524,"MMM-YYYY")</f>
        <v/>
      </c>
      <c r="F524">
        <f>Raw_Data!C524</f>
        <v/>
      </c>
      <c r="G524">
        <f>Raw_Data!D524</f>
        <v/>
      </c>
      <c r="H524">
        <f>Raw_Data!E524</f>
        <v/>
      </c>
      <c r="I524">
        <f>Raw_Data!F524</f>
        <v/>
      </c>
      <c r="J524">
        <f>Raw_Data!G524</f>
        <v/>
      </c>
      <c r="K524">
        <f>Raw_Data!H524</f>
        <v/>
      </c>
      <c r="L524" s="30">
        <f>Raw_Data!I524</f>
        <v/>
      </c>
      <c r="M524" s="31">
        <f>Raw_Data!J524</f>
        <v/>
      </c>
      <c r="N524" s="17">
        <f>K524*L524</f>
        <v/>
      </c>
      <c r="O524" s="17">
        <f>N524*(1-M524)</f>
        <v/>
      </c>
      <c r="P524" s="17">
        <f>Raw_Data!L524</f>
        <v/>
      </c>
      <c r="Q524" s="17">
        <f>O524-P524</f>
        <v/>
      </c>
      <c r="R524" s="31">
        <f>IF(O524=0,0,Q524/O524)</f>
        <v/>
      </c>
      <c r="S524">
        <f>XLOOKUP(F524,Lookups!$B$7:$B$11,Lookups!$C$7:$C$11,"Unknown")</f>
        <v/>
      </c>
      <c r="T524" s="31">
        <f>XLOOKUP(G524,Lookups!$E$7:$E$11,Lookups!$F$7:$F$11,0)</f>
        <v/>
      </c>
      <c r="U524" s="32">
        <f>R524-T524</f>
        <v/>
      </c>
      <c r="V524">
        <f>XLOOKUP(I524,Lookups!$H$7:$H$10,Lookups!$I$7:$I$10,"")</f>
        <v/>
      </c>
      <c r="W524">
        <f>IF(O524&gt;=50000,"HIGH VALUE","")</f>
        <v/>
      </c>
      <c r="X524">
        <f>IF(Q524&lt;0,"LOSS","")</f>
        <v/>
      </c>
      <c r="Y524">
        <f>IFS(M524&gt;=0.15,"Deep Discount",M524&gt;=0.1,"Moderate",TRUE,"Standard")</f>
        <v/>
      </c>
    </row>
    <row r="525">
      <c r="A525">
        <f>Raw_Data!A525</f>
        <v/>
      </c>
      <c r="B525" s="29">
        <f>Raw_Data!B525</f>
        <v/>
      </c>
      <c r="C525">
        <f>YEAR(B525)</f>
        <v/>
      </c>
      <c r="D525">
        <f>MONTH(B525)</f>
        <v/>
      </c>
      <c r="E525">
        <f>TEXT(B525,"MMM-YYYY")</f>
        <v/>
      </c>
      <c r="F525">
        <f>Raw_Data!C525</f>
        <v/>
      </c>
      <c r="G525">
        <f>Raw_Data!D525</f>
        <v/>
      </c>
      <c r="H525">
        <f>Raw_Data!E525</f>
        <v/>
      </c>
      <c r="I525">
        <f>Raw_Data!F525</f>
        <v/>
      </c>
      <c r="J525">
        <f>Raw_Data!G525</f>
        <v/>
      </c>
      <c r="K525">
        <f>Raw_Data!H525</f>
        <v/>
      </c>
      <c r="L525" s="30">
        <f>Raw_Data!I525</f>
        <v/>
      </c>
      <c r="M525" s="31">
        <f>Raw_Data!J525</f>
        <v/>
      </c>
      <c r="N525" s="17">
        <f>K525*L525</f>
        <v/>
      </c>
      <c r="O525" s="17">
        <f>N525*(1-M525)</f>
        <v/>
      </c>
      <c r="P525" s="17">
        <f>Raw_Data!L525</f>
        <v/>
      </c>
      <c r="Q525" s="17">
        <f>O525-P525</f>
        <v/>
      </c>
      <c r="R525" s="31">
        <f>IF(O525=0,0,Q525/O525)</f>
        <v/>
      </c>
      <c r="S525">
        <f>XLOOKUP(F525,Lookups!$B$7:$B$11,Lookups!$C$7:$C$11,"Unknown")</f>
        <v/>
      </c>
      <c r="T525" s="31">
        <f>XLOOKUP(G525,Lookups!$E$7:$E$11,Lookups!$F$7:$F$11,0)</f>
        <v/>
      </c>
      <c r="U525" s="32">
        <f>R525-T525</f>
        <v/>
      </c>
      <c r="V525">
        <f>XLOOKUP(I525,Lookups!$H$7:$H$10,Lookups!$I$7:$I$10,"")</f>
        <v/>
      </c>
      <c r="W525">
        <f>IF(O525&gt;=50000,"HIGH VALUE","")</f>
        <v/>
      </c>
      <c r="X525">
        <f>IF(Q525&lt;0,"LOSS","")</f>
        <v/>
      </c>
      <c r="Y525">
        <f>IFS(M525&gt;=0.15,"Deep Discount",M525&gt;=0.1,"Moderate",TRUE,"Standard")</f>
        <v/>
      </c>
    </row>
    <row r="526">
      <c r="A526">
        <f>Raw_Data!A526</f>
        <v/>
      </c>
      <c r="B526" s="29">
        <f>Raw_Data!B526</f>
        <v/>
      </c>
      <c r="C526">
        <f>YEAR(B526)</f>
        <v/>
      </c>
      <c r="D526">
        <f>MONTH(B526)</f>
        <v/>
      </c>
      <c r="E526">
        <f>TEXT(B526,"MMM-YYYY")</f>
        <v/>
      </c>
      <c r="F526">
        <f>Raw_Data!C526</f>
        <v/>
      </c>
      <c r="G526">
        <f>Raw_Data!D526</f>
        <v/>
      </c>
      <c r="H526">
        <f>Raw_Data!E526</f>
        <v/>
      </c>
      <c r="I526">
        <f>Raw_Data!F526</f>
        <v/>
      </c>
      <c r="J526">
        <f>Raw_Data!G526</f>
        <v/>
      </c>
      <c r="K526">
        <f>Raw_Data!H526</f>
        <v/>
      </c>
      <c r="L526" s="30">
        <f>Raw_Data!I526</f>
        <v/>
      </c>
      <c r="M526" s="31">
        <f>Raw_Data!J526</f>
        <v/>
      </c>
      <c r="N526" s="17">
        <f>K526*L526</f>
        <v/>
      </c>
      <c r="O526" s="17">
        <f>N526*(1-M526)</f>
        <v/>
      </c>
      <c r="P526" s="17">
        <f>Raw_Data!L526</f>
        <v/>
      </c>
      <c r="Q526" s="17">
        <f>O526-P526</f>
        <v/>
      </c>
      <c r="R526" s="31">
        <f>IF(O526=0,0,Q526/O526)</f>
        <v/>
      </c>
      <c r="S526">
        <f>XLOOKUP(F526,Lookups!$B$7:$B$11,Lookups!$C$7:$C$11,"Unknown")</f>
        <v/>
      </c>
      <c r="T526" s="31">
        <f>XLOOKUP(G526,Lookups!$E$7:$E$11,Lookups!$F$7:$F$11,0)</f>
        <v/>
      </c>
      <c r="U526" s="32">
        <f>R526-T526</f>
        <v/>
      </c>
      <c r="V526">
        <f>XLOOKUP(I526,Lookups!$H$7:$H$10,Lookups!$I$7:$I$10,"")</f>
        <v/>
      </c>
      <c r="W526">
        <f>IF(O526&gt;=50000,"HIGH VALUE","")</f>
        <v/>
      </c>
      <c r="X526">
        <f>IF(Q526&lt;0,"LOSS","")</f>
        <v/>
      </c>
      <c r="Y526">
        <f>IFS(M526&gt;=0.15,"Deep Discount",M526&gt;=0.1,"Moderate",TRUE,"Standard")</f>
        <v/>
      </c>
    </row>
    <row r="527">
      <c r="A527">
        <f>Raw_Data!A527</f>
        <v/>
      </c>
      <c r="B527" s="29">
        <f>Raw_Data!B527</f>
        <v/>
      </c>
      <c r="C527">
        <f>YEAR(B527)</f>
        <v/>
      </c>
      <c r="D527">
        <f>MONTH(B527)</f>
        <v/>
      </c>
      <c r="E527">
        <f>TEXT(B527,"MMM-YYYY")</f>
        <v/>
      </c>
      <c r="F527">
        <f>Raw_Data!C527</f>
        <v/>
      </c>
      <c r="G527">
        <f>Raw_Data!D527</f>
        <v/>
      </c>
      <c r="H527">
        <f>Raw_Data!E527</f>
        <v/>
      </c>
      <c r="I527">
        <f>Raw_Data!F527</f>
        <v/>
      </c>
      <c r="J527">
        <f>Raw_Data!G527</f>
        <v/>
      </c>
      <c r="K527">
        <f>Raw_Data!H527</f>
        <v/>
      </c>
      <c r="L527" s="30">
        <f>Raw_Data!I527</f>
        <v/>
      </c>
      <c r="M527" s="31">
        <f>Raw_Data!J527</f>
        <v/>
      </c>
      <c r="N527" s="17">
        <f>K527*L527</f>
        <v/>
      </c>
      <c r="O527" s="17">
        <f>N527*(1-M527)</f>
        <v/>
      </c>
      <c r="P527" s="17">
        <f>Raw_Data!L527</f>
        <v/>
      </c>
      <c r="Q527" s="17">
        <f>O527-P527</f>
        <v/>
      </c>
      <c r="R527" s="31">
        <f>IF(O527=0,0,Q527/O527)</f>
        <v/>
      </c>
      <c r="S527">
        <f>XLOOKUP(F527,Lookups!$B$7:$B$11,Lookups!$C$7:$C$11,"Unknown")</f>
        <v/>
      </c>
      <c r="T527" s="31">
        <f>XLOOKUP(G527,Lookups!$E$7:$E$11,Lookups!$F$7:$F$11,0)</f>
        <v/>
      </c>
      <c r="U527" s="32">
        <f>R527-T527</f>
        <v/>
      </c>
      <c r="V527">
        <f>XLOOKUP(I527,Lookups!$H$7:$H$10,Lookups!$I$7:$I$10,"")</f>
        <v/>
      </c>
      <c r="W527">
        <f>IF(O527&gt;=50000,"HIGH VALUE","")</f>
        <v/>
      </c>
      <c r="X527">
        <f>IF(Q527&lt;0,"LOSS","")</f>
        <v/>
      </c>
      <c r="Y527">
        <f>IFS(M527&gt;=0.15,"Deep Discount",M527&gt;=0.1,"Moderate",TRUE,"Standard")</f>
        <v/>
      </c>
    </row>
    <row r="528">
      <c r="A528">
        <f>Raw_Data!A528</f>
        <v/>
      </c>
      <c r="B528" s="29">
        <f>Raw_Data!B528</f>
        <v/>
      </c>
      <c r="C528">
        <f>YEAR(B528)</f>
        <v/>
      </c>
      <c r="D528">
        <f>MONTH(B528)</f>
        <v/>
      </c>
      <c r="E528">
        <f>TEXT(B528,"MMM-YYYY")</f>
        <v/>
      </c>
      <c r="F528">
        <f>Raw_Data!C528</f>
        <v/>
      </c>
      <c r="G528">
        <f>Raw_Data!D528</f>
        <v/>
      </c>
      <c r="H528">
        <f>Raw_Data!E528</f>
        <v/>
      </c>
      <c r="I528">
        <f>Raw_Data!F528</f>
        <v/>
      </c>
      <c r="J528">
        <f>Raw_Data!G528</f>
        <v/>
      </c>
      <c r="K528">
        <f>Raw_Data!H528</f>
        <v/>
      </c>
      <c r="L528" s="30">
        <f>Raw_Data!I528</f>
        <v/>
      </c>
      <c r="M528" s="31">
        <f>Raw_Data!J528</f>
        <v/>
      </c>
      <c r="N528" s="17">
        <f>K528*L528</f>
        <v/>
      </c>
      <c r="O528" s="17">
        <f>N528*(1-M528)</f>
        <v/>
      </c>
      <c r="P528" s="17">
        <f>Raw_Data!L528</f>
        <v/>
      </c>
      <c r="Q528" s="17">
        <f>O528-P528</f>
        <v/>
      </c>
      <c r="R528" s="31">
        <f>IF(O528=0,0,Q528/O528)</f>
        <v/>
      </c>
      <c r="S528">
        <f>XLOOKUP(F528,Lookups!$B$7:$B$11,Lookups!$C$7:$C$11,"Unknown")</f>
        <v/>
      </c>
      <c r="T528" s="31">
        <f>XLOOKUP(G528,Lookups!$E$7:$E$11,Lookups!$F$7:$F$11,0)</f>
        <v/>
      </c>
      <c r="U528" s="32">
        <f>R528-T528</f>
        <v/>
      </c>
      <c r="V528">
        <f>XLOOKUP(I528,Lookups!$H$7:$H$10,Lookups!$I$7:$I$10,"")</f>
        <v/>
      </c>
      <c r="W528">
        <f>IF(O528&gt;=50000,"HIGH VALUE","")</f>
        <v/>
      </c>
      <c r="X528">
        <f>IF(Q528&lt;0,"LOSS","")</f>
        <v/>
      </c>
      <c r="Y528">
        <f>IFS(M528&gt;=0.15,"Deep Discount",M528&gt;=0.1,"Moderate",TRUE,"Standard")</f>
        <v/>
      </c>
    </row>
    <row r="529">
      <c r="A529">
        <f>Raw_Data!A529</f>
        <v/>
      </c>
      <c r="B529" s="29">
        <f>Raw_Data!B529</f>
        <v/>
      </c>
      <c r="C529">
        <f>YEAR(B529)</f>
        <v/>
      </c>
      <c r="D529">
        <f>MONTH(B529)</f>
        <v/>
      </c>
      <c r="E529">
        <f>TEXT(B529,"MMM-YYYY")</f>
        <v/>
      </c>
      <c r="F529">
        <f>Raw_Data!C529</f>
        <v/>
      </c>
      <c r="G529">
        <f>Raw_Data!D529</f>
        <v/>
      </c>
      <c r="H529">
        <f>Raw_Data!E529</f>
        <v/>
      </c>
      <c r="I529">
        <f>Raw_Data!F529</f>
        <v/>
      </c>
      <c r="J529">
        <f>Raw_Data!G529</f>
        <v/>
      </c>
      <c r="K529">
        <f>Raw_Data!H529</f>
        <v/>
      </c>
      <c r="L529" s="30">
        <f>Raw_Data!I529</f>
        <v/>
      </c>
      <c r="M529" s="31">
        <f>Raw_Data!J529</f>
        <v/>
      </c>
      <c r="N529" s="17">
        <f>K529*L529</f>
        <v/>
      </c>
      <c r="O529" s="17">
        <f>N529*(1-M529)</f>
        <v/>
      </c>
      <c r="P529" s="17">
        <f>Raw_Data!L529</f>
        <v/>
      </c>
      <c r="Q529" s="17">
        <f>O529-P529</f>
        <v/>
      </c>
      <c r="R529" s="31">
        <f>IF(O529=0,0,Q529/O529)</f>
        <v/>
      </c>
      <c r="S529">
        <f>XLOOKUP(F529,Lookups!$B$7:$B$11,Lookups!$C$7:$C$11,"Unknown")</f>
        <v/>
      </c>
      <c r="T529" s="31">
        <f>XLOOKUP(G529,Lookups!$E$7:$E$11,Lookups!$F$7:$F$11,0)</f>
        <v/>
      </c>
      <c r="U529" s="32">
        <f>R529-T529</f>
        <v/>
      </c>
      <c r="V529">
        <f>XLOOKUP(I529,Lookups!$H$7:$H$10,Lookups!$I$7:$I$10,"")</f>
        <v/>
      </c>
      <c r="W529">
        <f>IF(O529&gt;=50000,"HIGH VALUE","")</f>
        <v/>
      </c>
      <c r="X529">
        <f>IF(Q529&lt;0,"LOSS","")</f>
        <v/>
      </c>
      <c r="Y529">
        <f>IFS(M529&gt;=0.15,"Deep Discount",M529&gt;=0.1,"Moderate",TRUE,"Standard")</f>
        <v/>
      </c>
    </row>
    <row r="530">
      <c r="A530">
        <f>Raw_Data!A530</f>
        <v/>
      </c>
      <c r="B530" s="29">
        <f>Raw_Data!B530</f>
        <v/>
      </c>
      <c r="C530">
        <f>YEAR(B530)</f>
        <v/>
      </c>
      <c r="D530">
        <f>MONTH(B530)</f>
        <v/>
      </c>
      <c r="E530">
        <f>TEXT(B530,"MMM-YYYY")</f>
        <v/>
      </c>
      <c r="F530">
        <f>Raw_Data!C530</f>
        <v/>
      </c>
      <c r="G530">
        <f>Raw_Data!D530</f>
        <v/>
      </c>
      <c r="H530">
        <f>Raw_Data!E530</f>
        <v/>
      </c>
      <c r="I530">
        <f>Raw_Data!F530</f>
        <v/>
      </c>
      <c r="J530">
        <f>Raw_Data!G530</f>
        <v/>
      </c>
      <c r="K530">
        <f>Raw_Data!H530</f>
        <v/>
      </c>
      <c r="L530" s="30">
        <f>Raw_Data!I530</f>
        <v/>
      </c>
      <c r="M530" s="31">
        <f>Raw_Data!J530</f>
        <v/>
      </c>
      <c r="N530" s="17">
        <f>K530*L530</f>
        <v/>
      </c>
      <c r="O530" s="17">
        <f>N530*(1-M530)</f>
        <v/>
      </c>
      <c r="P530" s="17">
        <f>Raw_Data!L530</f>
        <v/>
      </c>
      <c r="Q530" s="17">
        <f>O530-P530</f>
        <v/>
      </c>
      <c r="R530" s="31">
        <f>IF(O530=0,0,Q530/O530)</f>
        <v/>
      </c>
      <c r="S530">
        <f>XLOOKUP(F530,Lookups!$B$7:$B$11,Lookups!$C$7:$C$11,"Unknown")</f>
        <v/>
      </c>
      <c r="T530" s="31">
        <f>XLOOKUP(G530,Lookups!$E$7:$E$11,Lookups!$F$7:$F$11,0)</f>
        <v/>
      </c>
      <c r="U530" s="32">
        <f>R530-T530</f>
        <v/>
      </c>
      <c r="V530">
        <f>XLOOKUP(I530,Lookups!$H$7:$H$10,Lookups!$I$7:$I$10,"")</f>
        <v/>
      </c>
      <c r="W530">
        <f>IF(O530&gt;=50000,"HIGH VALUE","")</f>
        <v/>
      </c>
      <c r="X530">
        <f>IF(Q530&lt;0,"LOSS","")</f>
        <v/>
      </c>
      <c r="Y530">
        <f>IFS(M530&gt;=0.15,"Deep Discount",M530&gt;=0.1,"Moderate",TRUE,"Standard")</f>
        <v/>
      </c>
    </row>
    <row r="531">
      <c r="A531">
        <f>Raw_Data!A531</f>
        <v/>
      </c>
      <c r="B531" s="29">
        <f>Raw_Data!B531</f>
        <v/>
      </c>
      <c r="C531">
        <f>YEAR(B531)</f>
        <v/>
      </c>
      <c r="D531">
        <f>MONTH(B531)</f>
        <v/>
      </c>
      <c r="E531">
        <f>TEXT(B531,"MMM-YYYY")</f>
        <v/>
      </c>
      <c r="F531">
        <f>Raw_Data!C531</f>
        <v/>
      </c>
      <c r="G531">
        <f>Raw_Data!D531</f>
        <v/>
      </c>
      <c r="H531">
        <f>Raw_Data!E531</f>
        <v/>
      </c>
      <c r="I531">
        <f>Raw_Data!F531</f>
        <v/>
      </c>
      <c r="J531">
        <f>Raw_Data!G531</f>
        <v/>
      </c>
      <c r="K531">
        <f>Raw_Data!H531</f>
        <v/>
      </c>
      <c r="L531" s="30">
        <f>Raw_Data!I531</f>
        <v/>
      </c>
      <c r="M531" s="31">
        <f>Raw_Data!J531</f>
        <v/>
      </c>
      <c r="N531" s="17">
        <f>K531*L531</f>
        <v/>
      </c>
      <c r="O531" s="17">
        <f>N531*(1-M531)</f>
        <v/>
      </c>
      <c r="P531" s="17">
        <f>Raw_Data!L531</f>
        <v/>
      </c>
      <c r="Q531" s="17">
        <f>O531-P531</f>
        <v/>
      </c>
      <c r="R531" s="31">
        <f>IF(O531=0,0,Q531/O531)</f>
        <v/>
      </c>
      <c r="S531">
        <f>XLOOKUP(F531,Lookups!$B$7:$B$11,Lookups!$C$7:$C$11,"Unknown")</f>
        <v/>
      </c>
      <c r="T531" s="31">
        <f>XLOOKUP(G531,Lookups!$E$7:$E$11,Lookups!$F$7:$F$11,0)</f>
        <v/>
      </c>
      <c r="U531" s="32">
        <f>R531-T531</f>
        <v/>
      </c>
      <c r="V531">
        <f>XLOOKUP(I531,Lookups!$H$7:$H$10,Lookups!$I$7:$I$10,"")</f>
        <v/>
      </c>
      <c r="W531">
        <f>IF(O531&gt;=50000,"HIGH VALUE","")</f>
        <v/>
      </c>
      <c r="X531">
        <f>IF(Q531&lt;0,"LOSS","")</f>
        <v/>
      </c>
      <c r="Y531">
        <f>IFS(M531&gt;=0.15,"Deep Discount",M531&gt;=0.1,"Moderate",TRUE,"Standard")</f>
        <v/>
      </c>
    </row>
    <row r="532">
      <c r="A532">
        <f>Raw_Data!A532</f>
        <v/>
      </c>
      <c r="B532" s="29">
        <f>Raw_Data!B532</f>
        <v/>
      </c>
      <c r="C532">
        <f>YEAR(B532)</f>
        <v/>
      </c>
      <c r="D532">
        <f>MONTH(B532)</f>
        <v/>
      </c>
      <c r="E532">
        <f>TEXT(B532,"MMM-YYYY")</f>
        <v/>
      </c>
      <c r="F532">
        <f>Raw_Data!C532</f>
        <v/>
      </c>
      <c r="G532">
        <f>Raw_Data!D532</f>
        <v/>
      </c>
      <c r="H532">
        <f>Raw_Data!E532</f>
        <v/>
      </c>
      <c r="I532">
        <f>Raw_Data!F532</f>
        <v/>
      </c>
      <c r="J532">
        <f>Raw_Data!G532</f>
        <v/>
      </c>
      <c r="K532">
        <f>Raw_Data!H532</f>
        <v/>
      </c>
      <c r="L532" s="30">
        <f>Raw_Data!I532</f>
        <v/>
      </c>
      <c r="M532" s="31">
        <f>Raw_Data!J532</f>
        <v/>
      </c>
      <c r="N532" s="17">
        <f>K532*L532</f>
        <v/>
      </c>
      <c r="O532" s="17">
        <f>N532*(1-M532)</f>
        <v/>
      </c>
      <c r="P532" s="17">
        <f>Raw_Data!L532</f>
        <v/>
      </c>
      <c r="Q532" s="17">
        <f>O532-P532</f>
        <v/>
      </c>
      <c r="R532" s="31">
        <f>IF(O532=0,0,Q532/O532)</f>
        <v/>
      </c>
      <c r="S532">
        <f>XLOOKUP(F532,Lookups!$B$7:$B$11,Lookups!$C$7:$C$11,"Unknown")</f>
        <v/>
      </c>
      <c r="T532" s="31">
        <f>XLOOKUP(G532,Lookups!$E$7:$E$11,Lookups!$F$7:$F$11,0)</f>
        <v/>
      </c>
      <c r="U532" s="32">
        <f>R532-T532</f>
        <v/>
      </c>
      <c r="V532">
        <f>XLOOKUP(I532,Lookups!$H$7:$H$10,Lookups!$I$7:$I$10,"")</f>
        <v/>
      </c>
      <c r="W532">
        <f>IF(O532&gt;=50000,"HIGH VALUE","")</f>
        <v/>
      </c>
      <c r="X532">
        <f>IF(Q532&lt;0,"LOSS","")</f>
        <v/>
      </c>
      <c r="Y532">
        <f>IFS(M532&gt;=0.15,"Deep Discount",M532&gt;=0.1,"Moderate",TRUE,"Standard")</f>
        <v/>
      </c>
    </row>
    <row r="533">
      <c r="A533">
        <f>Raw_Data!A533</f>
        <v/>
      </c>
      <c r="B533" s="29">
        <f>Raw_Data!B533</f>
        <v/>
      </c>
      <c r="C533">
        <f>YEAR(B533)</f>
        <v/>
      </c>
      <c r="D533">
        <f>MONTH(B533)</f>
        <v/>
      </c>
      <c r="E533">
        <f>TEXT(B533,"MMM-YYYY")</f>
        <v/>
      </c>
      <c r="F533">
        <f>Raw_Data!C533</f>
        <v/>
      </c>
      <c r="G533">
        <f>Raw_Data!D533</f>
        <v/>
      </c>
      <c r="H533">
        <f>Raw_Data!E533</f>
        <v/>
      </c>
      <c r="I533">
        <f>Raw_Data!F533</f>
        <v/>
      </c>
      <c r="J533">
        <f>Raw_Data!G533</f>
        <v/>
      </c>
      <c r="K533">
        <f>Raw_Data!H533</f>
        <v/>
      </c>
      <c r="L533" s="30">
        <f>Raw_Data!I533</f>
        <v/>
      </c>
      <c r="M533" s="31">
        <f>Raw_Data!J533</f>
        <v/>
      </c>
      <c r="N533" s="17">
        <f>K533*L533</f>
        <v/>
      </c>
      <c r="O533" s="17">
        <f>N533*(1-M533)</f>
        <v/>
      </c>
      <c r="P533" s="17">
        <f>Raw_Data!L533</f>
        <v/>
      </c>
      <c r="Q533" s="17">
        <f>O533-P533</f>
        <v/>
      </c>
      <c r="R533" s="31">
        <f>IF(O533=0,0,Q533/O533)</f>
        <v/>
      </c>
      <c r="S533">
        <f>XLOOKUP(F533,Lookups!$B$7:$B$11,Lookups!$C$7:$C$11,"Unknown")</f>
        <v/>
      </c>
      <c r="T533" s="31">
        <f>XLOOKUP(G533,Lookups!$E$7:$E$11,Lookups!$F$7:$F$11,0)</f>
        <v/>
      </c>
      <c r="U533" s="32">
        <f>R533-T533</f>
        <v/>
      </c>
      <c r="V533">
        <f>XLOOKUP(I533,Lookups!$H$7:$H$10,Lookups!$I$7:$I$10,"")</f>
        <v/>
      </c>
      <c r="W533">
        <f>IF(O533&gt;=50000,"HIGH VALUE","")</f>
        <v/>
      </c>
      <c r="X533">
        <f>IF(Q533&lt;0,"LOSS","")</f>
        <v/>
      </c>
      <c r="Y533">
        <f>IFS(M533&gt;=0.15,"Deep Discount",M533&gt;=0.1,"Moderate",TRUE,"Standard")</f>
        <v/>
      </c>
    </row>
    <row r="534">
      <c r="A534">
        <f>Raw_Data!A534</f>
        <v/>
      </c>
      <c r="B534" s="29">
        <f>Raw_Data!B534</f>
        <v/>
      </c>
      <c r="C534">
        <f>YEAR(B534)</f>
        <v/>
      </c>
      <c r="D534">
        <f>MONTH(B534)</f>
        <v/>
      </c>
      <c r="E534">
        <f>TEXT(B534,"MMM-YYYY")</f>
        <v/>
      </c>
      <c r="F534">
        <f>Raw_Data!C534</f>
        <v/>
      </c>
      <c r="G534">
        <f>Raw_Data!D534</f>
        <v/>
      </c>
      <c r="H534">
        <f>Raw_Data!E534</f>
        <v/>
      </c>
      <c r="I534">
        <f>Raw_Data!F534</f>
        <v/>
      </c>
      <c r="J534">
        <f>Raw_Data!G534</f>
        <v/>
      </c>
      <c r="K534">
        <f>Raw_Data!H534</f>
        <v/>
      </c>
      <c r="L534" s="30">
        <f>Raw_Data!I534</f>
        <v/>
      </c>
      <c r="M534" s="31">
        <f>Raw_Data!J534</f>
        <v/>
      </c>
      <c r="N534" s="17">
        <f>K534*L534</f>
        <v/>
      </c>
      <c r="O534" s="17">
        <f>N534*(1-M534)</f>
        <v/>
      </c>
      <c r="P534" s="17">
        <f>Raw_Data!L534</f>
        <v/>
      </c>
      <c r="Q534" s="17">
        <f>O534-P534</f>
        <v/>
      </c>
      <c r="R534" s="31">
        <f>IF(O534=0,0,Q534/O534)</f>
        <v/>
      </c>
      <c r="S534">
        <f>XLOOKUP(F534,Lookups!$B$7:$B$11,Lookups!$C$7:$C$11,"Unknown")</f>
        <v/>
      </c>
      <c r="T534" s="31">
        <f>XLOOKUP(G534,Lookups!$E$7:$E$11,Lookups!$F$7:$F$11,0)</f>
        <v/>
      </c>
      <c r="U534" s="32">
        <f>R534-T534</f>
        <v/>
      </c>
      <c r="V534">
        <f>XLOOKUP(I534,Lookups!$H$7:$H$10,Lookups!$I$7:$I$10,"")</f>
        <v/>
      </c>
      <c r="W534">
        <f>IF(O534&gt;=50000,"HIGH VALUE","")</f>
        <v/>
      </c>
      <c r="X534">
        <f>IF(Q534&lt;0,"LOSS","")</f>
        <v/>
      </c>
      <c r="Y534">
        <f>IFS(M534&gt;=0.15,"Deep Discount",M534&gt;=0.1,"Moderate",TRUE,"Standard")</f>
        <v/>
      </c>
    </row>
    <row r="535">
      <c r="A535">
        <f>Raw_Data!A535</f>
        <v/>
      </c>
      <c r="B535" s="29">
        <f>Raw_Data!B535</f>
        <v/>
      </c>
      <c r="C535">
        <f>YEAR(B535)</f>
        <v/>
      </c>
      <c r="D535">
        <f>MONTH(B535)</f>
        <v/>
      </c>
      <c r="E535">
        <f>TEXT(B535,"MMM-YYYY")</f>
        <v/>
      </c>
      <c r="F535">
        <f>Raw_Data!C535</f>
        <v/>
      </c>
      <c r="G535">
        <f>Raw_Data!D535</f>
        <v/>
      </c>
      <c r="H535">
        <f>Raw_Data!E535</f>
        <v/>
      </c>
      <c r="I535">
        <f>Raw_Data!F535</f>
        <v/>
      </c>
      <c r="J535">
        <f>Raw_Data!G535</f>
        <v/>
      </c>
      <c r="K535">
        <f>Raw_Data!H535</f>
        <v/>
      </c>
      <c r="L535" s="30">
        <f>Raw_Data!I535</f>
        <v/>
      </c>
      <c r="M535" s="31">
        <f>Raw_Data!J535</f>
        <v/>
      </c>
      <c r="N535" s="17">
        <f>K535*L535</f>
        <v/>
      </c>
      <c r="O535" s="17">
        <f>N535*(1-M535)</f>
        <v/>
      </c>
      <c r="P535" s="17">
        <f>Raw_Data!L535</f>
        <v/>
      </c>
      <c r="Q535" s="17">
        <f>O535-P535</f>
        <v/>
      </c>
      <c r="R535" s="31">
        <f>IF(O535=0,0,Q535/O535)</f>
        <v/>
      </c>
      <c r="S535">
        <f>XLOOKUP(F535,Lookups!$B$7:$B$11,Lookups!$C$7:$C$11,"Unknown")</f>
        <v/>
      </c>
      <c r="T535" s="31">
        <f>XLOOKUP(G535,Lookups!$E$7:$E$11,Lookups!$F$7:$F$11,0)</f>
        <v/>
      </c>
      <c r="U535" s="32">
        <f>R535-T535</f>
        <v/>
      </c>
      <c r="V535">
        <f>XLOOKUP(I535,Lookups!$H$7:$H$10,Lookups!$I$7:$I$10,"")</f>
        <v/>
      </c>
      <c r="W535">
        <f>IF(O535&gt;=50000,"HIGH VALUE","")</f>
        <v/>
      </c>
      <c r="X535">
        <f>IF(Q535&lt;0,"LOSS","")</f>
        <v/>
      </c>
      <c r="Y535">
        <f>IFS(M535&gt;=0.15,"Deep Discount",M535&gt;=0.1,"Moderate",TRUE,"Standard")</f>
        <v/>
      </c>
    </row>
    <row r="536">
      <c r="A536">
        <f>Raw_Data!A536</f>
        <v/>
      </c>
      <c r="B536" s="29">
        <f>Raw_Data!B536</f>
        <v/>
      </c>
      <c r="C536">
        <f>YEAR(B536)</f>
        <v/>
      </c>
      <c r="D536">
        <f>MONTH(B536)</f>
        <v/>
      </c>
      <c r="E536">
        <f>TEXT(B536,"MMM-YYYY")</f>
        <v/>
      </c>
      <c r="F536">
        <f>Raw_Data!C536</f>
        <v/>
      </c>
      <c r="G536">
        <f>Raw_Data!D536</f>
        <v/>
      </c>
      <c r="H536">
        <f>Raw_Data!E536</f>
        <v/>
      </c>
      <c r="I536">
        <f>Raw_Data!F536</f>
        <v/>
      </c>
      <c r="J536">
        <f>Raw_Data!G536</f>
        <v/>
      </c>
      <c r="K536">
        <f>Raw_Data!H536</f>
        <v/>
      </c>
      <c r="L536" s="30">
        <f>Raw_Data!I536</f>
        <v/>
      </c>
      <c r="M536" s="31">
        <f>Raw_Data!J536</f>
        <v/>
      </c>
      <c r="N536" s="17">
        <f>K536*L536</f>
        <v/>
      </c>
      <c r="O536" s="17">
        <f>N536*(1-M536)</f>
        <v/>
      </c>
      <c r="P536" s="17">
        <f>Raw_Data!L536</f>
        <v/>
      </c>
      <c r="Q536" s="17">
        <f>O536-P536</f>
        <v/>
      </c>
      <c r="R536" s="31">
        <f>IF(O536=0,0,Q536/O536)</f>
        <v/>
      </c>
      <c r="S536">
        <f>XLOOKUP(F536,Lookups!$B$7:$B$11,Lookups!$C$7:$C$11,"Unknown")</f>
        <v/>
      </c>
      <c r="T536" s="31">
        <f>XLOOKUP(G536,Lookups!$E$7:$E$11,Lookups!$F$7:$F$11,0)</f>
        <v/>
      </c>
      <c r="U536" s="32">
        <f>R536-T536</f>
        <v/>
      </c>
      <c r="V536">
        <f>XLOOKUP(I536,Lookups!$H$7:$H$10,Lookups!$I$7:$I$10,"")</f>
        <v/>
      </c>
      <c r="W536">
        <f>IF(O536&gt;=50000,"HIGH VALUE","")</f>
        <v/>
      </c>
      <c r="X536">
        <f>IF(Q536&lt;0,"LOSS","")</f>
        <v/>
      </c>
      <c r="Y536">
        <f>IFS(M536&gt;=0.15,"Deep Discount",M536&gt;=0.1,"Moderate",TRUE,"Standard")</f>
        <v/>
      </c>
    </row>
    <row r="537">
      <c r="A537">
        <f>Raw_Data!A537</f>
        <v/>
      </c>
      <c r="B537" s="29">
        <f>Raw_Data!B537</f>
        <v/>
      </c>
      <c r="C537">
        <f>YEAR(B537)</f>
        <v/>
      </c>
      <c r="D537">
        <f>MONTH(B537)</f>
        <v/>
      </c>
      <c r="E537">
        <f>TEXT(B537,"MMM-YYYY")</f>
        <v/>
      </c>
      <c r="F537">
        <f>Raw_Data!C537</f>
        <v/>
      </c>
      <c r="G537">
        <f>Raw_Data!D537</f>
        <v/>
      </c>
      <c r="H537">
        <f>Raw_Data!E537</f>
        <v/>
      </c>
      <c r="I537">
        <f>Raw_Data!F537</f>
        <v/>
      </c>
      <c r="J537">
        <f>Raw_Data!G537</f>
        <v/>
      </c>
      <c r="K537">
        <f>Raw_Data!H537</f>
        <v/>
      </c>
      <c r="L537" s="30">
        <f>Raw_Data!I537</f>
        <v/>
      </c>
      <c r="M537" s="31">
        <f>Raw_Data!J537</f>
        <v/>
      </c>
      <c r="N537" s="17">
        <f>K537*L537</f>
        <v/>
      </c>
      <c r="O537" s="17">
        <f>N537*(1-M537)</f>
        <v/>
      </c>
      <c r="P537" s="17">
        <f>Raw_Data!L537</f>
        <v/>
      </c>
      <c r="Q537" s="17">
        <f>O537-P537</f>
        <v/>
      </c>
      <c r="R537" s="31">
        <f>IF(O537=0,0,Q537/O537)</f>
        <v/>
      </c>
      <c r="S537">
        <f>XLOOKUP(F537,Lookups!$B$7:$B$11,Lookups!$C$7:$C$11,"Unknown")</f>
        <v/>
      </c>
      <c r="T537" s="31">
        <f>XLOOKUP(G537,Lookups!$E$7:$E$11,Lookups!$F$7:$F$11,0)</f>
        <v/>
      </c>
      <c r="U537" s="32">
        <f>R537-T537</f>
        <v/>
      </c>
      <c r="V537">
        <f>XLOOKUP(I537,Lookups!$H$7:$H$10,Lookups!$I$7:$I$10,"")</f>
        <v/>
      </c>
      <c r="W537">
        <f>IF(O537&gt;=50000,"HIGH VALUE","")</f>
        <v/>
      </c>
      <c r="X537">
        <f>IF(Q537&lt;0,"LOSS","")</f>
        <v/>
      </c>
      <c r="Y537">
        <f>IFS(M537&gt;=0.15,"Deep Discount",M537&gt;=0.1,"Moderate",TRUE,"Standard")</f>
        <v/>
      </c>
    </row>
    <row r="538">
      <c r="A538">
        <f>Raw_Data!A538</f>
        <v/>
      </c>
      <c r="B538" s="29">
        <f>Raw_Data!B538</f>
        <v/>
      </c>
      <c r="C538">
        <f>YEAR(B538)</f>
        <v/>
      </c>
      <c r="D538">
        <f>MONTH(B538)</f>
        <v/>
      </c>
      <c r="E538">
        <f>TEXT(B538,"MMM-YYYY")</f>
        <v/>
      </c>
      <c r="F538">
        <f>Raw_Data!C538</f>
        <v/>
      </c>
      <c r="G538">
        <f>Raw_Data!D538</f>
        <v/>
      </c>
      <c r="H538">
        <f>Raw_Data!E538</f>
        <v/>
      </c>
      <c r="I538">
        <f>Raw_Data!F538</f>
        <v/>
      </c>
      <c r="J538">
        <f>Raw_Data!G538</f>
        <v/>
      </c>
      <c r="K538">
        <f>Raw_Data!H538</f>
        <v/>
      </c>
      <c r="L538" s="30">
        <f>Raw_Data!I538</f>
        <v/>
      </c>
      <c r="M538" s="31">
        <f>Raw_Data!J538</f>
        <v/>
      </c>
      <c r="N538" s="17">
        <f>K538*L538</f>
        <v/>
      </c>
      <c r="O538" s="17">
        <f>N538*(1-M538)</f>
        <v/>
      </c>
      <c r="P538" s="17">
        <f>Raw_Data!L538</f>
        <v/>
      </c>
      <c r="Q538" s="17">
        <f>O538-P538</f>
        <v/>
      </c>
      <c r="R538" s="31">
        <f>IF(O538=0,0,Q538/O538)</f>
        <v/>
      </c>
      <c r="S538">
        <f>XLOOKUP(F538,Lookups!$B$7:$B$11,Lookups!$C$7:$C$11,"Unknown")</f>
        <v/>
      </c>
      <c r="T538" s="31">
        <f>XLOOKUP(G538,Lookups!$E$7:$E$11,Lookups!$F$7:$F$11,0)</f>
        <v/>
      </c>
      <c r="U538" s="32">
        <f>R538-T538</f>
        <v/>
      </c>
      <c r="V538">
        <f>XLOOKUP(I538,Lookups!$H$7:$H$10,Lookups!$I$7:$I$10,"")</f>
        <v/>
      </c>
      <c r="W538">
        <f>IF(O538&gt;=50000,"HIGH VALUE","")</f>
        <v/>
      </c>
      <c r="X538">
        <f>IF(Q538&lt;0,"LOSS","")</f>
        <v/>
      </c>
      <c r="Y538">
        <f>IFS(M538&gt;=0.15,"Deep Discount",M538&gt;=0.1,"Moderate",TRUE,"Standard")</f>
        <v/>
      </c>
    </row>
    <row r="539">
      <c r="A539">
        <f>Raw_Data!A539</f>
        <v/>
      </c>
      <c r="B539" s="29">
        <f>Raw_Data!B539</f>
        <v/>
      </c>
      <c r="C539">
        <f>YEAR(B539)</f>
        <v/>
      </c>
      <c r="D539">
        <f>MONTH(B539)</f>
        <v/>
      </c>
      <c r="E539">
        <f>TEXT(B539,"MMM-YYYY")</f>
        <v/>
      </c>
      <c r="F539">
        <f>Raw_Data!C539</f>
        <v/>
      </c>
      <c r="G539">
        <f>Raw_Data!D539</f>
        <v/>
      </c>
      <c r="H539">
        <f>Raw_Data!E539</f>
        <v/>
      </c>
      <c r="I539">
        <f>Raw_Data!F539</f>
        <v/>
      </c>
      <c r="J539">
        <f>Raw_Data!G539</f>
        <v/>
      </c>
      <c r="K539">
        <f>Raw_Data!H539</f>
        <v/>
      </c>
      <c r="L539" s="30">
        <f>Raw_Data!I539</f>
        <v/>
      </c>
      <c r="M539" s="31">
        <f>Raw_Data!J539</f>
        <v/>
      </c>
      <c r="N539" s="17">
        <f>K539*L539</f>
        <v/>
      </c>
      <c r="O539" s="17">
        <f>N539*(1-M539)</f>
        <v/>
      </c>
      <c r="P539" s="17">
        <f>Raw_Data!L539</f>
        <v/>
      </c>
      <c r="Q539" s="17">
        <f>O539-P539</f>
        <v/>
      </c>
      <c r="R539" s="31">
        <f>IF(O539=0,0,Q539/O539)</f>
        <v/>
      </c>
      <c r="S539">
        <f>XLOOKUP(F539,Lookups!$B$7:$B$11,Lookups!$C$7:$C$11,"Unknown")</f>
        <v/>
      </c>
      <c r="T539" s="31">
        <f>XLOOKUP(G539,Lookups!$E$7:$E$11,Lookups!$F$7:$F$11,0)</f>
        <v/>
      </c>
      <c r="U539" s="32">
        <f>R539-T539</f>
        <v/>
      </c>
      <c r="V539">
        <f>XLOOKUP(I539,Lookups!$H$7:$H$10,Lookups!$I$7:$I$10,"")</f>
        <v/>
      </c>
      <c r="W539">
        <f>IF(O539&gt;=50000,"HIGH VALUE","")</f>
        <v/>
      </c>
      <c r="X539">
        <f>IF(Q539&lt;0,"LOSS","")</f>
        <v/>
      </c>
      <c r="Y539">
        <f>IFS(M539&gt;=0.15,"Deep Discount",M539&gt;=0.1,"Moderate",TRUE,"Standard")</f>
        <v/>
      </c>
    </row>
    <row r="540">
      <c r="A540">
        <f>Raw_Data!A540</f>
        <v/>
      </c>
      <c r="B540" s="29">
        <f>Raw_Data!B540</f>
        <v/>
      </c>
      <c r="C540">
        <f>YEAR(B540)</f>
        <v/>
      </c>
      <c r="D540">
        <f>MONTH(B540)</f>
        <v/>
      </c>
      <c r="E540">
        <f>TEXT(B540,"MMM-YYYY")</f>
        <v/>
      </c>
      <c r="F540">
        <f>Raw_Data!C540</f>
        <v/>
      </c>
      <c r="G540">
        <f>Raw_Data!D540</f>
        <v/>
      </c>
      <c r="H540">
        <f>Raw_Data!E540</f>
        <v/>
      </c>
      <c r="I540">
        <f>Raw_Data!F540</f>
        <v/>
      </c>
      <c r="J540">
        <f>Raw_Data!G540</f>
        <v/>
      </c>
      <c r="K540">
        <f>Raw_Data!H540</f>
        <v/>
      </c>
      <c r="L540" s="30">
        <f>Raw_Data!I540</f>
        <v/>
      </c>
      <c r="M540" s="31">
        <f>Raw_Data!J540</f>
        <v/>
      </c>
      <c r="N540" s="17">
        <f>K540*L540</f>
        <v/>
      </c>
      <c r="O540" s="17">
        <f>N540*(1-M540)</f>
        <v/>
      </c>
      <c r="P540" s="17">
        <f>Raw_Data!L540</f>
        <v/>
      </c>
      <c r="Q540" s="17">
        <f>O540-P540</f>
        <v/>
      </c>
      <c r="R540" s="31">
        <f>IF(O540=0,0,Q540/O540)</f>
        <v/>
      </c>
      <c r="S540">
        <f>XLOOKUP(F540,Lookups!$B$7:$B$11,Lookups!$C$7:$C$11,"Unknown")</f>
        <v/>
      </c>
      <c r="T540" s="31">
        <f>XLOOKUP(G540,Lookups!$E$7:$E$11,Lookups!$F$7:$F$11,0)</f>
        <v/>
      </c>
      <c r="U540" s="32">
        <f>R540-T540</f>
        <v/>
      </c>
      <c r="V540">
        <f>XLOOKUP(I540,Lookups!$H$7:$H$10,Lookups!$I$7:$I$10,"")</f>
        <v/>
      </c>
      <c r="W540">
        <f>IF(O540&gt;=50000,"HIGH VALUE","")</f>
        <v/>
      </c>
      <c r="X540">
        <f>IF(Q540&lt;0,"LOSS","")</f>
        <v/>
      </c>
      <c r="Y540">
        <f>IFS(M540&gt;=0.15,"Deep Discount",M540&gt;=0.1,"Moderate",TRUE,"Standard")</f>
        <v/>
      </c>
    </row>
    <row r="541">
      <c r="A541">
        <f>Raw_Data!A541</f>
        <v/>
      </c>
      <c r="B541" s="29">
        <f>Raw_Data!B541</f>
        <v/>
      </c>
      <c r="C541">
        <f>YEAR(B541)</f>
        <v/>
      </c>
      <c r="D541">
        <f>MONTH(B541)</f>
        <v/>
      </c>
      <c r="E541">
        <f>TEXT(B541,"MMM-YYYY")</f>
        <v/>
      </c>
      <c r="F541">
        <f>Raw_Data!C541</f>
        <v/>
      </c>
      <c r="G541">
        <f>Raw_Data!D541</f>
        <v/>
      </c>
      <c r="H541">
        <f>Raw_Data!E541</f>
        <v/>
      </c>
      <c r="I541">
        <f>Raw_Data!F541</f>
        <v/>
      </c>
      <c r="J541">
        <f>Raw_Data!G541</f>
        <v/>
      </c>
      <c r="K541">
        <f>Raw_Data!H541</f>
        <v/>
      </c>
      <c r="L541" s="30">
        <f>Raw_Data!I541</f>
        <v/>
      </c>
      <c r="M541" s="31">
        <f>Raw_Data!J541</f>
        <v/>
      </c>
      <c r="N541" s="17">
        <f>K541*L541</f>
        <v/>
      </c>
      <c r="O541" s="17">
        <f>N541*(1-M541)</f>
        <v/>
      </c>
      <c r="P541" s="17">
        <f>Raw_Data!L541</f>
        <v/>
      </c>
      <c r="Q541" s="17">
        <f>O541-P541</f>
        <v/>
      </c>
      <c r="R541" s="31">
        <f>IF(O541=0,0,Q541/O541)</f>
        <v/>
      </c>
      <c r="S541">
        <f>XLOOKUP(F541,Lookups!$B$7:$B$11,Lookups!$C$7:$C$11,"Unknown")</f>
        <v/>
      </c>
      <c r="T541" s="31">
        <f>XLOOKUP(G541,Lookups!$E$7:$E$11,Lookups!$F$7:$F$11,0)</f>
        <v/>
      </c>
      <c r="U541" s="32">
        <f>R541-T541</f>
        <v/>
      </c>
      <c r="V541">
        <f>XLOOKUP(I541,Lookups!$H$7:$H$10,Lookups!$I$7:$I$10,"")</f>
        <v/>
      </c>
      <c r="W541">
        <f>IF(O541&gt;=50000,"HIGH VALUE","")</f>
        <v/>
      </c>
      <c r="X541">
        <f>IF(Q541&lt;0,"LOSS","")</f>
        <v/>
      </c>
      <c r="Y541">
        <f>IFS(M541&gt;=0.15,"Deep Discount",M541&gt;=0.1,"Moderate",TRUE,"Standard")</f>
        <v/>
      </c>
    </row>
    <row r="542">
      <c r="A542">
        <f>Raw_Data!A542</f>
        <v/>
      </c>
      <c r="B542" s="29">
        <f>Raw_Data!B542</f>
        <v/>
      </c>
      <c r="C542">
        <f>YEAR(B542)</f>
        <v/>
      </c>
      <c r="D542">
        <f>MONTH(B542)</f>
        <v/>
      </c>
      <c r="E542">
        <f>TEXT(B542,"MMM-YYYY")</f>
        <v/>
      </c>
      <c r="F542">
        <f>Raw_Data!C542</f>
        <v/>
      </c>
      <c r="G542">
        <f>Raw_Data!D542</f>
        <v/>
      </c>
      <c r="H542">
        <f>Raw_Data!E542</f>
        <v/>
      </c>
      <c r="I542">
        <f>Raw_Data!F542</f>
        <v/>
      </c>
      <c r="J542">
        <f>Raw_Data!G542</f>
        <v/>
      </c>
      <c r="K542">
        <f>Raw_Data!H542</f>
        <v/>
      </c>
      <c r="L542" s="30">
        <f>Raw_Data!I542</f>
        <v/>
      </c>
      <c r="M542" s="31">
        <f>Raw_Data!J542</f>
        <v/>
      </c>
      <c r="N542" s="17">
        <f>K542*L542</f>
        <v/>
      </c>
      <c r="O542" s="17">
        <f>N542*(1-M542)</f>
        <v/>
      </c>
      <c r="P542" s="17">
        <f>Raw_Data!L542</f>
        <v/>
      </c>
      <c r="Q542" s="17">
        <f>O542-P542</f>
        <v/>
      </c>
      <c r="R542" s="31">
        <f>IF(O542=0,0,Q542/O542)</f>
        <v/>
      </c>
      <c r="S542">
        <f>XLOOKUP(F542,Lookups!$B$7:$B$11,Lookups!$C$7:$C$11,"Unknown")</f>
        <v/>
      </c>
      <c r="T542" s="31">
        <f>XLOOKUP(G542,Lookups!$E$7:$E$11,Lookups!$F$7:$F$11,0)</f>
        <v/>
      </c>
      <c r="U542" s="32">
        <f>R542-T542</f>
        <v/>
      </c>
      <c r="V542">
        <f>XLOOKUP(I542,Lookups!$H$7:$H$10,Lookups!$I$7:$I$10,"")</f>
        <v/>
      </c>
      <c r="W542">
        <f>IF(O542&gt;=50000,"HIGH VALUE","")</f>
        <v/>
      </c>
      <c r="X542">
        <f>IF(Q542&lt;0,"LOSS","")</f>
        <v/>
      </c>
      <c r="Y542">
        <f>IFS(M542&gt;=0.15,"Deep Discount",M542&gt;=0.1,"Moderate",TRUE,"Standard")</f>
        <v/>
      </c>
    </row>
    <row r="543">
      <c r="A543">
        <f>Raw_Data!A543</f>
        <v/>
      </c>
      <c r="B543" s="29">
        <f>Raw_Data!B543</f>
        <v/>
      </c>
      <c r="C543">
        <f>YEAR(B543)</f>
        <v/>
      </c>
      <c r="D543">
        <f>MONTH(B543)</f>
        <v/>
      </c>
      <c r="E543">
        <f>TEXT(B543,"MMM-YYYY")</f>
        <v/>
      </c>
      <c r="F543">
        <f>Raw_Data!C543</f>
        <v/>
      </c>
      <c r="G543">
        <f>Raw_Data!D543</f>
        <v/>
      </c>
      <c r="H543">
        <f>Raw_Data!E543</f>
        <v/>
      </c>
      <c r="I543">
        <f>Raw_Data!F543</f>
        <v/>
      </c>
      <c r="J543">
        <f>Raw_Data!G543</f>
        <v/>
      </c>
      <c r="K543">
        <f>Raw_Data!H543</f>
        <v/>
      </c>
      <c r="L543" s="30">
        <f>Raw_Data!I543</f>
        <v/>
      </c>
      <c r="M543" s="31">
        <f>Raw_Data!J543</f>
        <v/>
      </c>
      <c r="N543" s="17">
        <f>K543*L543</f>
        <v/>
      </c>
      <c r="O543" s="17">
        <f>N543*(1-M543)</f>
        <v/>
      </c>
      <c r="P543" s="17">
        <f>Raw_Data!L543</f>
        <v/>
      </c>
      <c r="Q543" s="17">
        <f>O543-P543</f>
        <v/>
      </c>
      <c r="R543" s="31">
        <f>IF(O543=0,0,Q543/O543)</f>
        <v/>
      </c>
      <c r="S543">
        <f>XLOOKUP(F543,Lookups!$B$7:$B$11,Lookups!$C$7:$C$11,"Unknown")</f>
        <v/>
      </c>
      <c r="T543" s="31">
        <f>XLOOKUP(G543,Lookups!$E$7:$E$11,Lookups!$F$7:$F$11,0)</f>
        <v/>
      </c>
      <c r="U543" s="32">
        <f>R543-T543</f>
        <v/>
      </c>
      <c r="V543">
        <f>XLOOKUP(I543,Lookups!$H$7:$H$10,Lookups!$I$7:$I$10,"")</f>
        <v/>
      </c>
      <c r="W543">
        <f>IF(O543&gt;=50000,"HIGH VALUE","")</f>
        <v/>
      </c>
      <c r="X543">
        <f>IF(Q543&lt;0,"LOSS","")</f>
        <v/>
      </c>
      <c r="Y543">
        <f>IFS(M543&gt;=0.15,"Deep Discount",M543&gt;=0.1,"Moderate",TRUE,"Standard")</f>
        <v/>
      </c>
    </row>
    <row r="544">
      <c r="A544">
        <f>Raw_Data!A544</f>
        <v/>
      </c>
      <c r="B544" s="29">
        <f>Raw_Data!B544</f>
        <v/>
      </c>
      <c r="C544">
        <f>YEAR(B544)</f>
        <v/>
      </c>
      <c r="D544">
        <f>MONTH(B544)</f>
        <v/>
      </c>
      <c r="E544">
        <f>TEXT(B544,"MMM-YYYY")</f>
        <v/>
      </c>
      <c r="F544">
        <f>Raw_Data!C544</f>
        <v/>
      </c>
      <c r="G544">
        <f>Raw_Data!D544</f>
        <v/>
      </c>
      <c r="H544">
        <f>Raw_Data!E544</f>
        <v/>
      </c>
      <c r="I544">
        <f>Raw_Data!F544</f>
        <v/>
      </c>
      <c r="J544">
        <f>Raw_Data!G544</f>
        <v/>
      </c>
      <c r="K544">
        <f>Raw_Data!H544</f>
        <v/>
      </c>
      <c r="L544" s="30">
        <f>Raw_Data!I544</f>
        <v/>
      </c>
      <c r="M544" s="31">
        <f>Raw_Data!J544</f>
        <v/>
      </c>
      <c r="N544" s="17">
        <f>K544*L544</f>
        <v/>
      </c>
      <c r="O544" s="17">
        <f>N544*(1-M544)</f>
        <v/>
      </c>
      <c r="P544" s="17">
        <f>Raw_Data!L544</f>
        <v/>
      </c>
      <c r="Q544" s="17">
        <f>O544-P544</f>
        <v/>
      </c>
      <c r="R544" s="31">
        <f>IF(O544=0,0,Q544/O544)</f>
        <v/>
      </c>
      <c r="S544">
        <f>XLOOKUP(F544,Lookups!$B$7:$B$11,Lookups!$C$7:$C$11,"Unknown")</f>
        <v/>
      </c>
      <c r="T544" s="31">
        <f>XLOOKUP(G544,Lookups!$E$7:$E$11,Lookups!$F$7:$F$11,0)</f>
        <v/>
      </c>
      <c r="U544" s="32">
        <f>R544-T544</f>
        <v/>
      </c>
      <c r="V544">
        <f>XLOOKUP(I544,Lookups!$H$7:$H$10,Lookups!$I$7:$I$10,"")</f>
        <v/>
      </c>
      <c r="W544">
        <f>IF(O544&gt;=50000,"HIGH VALUE","")</f>
        <v/>
      </c>
      <c r="X544">
        <f>IF(Q544&lt;0,"LOSS","")</f>
        <v/>
      </c>
      <c r="Y544">
        <f>IFS(M544&gt;=0.15,"Deep Discount",M544&gt;=0.1,"Moderate",TRUE,"Standard")</f>
        <v/>
      </c>
    </row>
    <row r="545">
      <c r="A545">
        <f>Raw_Data!A545</f>
        <v/>
      </c>
      <c r="B545" s="29">
        <f>Raw_Data!B545</f>
        <v/>
      </c>
      <c r="C545">
        <f>YEAR(B545)</f>
        <v/>
      </c>
      <c r="D545">
        <f>MONTH(B545)</f>
        <v/>
      </c>
      <c r="E545">
        <f>TEXT(B545,"MMM-YYYY")</f>
        <v/>
      </c>
      <c r="F545">
        <f>Raw_Data!C545</f>
        <v/>
      </c>
      <c r="G545">
        <f>Raw_Data!D545</f>
        <v/>
      </c>
      <c r="H545">
        <f>Raw_Data!E545</f>
        <v/>
      </c>
      <c r="I545">
        <f>Raw_Data!F545</f>
        <v/>
      </c>
      <c r="J545">
        <f>Raw_Data!G545</f>
        <v/>
      </c>
      <c r="K545">
        <f>Raw_Data!H545</f>
        <v/>
      </c>
      <c r="L545" s="30">
        <f>Raw_Data!I545</f>
        <v/>
      </c>
      <c r="M545" s="31">
        <f>Raw_Data!J545</f>
        <v/>
      </c>
      <c r="N545" s="17">
        <f>K545*L545</f>
        <v/>
      </c>
      <c r="O545" s="17">
        <f>N545*(1-M545)</f>
        <v/>
      </c>
      <c r="P545" s="17">
        <f>Raw_Data!L545</f>
        <v/>
      </c>
      <c r="Q545" s="17">
        <f>O545-P545</f>
        <v/>
      </c>
      <c r="R545" s="31">
        <f>IF(O545=0,0,Q545/O545)</f>
        <v/>
      </c>
      <c r="S545">
        <f>XLOOKUP(F545,Lookups!$B$7:$B$11,Lookups!$C$7:$C$11,"Unknown")</f>
        <v/>
      </c>
      <c r="T545" s="31">
        <f>XLOOKUP(G545,Lookups!$E$7:$E$11,Lookups!$F$7:$F$11,0)</f>
        <v/>
      </c>
      <c r="U545" s="32">
        <f>R545-T545</f>
        <v/>
      </c>
      <c r="V545">
        <f>XLOOKUP(I545,Lookups!$H$7:$H$10,Lookups!$I$7:$I$10,"")</f>
        <v/>
      </c>
      <c r="W545">
        <f>IF(O545&gt;=50000,"HIGH VALUE","")</f>
        <v/>
      </c>
      <c r="X545">
        <f>IF(Q545&lt;0,"LOSS","")</f>
        <v/>
      </c>
      <c r="Y545">
        <f>IFS(M545&gt;=0.15,"Deep Discount",M545&gt;=0.1,"Moderate",TRUE,"Standard")</f>
        <v/>
      </c>
    </row>
    <row r="546">
      <c r="A546">
        <f>Raw_Data!A546</f>
        <v/>
      </c>
      <c r="B546" s="29">
        <f>Raw_Data!B546</f>
        <v/>
      </c>
      <c r="C546">
        <f>YEAR(B546)</f>
        <v/>
      </c>
      <c r="D546">
        <f>MONTH(B546)</f>
        <v/>
      </c>
      <c r="E546">
        <f>TEXT(B546,"MMM-YYYY")</f>
        <v/>
      </c>
      <c r="F546">
        <f>Raw_Data!C546</f>
        <v/>
      </c>
      <c r="G546">
        <f>Raw_Data!D546</f>
        <v/>
      </c>
      <c r="H546">
        <f>Raw_Data!E546</f>
        <v/>
      </c>
      <c r="I546">
        <f>Raw_Data!F546</f>
        <v/>
      </c>
      <c r="J546">
        <f>Raw_Data!G546</f>
        <v/>
      </c>
      <c r="K546">
        <f>Raw_Data!H546</f>
        <v/>
      </c>
      <c r="L546" s="30">
        <f>Raw_Data!I546</f>
        <v/>
      </c>
      <c r="M546" s="31">
        <f>Raw_Data!J546</f>
        <v/>
      </c>
      <c r="N546" s="17">
        <f>K546*L546</f>
        <v/>
      </c>
      <c r="O546" s="17">
        <f>N546*(1-M546)</f>
        <v/>
      </c>
      <c r="P546" s="17">
        <f>Raw_Data!L546</f>
        <v/>
      </c>
      <c r="Q546" s="17">
        <f>O546-P546</f>
        <v/>
      </c>
      <c r="R546" s="31">
        <f>IF(O546=0,0,Q546/O546)</f>
        <v/>
      </c>
      <c r="S546">
        <f>XLOOKUP(F546,Lookups!$B$7:$B$11,Lookups!$C$7:$C$11,"Unknown")</f>
        <v/>
      </c>
      <c r="T546" s="31">
        <f>XLOOKUP(G546,Lookups!$E$7:$E$11,Lookups!$F$7:$F$11,0)</f>
        <v/>
      </c>
      <c r="U546" s="32">
        <f>R546-T546</f>
        <v/>
      </c>
      <c r="V546">
        <f>XLOOKUP(I546,Lookups!$H$7:$H$10,Lookups!$I$7:$I$10,"")</f>
        <v/>
      </c>
      <c r="W546">
        <f>IF(O546&gt;=50000,"HIGH VALUE","")</f>
        <v/>
      </c>
      <c r="X546">
        <f>IF(Q546&lt;0,"LOSS","")</f>
        <v/>
      </c>
      <c r="Y546">
        <f>IFS(M546&gt;=0.15,"Deep Discount",M546&gt;=0.1,"Moderate",TRUE,"Standard")</f>
        <v/>
      </c>
    </row>
    <row r="547">
      <c r="A547">
        <f>Raw_Data!A547</f>
        <v/>
      </c>
      <c r="B547" s="29">
        <f>Raw_Data!B547</f>
        <v/>
      </c>
      <c r="C547">
        <f>YEAR(B547)</f>
        <v/>
      </c>
      <c r="D547">
        <f>MONTH(B547)</f>
        <v/>
      </c>
      <c r="E547">
        <f>TEXT(B547,"MMM-YYYY")</f>
        <v/>
      </c>
      <c r="F547">
        <f>Raw_Data!C547</f>
        <v/>
      </c>
      <c r="G547">
        <f>Raw_Data!D547</f>
        <v/>
      </c>
      <c r="H547">
        <f>Raw_Data!E547</f>
        <v/>
      </c>
      <c r="I547">
        <f>Raw_Data!F547</f>
        <v/>
      </c>
      <c r="J547">
        <f>Raw_Data!G547</f>
        <v/>
      </c>
      <c r="K547">
        <f>Raw_Data!H547</f>
        <v/>
      </c>
      <c r="L547" s="30">
        <f>Raw_Data!I547</f>
        <v/>
      </c>
      <c r="M547" s="31">
        <f>Raw_Data!J547</f>
        <v/>
      </c>
      <c r="N547" s="17">
        <f>K547*L547</f>
        <v/>
      </c>
      <c r="O547" s="17">
        <f>N547*(1-M547)</f>
        <v/>
      </c>
      <c r="P547" s="17">
        <f>Raw_Data!L547</f>
        <v/>
      </c>
      <c r="Q547" s="17">
        <f>O547-P547</f>
        <v/>
      </c>
      <c r="R547" s="31">
        <f>IF(O547=0,0,Q547/O547)</f>
        <v/>
      </c>
      <c r="S547">
        <f>XLOOKUP(F547,Lookups!$B$7:$B$11,Lookups!$C$7:$C$11,"Unknown")</f>
        <v/>
      </c>
      <c r="T547" s="31">
        <f>XLOOKUP(G547,Lookups!$E$7:$E$11,Lookups!$F$7:$F$11,0)</f>
        <v/>
      </c>
      <c r="U547" s="32">
        <f>R547-T547</f>
        <v/>
      </c>
      <c r="V547">
        <f>XLOOKUP(I547,Lookups!$H$7:$H$10,Lookups!$I$7:$I$10,"")</f>
        <v/>
      </c>
      <c r="W547">
        <f>IF(O547&gt;=50000,"HIGH VALUE","")</f>
        <v/>
      </c>
      <c r="X547">
        <f>IF(Q547&lt;0,"LOSS","")</f>
        <v/>
      </c>
      <c r="Y547">
        <f>IFS(M547&gt;=0.15,"Deep Discount",M547&gt;=0.1,"Moderate",TRUE,"Standard")</f>
        <v/>
      </c>
    </row>
    <row r="548">
      <c r="A548">
        <f>Raw_Data!A548</f>
        <v/>
      </c>
      <c r="B548" s="29">
        <f>Raw_Data!B548</f>
        <v/>
      </c>
      <c r="C548">
        <f>YEAR(B548)</f>
        <v/>
      </c>
      <c r="D548">
        <f>MONTH(B548)</f>
        <v/>
      </c>
      <c r="E548">
        <f>TEXT(B548,"MMM-YYYY")</f>
        <v/>
      </c>
      <c r="F548">
        <f>Raw_Data!C548</f>
        <v/>
      </c>
      <c r="G548">
        <f>Raw_Data!D548</f>
        <v/>
      </c>
      <c r="H548">
        <f>Raw_Data!E548</f>
        <v/>
      </c>
      <c r="I548">
        <f>Raw_Data!F548</f>
        <v/>
      </c>
      <c r="J548">
        <f>Raw_Data!G548</f>
        <v/>
      </c>
      <c r="K548">
        <f>Raw_Data!H548</f>
        <v/>
      </c>
      <c r="L548" s="30">
        <f>Raw_Data!I548</f>
        <v/>
      </c>
      <c r="M548" s="31">
        <f>Raw_Data!J548</f>
        <v/>
      </c>
      <c r="N548" s="17">
        <f>K548*L548</f>
        <v/>
      </c>
      <c r="O548" s="17">
        <f>N548*(1-M548)</f>
        <v/>
      </c>
      <c r="P548" s="17">
        <f>Raw_Data!L548</f>
        <v/>
      </c>
      <c r="Q548" s="17">
        <f>O548-P548</f>
        <v/>
      </c>
      <c r="R548" s="31">
        <f>IF(O548=0,0,Q548/O548)</f>
        <v/>
      </c>
      <c r="S548">
        <f>XLOOKUP(F548,Lookups!$B$7:$B$11,Lookups!$C$7:$C$11,"Unknown")</f>
        <v/>
      </c>
      <c r="T548" s="31">
        <f>XLOOKUP(G548,Lookups!$E$7:$E$11,Lookups!$F$7:$F$11,0)</f>
        <v/>
      </c>
      <c r="U548" s="32">
        <f>R548-T548</f>
        <v/>
      </c>
      <c r="V548">
        <f>XLOOKUP(I548,Lookups!$H$7:$H$10,Lookups!$I$7:$I$10,"")</f>
        <v/>
      </c>
      <c r="W548">
        <f>IF(O548&gt;=50000,"HIGH VALUE","")</f>
        <v/>
      </c>
      <c r="X548">
        <f>IF(Q548&lt;0,"LOSS","")</f>
        <v/>
      </c>
      <c r="Y548">
        <f>IFS(M548&gt;=0.15,"Deep Discount",M548&gt;=0.1,"Moderate",TRUE,"Standard")</f>
        <v/>
      </c>
    </row>
    <row r="549">
      <c r="A549">
        <f>Raw_Data!A549</f>
        <v/>
      </c>
      <c r="B549" s="29">
        <f>Raw_Data!B549</f>
        <v/>
      </c>
      <c r="C549">
        <f>YEAR(B549)</f>
        <v/>
      </c>
      <c r="D549">
        <f>MONTH(B549)</f>
        <v/>
      </c>
      <c r="E549">
        <f>TEXT(B549,"MMM-YYYY")</f>
        <v/>
      </c>
      <c r="F549">
        <f>Raw_Data!C549</f>
        <v/>
      </c>
      <c r="G549">
        <f>Raw_Data!D549</f>
        <v/>
      </c>
      <c r="H549">
        <f>Raw_Data!E549</f>
        <v/>
      </c>
      <c r="I549">
        <f>Raw_Data!F549</f>
        <v/>
      </c>
      <c r="J549">
        <f>Raw_Data!G549</f>
        <v/>
      </c>
      <c r="K549">
        <f>Raw_Data!H549</f>
        <v/>
      </c>
      <c r="L549" s="30">
        <f>Raw_Data!I549</f>
        <v/>
      </c>
      <c r="M549" s="31">
        <f>Raw_Data!J549</f>
        <v/>
      </c>
      <c r="N549" s="17">
        <f>K549*L549</f>
        <v/>
      </c>
      <c r="O549" s="17">
        <f>N549*(1-M549)</f>
        <v/>
      </c>
      <c r="P549" s="17">
        <f>Raw_Data!L549</f>
        <v/>
      </c>
      <c r="Q549" s="17">
        <f>O549-P549</f>
        <v/>
      </c>
      <c r="R549" s="31">
        <f>IF(O549=0,0,Q549/O549)</f>
        <v/>
      </c>
      <c r="S549">
        <f>XLOOKUP(F549,Lookups!$B$7:$B$11,Lookups!$C$7:$C$11,"Unknown")</f>
        <v/>
      </c>
      <c r="T549" s="31">
        <f>XLOOKUP(G549,Lookups!$E$7:$E$11,Lookups!$F$7:$F$11,0)</f>
        <v/>
      </c>
      <c r="U549" s="32">
        <f>R549-T549</f>
        <v/>
      </c>
      <c r="V549">
        <f>XLOOKUP(I549,Lookups!$H$7:$H$10,Lookups!$I$7:$I$10,"")</f>
        <v/>
      </c>
      <c r="W549">
        <f>IF(O549&gt;=50000,"HIGH VALUE","")</f>
        <v/>
      </c>
      <c r="X549">
        <f>IF(Q549&lt;0,"LOSS","")</f>
        <v/>
      </c>
      <c r="Y549">
        <f>IFS(M549&gt;=0.15,"Deep Discount",M549&gt;=0.1,"Moderate",TRUE,"Standard")</f>
        <v/>
      </c>
    </row>
    <row r="550">
      <c r="A550">
        <f>Raw_Data!A550</f>
        <v/>
      </c>
      <c r="B550" s="29">
        <f>Raw_Data!B550</f>
        <v/>
      </c>
      <c r="C550">
        <f>YEAR(B550)</f>
        <v/>
      </c>
      <c r="D550">
        <f>MONTH(B550)</f>
        <v/>
      </c>
      <c r="E550">
        <f>TEXT(B550,"MMM-YYYY")</f>
        <v/>
      </c>
      <c r="F550">
        <f>Raw_Data!C550</f>
        <v/>
      </c>
      <c r="G550">
        <f>Raw_Data!D550</f>
        <v/>
      </c>
      <c r="H550">
        <f>Raw_Data!E550</f>
        <v/>
      </c>
      <c r="I550">
        <f>Raw_Data!F550</f>
        <v/>
      </c>
      <c r="J550">
        <f>Raw_Data!G550</f>
        <v/>
      </c>
      <c r="K550">
        <f>Raw_Data!H550</f>
        <v/>
      </c>
      <c r="L550" s="30">
        <f>Raw_Data!I550</f>
        <v/>
      </c>
      <c r="M550" s="31">
        <f>Raw_Data!J550</f>
        <v/>
      </c>
      <c r="N550" s="17">
        <f>K550*L550</f>
        <v/>
      </c>
      <c r="O550" s="17">
        <f>N550*(1-M550)</f>
        <v/>
      </c>
      <c r="P550" s="17">
        <f>Raw_Data!L550</f>
        <v/>
      </c>
      <c r="Q550" s="17">
        <f>O550-P550</f>
        <v/>
      </c>
      <c r="R550" s="31">
        <f>IF(O550=0,0,Q550/O550)</f>
        <v/>
      </c>
      <c r="S550">
        <f>XLOOKUP(F550,Lookups!$B$7:$B$11,Lookups!$C$7:$C$11,"Unknown")</f>
        <v/>
      </c>
      <c r="T550" s="31">
        <f>XLOOKUP(G550,Lookups!$E$7:$E$11,Lookups!$F$7:$F$11,0)</f>
        <v/>
      </c>
      <c r="U550" s="32">
        <f>R550-T550</f>
        <v/>
      </c>
      <c r="V550">
        <f>XLOOKUP(I550,Lookups!$H$7:$H$10,Lookups!$I$7:$I$10,"")</f>
        <v/>
      </c>
      <c r="W550">
        <f>IF(O550&gt;=50000,"HIGH VALUE","")</f>
        <v/>
      </c>
      <c r="X550">
        <f>IF(Q550&lt;0,"LOSS","")</f>
        <v/>
      </c>
      <c r="Y550">
        <f>IFS(M550&gt;=0.15,"Deep Discount",M550&gt;=0.1,"Moderate",TRUE,"Standard")</f>
        <v/>
      </c>
    </row>
    <row r="551">
      <c r="A551">
        <f>Raw_Data!A551</f>
        <v/>
      </c>
      <c r="B551" s="29">
        <f>Raw_Data!B551</f>
        <v/>
      </c>
      <c r="C551">
        <f>YEAR(B551)</f>
        <v/>
      </c>
      <c r="D551">
        <f>MONTH(B551)</f>
        <v/>
      </c>
      <c r="E551">
        <f>TEXT(B551,"MMM-YYYY")</f>
        <v/>
      </c>
      <c r="F551">
        <f>Raw_Data!C551</f>
        <v/>
      </c>
      <c r="G551">
        <f>Raw_Data!D551</f>
        <v/>
      </c>
      <c r="H551">
        <f>Raw_Data!E551</f>
        <v/>
      </c>
      <c r="I551">
        <f>Raw_Data!F551</f>
        <v/>
      </c>
      <c r="J551">
        <f>Raw_Data!G551</f>
        <v/>
      </c>
      <c r="K551">
        <f>Raw_Data!H551</f>
        <v/>
      </c>
      <c r="L551" s="30">
        <f>Raw_Data!I551</f>
        <v/>
      </c>
      <c r="M551" s="31">
        <f>Raw_Data!J551</f>
        <v/>
      </c>
      <c r="N551" s="17">
        <f>K551*L551</f>
        <v/>
      </c>
      <c r="O551" s="17">
        <f>N551*(1-M551)</f>
        <v/>
      </c>
      <c r="P551" s="17">
        <f>Raw_Data!L551</f>
        <v/>
      </c>
      <c r="Q551" s="17">
        <f>O551-P551</f>
        <v/>
      </c>
      <c r="R551" s="31">
        <f>IF(O551=0,0,Q551/O551)</f>
        <v/>
      </c>
      <c r="S551">
        <f>XLOOKUP(F551,Lookups!$B$7:$B$11,Lookups!$C$7:$C$11,"Unknown")</f>
        <v/>
      </c>
      <c r="T551" s="31">
        <f>XLOOKUP(G551,Lookups!$E$7:$E$11,Lookups!$F$7:$F$11,0)</f>
        <v/>
      </c>
      <c r="U551" s="32">
        <f>R551-T551</f>
        <v/>
      </c>
      <c r="V551">
        <f>XLOOKUP(I551,Lookups!$H$7:$H$10,Lookups!$I$7:$I$10,"")</f>
        <v/>
      </c>
      <c r="W551">
        <f>IF(O551&gt;=50000,"HIGH VALUE","")</f>
        <v/>
      </c>
      <c r="X551">
        <f>IF(Q551&lt;0,"LOSS","")</f>
        <v/>
      </c>
      <c r="Y551">
        <f>IFS(M551&gt;=0.15,"Deep Discount",M551&gt;=0.1,"Moderate",TRUE,"Standard")</f>
        <v/>
      </c>
    </row>
    <row r="552">
      <c r="A552">
        <f>Raw_Data!A552</f>
        <v/>
      </c>
      <c r="B552" s="29">
        <f>Raw_Data!B552</f>
        <v/>
      </c>
      <c r="C552">
        <f>YEAR(B552)</f>
        <v/>
      </c>
      <c r="D552">
        <f>MONTH(B552)</f>
        <v/>
      </c>
      <c r="E552">
        <f>TEXT(B552,"MMM-YYYY")</f>
        <v/>
      </c>
      <c r="F552">
        <f>Raw_Data!C552</f>
        <v/>
      </c>
      <c r="G552">
        <f>Raw_Data!D552</f>
        <v/>
      </c>
      <c r="H552">
        <f>Raw_Data!E552</f>
        <v/>
      </c>
      <c r="I552">
        <f>Raw_Data!F552</f>
        <v/>
      </c>
      <c r="J552">
        <f>Raw_Data!G552</f>
        <v/>
      </c>
      <c r="K552">
        <f>Raw_Data!H552</f>
        <v/>
      </c>
      <c r="L552" s="30">
        <f>Raw_Data!I552</f>
        <v/>
      </c>
      <c r="M552" s="31">
        <f>Raw_Data!J552</f>
        <v/>
      </c>
      <c r="N552" s="17">
        <f>K552*L552</f>
        <v/>
      </c>
      <c r="O552" s="17">
        <f>N552*(1-M552)</f>
        <v/>
      </c>
      <c r="P552" s="17">
        <f>Raw_Data!L552</f>
        <v/>
      </c>
      <c r="Q552" s="17">
        <f>O552-P552</f>
        <v/>
      </c>
      <c r="R552" s="31">
        <f>IF(O552=0,0,Q552/O552)</f>
        <v/>
      </c>
      <c r="S552">
        <f>XLOOKUP(F552,Lookups!$B$7:$B$11,Lookups!$C$7:$C$11,"Unknown")</f>
        <v/>
      </c>
      <c r="T552" s="31">
        <f>XLOOKUP(G552,Lookups!$E$7:$E$11,Lookups!$F$7:$F$11,0)</f>
        <v/>
      </c>
      <c r="U552" s="32">
        <f>R552-T552</f>
        <v/>
      </c>
      <c r="V552">
        <f>XLOOKUP(I552,Lookups!$H$7:$H$10,Lookups!$I$7:$I$10,"")</f>
        <v/>
      </c>
      <c r="W552">
        <f>IF(O552&gt;=50000,"HIGH VALUE","")</f>
        <v/>
      </c>
      <c r="X552">
        <f>IF(Q552&lt;0,"LOSS","")</f>
        <v/>
      </c>
      <c r="Y552">
        <f>IFS(M552&gt;=0.15,"Deep Discount",M552&gt;=0.1,"Moderate",TRUE,"Standard")</f>
        <v/>
      </c>
    </row>
    <row r="553">
      <c r="A553">
        <f>Raw_Data!A553</f>
        <v/>
      </c>
      <c r="B553" s="29">
        <f>Raw_Data!B553</f>
        <v/>
      </c>
      <c r="C553">
        <f>YEAR(B553)</f>
        <v/>
      </c>
      <c r="D553">
        <f>MONTH(B553)</f>
        <v/>
      </c>
      <c r="E553">
        <f>TEXT(B553,"MMM-YYYY")</f>
        <v/>
      </c>
      <c r="F553">
        <f>Raw_Data!C553</f>
        <v/>
      </c>
      <c r="G553">
        <f>Raw_Data!D553</f>
        <v/>
      </c>
      <c r="H553">
        <f>Raw_Data!E553</f>
        <v/>
      </c>
      <c r="I553">
        <f>Raw_Data!F553</f>
        <v/>
      </c>
      <c r="J553">
        <f>Raw_Data!G553</f>
        <v/>
      </c>
      <c r="K553">
        <f>Raw_Data!H553</f>
        <v/>
      </c>
      <c r="L553" s="30">
        <f>Raw_Data!I553</f>
        <v/>
      </c>
      <c r="M553" s="31">
        <f>Raw_Data!J553</f>
        <v/>
      </c>
      <c r="N553" s="17">
        <f>K553*L553</f>
        <v/>
      </c>
      <c r="O553" s="17">
        <f>N553*(1-M553)</f>
        <v/>
      </c>
      <c r="P553" s="17">
        <f>Raw_Data!L553</f>
        <v/>
      </c>
      <c r="Q553" s="17">
        <f>O553-P553</f>
        <v/>
      </c>
      <c r="R553" s="31">
        <f>IF(O553=0,0,Q553/O553)</f>
        <v/>
      </c>
      <c r="S553">
        <f>XLOOKUP(F553,Lookups!$B$7:$B$11,Lookups!$C$7:$C$11,"Unknown")</f>
        <v/>
      </c>
      <c r="T553" s="31">
        <f>XLOOKUP(G553,Lookups!$E$7:$E$11,Lookups!$F$7:$F$11,0)</f>
        <v/>
      </c>
      <c r="U553" s="32">
        <f>R553-T553</f>
        <v/>
      </c>
      <c r="V553">
        <f>XLOOKUP(I553,Lookups!$H$7:$H$10,Lookups!$I$7:$I$10,"")</f>
        <v/>
      </c>
      <c r="W553">
        <f>IF(O553&gt;=50000,"HIGH VALUE","")</f>
        <v/>
      </c>
      <c r="X553">
        <f>IF(Q553&lt;0,"LOSS","")</f>
        <v/>
      </c>
      <c r="Y553">
        <f>IFS(M553&gt;=0.15,"Deep Discount",M553&gt;=0.1,"Moderate",TRUE,"Standard")</f>
        <v/>
      </c>
    </row>
    <row r="554">
      <c r="A554">
        <f>Raw_Data!A554</f>
        <v/>
      </c>
      <c r="B554" s="29">
        <f>Raw_Data!B554</f>
        <v/>
      </c>
      <c r="C554">
        <f>YEAR(B554)</f>
        <v/>
      </c>
      <c r="D554">
        <f>MONTH(B554)</f>
        <v/>
      </c>
      <c r="E554">
        <f>TEXT(B554,"MMM-YYYY")</f>
        <v/>
      </c>
      <c r="F554">
        <f>Raw_Data!C554</f>
        <v/>
      </c>
      <c r="G554">
        <f>Raw_Data!D554</f>
        <v/>
      </c>
      <c r="H554">
        <f>Raw_Data!E554</f>
        <v/>
      </c>
      <c r="I554">
        <f>Raw_Data!F554</f>
        <v/>
      </c>
      <c r="J554">
        <f>Raw_Data!G554</f>
        <v/>
      </c>
      <c r="K554">
        <f>Raw_Data!H554</f>
        <v/>
      </c>
      <c r="L554" s="30">
        <f>Raw_Data!I554</f>
        <v/>
      </c>
      <c r="M554" s="31">
        <f>Raw_Data!J554</f>
        <v/>
      </c>
      <c r="N554" s="17">
        <f>K554*L554</f>
        <v/>
      </c>
      <c r="O554" s="17">
        <f>N554*(1-M554)</f>
        <v/>
      </c>
      <c r="P554" s="17">
        <f>Raw_Data!L554</f>
        <v/>
      </c>
      <c r="Q554" s="17">
        <f>O554-P554</f>
        <v/>
      </c>
      <c r="R554" s="31">
        <f>IF(O554=0,0,Q554/O554)</f>
        <v/>
      </c>
      <c r="S554">
        <f>XLOOKUP(F554,Lookups!$B$7:$B$11,Lookups!$C$7:$C$11,"Unknown")</f>
        <v/>
      </c>
      <c r="T554" s="31">
        <f>XLOOKUP(G554,Lookups!$E$7:$E$11,Lookups!$F$7:$F$11,0)</f>
        <v/>
      </c>
      <c r="U554" s="32">
        <f>R554-T554</f>
        <v/>
      </c>
      <c r="V554">
        <f>XLOOKUP(I554,Lookups!$H$7:$H$10,Lookups!$I$7:$I$10,"")</f>
        <v/>
      </c>
      <c r="W554">
        <f>IF(O554&gt;=50000,"HIGH VALUE","")</f>
        <v/>
      </c>
      <c r="X554">
        <f>IF(Q554&lt;0,"LOSS","")</f>
        <v/>
      </c>
      <c r="Y554">
        <f>IFS(M554&gt;=0.15,"Deep Discount",M554&gt;=0.1,"Moderate",TRUE,"Standard")</f>
        <v/>
      </c>
    </row>
    <row r="555">
      <c r="A555">
        <f>Raw_Data!A555</f>
        <v/>
      </c>
      <c r="B555" s="29">
        <f>Raw_Data!B555</f>
        <v/>
      </c>
      <c r="C555">
        <f>YEAR(B555)</f>
        <v/>
      </c>
      <c r="D555">
        <f>MONTH(B555)</f>
        <v/>
      </c>
      <c r="E555">
        <f>TEXT(B555,"MMM-YYYY")</f>
        <v/>
      </c>
      <c r="F555">
        <f>Raw_Data!C555</f>
        <v/>
      </c>
      <c r="G555">
        <f>Raw_Data!D555</f>
        <v/>
      </c>
      <c r="H555">
        <f>Raw_Data!E555</f>
        <v/>
      </c>
      <c r="I555">
        <f>Raw_Data!F555</f>
        <v/>
      </c>
      <c r="J555">
        <f>Raw_Data!G555</f>
        <v/>
      </c>
      <c r="K555">
        <f>Raw_Data!H555</f>
        <v/>
      </c>
      <c r="L555" s="30">
        <f>Raw_Data!I555</f>
        <v/>
      </c>
      <c r="M555" s="31">
        <f>Raw_Data!J555</f>
        <v/>
      </c>
      <c r="N555" s="17">
        <f>K555*L555</f>
        <v/>
      </c>
      <c r="O555" s="17">
        <f>N555*(1-M555)</f>
        <v/>
      </c>
      <c r="P555" s="17">
        <f>Raw_Data!L555</f>
        <v/>
      </c>
      <c r="Q555" s="17">
        <f>O555-P555</f>
        <v/>
      </c>
      <c r="R555" s="31">
        <f>IF(O555=0,0,Q555/O555)</f>
        <v/>
      </c>
      <c r="S555">
        <f>XLOOKUP(F555,Lookups!$B$7:$B$11,Lookups!$C$7:$C$11,"Unknown")</f>
        <v/>
      </c>
      <c r="T555" s="31">
        <f>XLOOKUP(G555,Lookups!$E$7:$E$11,Lookups!$F$7:$F$11,0)</f>
        <v/>
      </c>
      <c r="U555" s="32">
        <f>R555-T555</f>
        <v/>
      </c>
      <c r="V555">
        <f>XLOOKUP(I555,Lookups!$H$7:$H$10,Lookups!$I$7:$I$10,"")</f>
        <v/>
      </c>
      <c r="W555">
        <f>IF(O555&gt;=50000,"HIGH VALUE","")</f>
        <v/>
      </c>
      <c r="X555">
        <f>IF(Q555&lt;0,"LOSS","")</f>
        <v/>
      </c>
      <c r="Y555">
        <f>IFS(M555&gt;=0.15,"Deep Discount",M555&gt;=0.1,"Moderate",TRUE,"Standard")</f>
        <v/>
      </c>
    </row>
    <row r="556">
      <c r="A556">
        <f>Raw_Data!A556</f>
        <v/>
      </c>
      <c r="B556" s="29">
        <f>Raw_Data!B556</f>
        <v/>
      </c>
      <c r="C556">
        <f>YEAR(B556)</f>
        <v/>
      </c>
      <c r="D556">
        <f>MONTH(B556)</f>
        <v/>
      </c>
      <c r="E556">
        <f>TEXT(B556,"MMM-YYYY")</f>
        <v/>
      </c>
      <c r="F556">
        <f>Raw_Data!C556</f>
        <v/>
      </c>
      <c r="G556">
        <f>Raw_Data!D556</f>
        <v/>
      </c>
      <c r="H556">
        <f>Raw_Data!E556</f>
        <v/>
      </c>
      <c r="I556">
        <f>Raw_Data!F556</f>
        <v/>
      </c>
      <c r="J556">
        <f>Raw_Data!G556</f>
        <v/>
      </c>
      <c r="K556">
        <f>Raw_Data!H556</f>
        <v/>
      </c>
      <c r="L556" s="30">
        <f>Raw_Data!I556</f>
        <v/>
      </c>
      <c r="M556" s="31">
        <f>Raw_Data!J556</f>
        <v/>
      </c>
      <c r="N556" s="17">
        <f>K556*L556</f>
        <v/>
      </c>
      <c r="O556" s="17">
        <f>N556*(1-M556)</f>
        <v/>
      </c>
      <c r="P556" s="17">
        <f>Raw_Data!L556</f>
        <v/>
      </c>
      <c r="Q556" s="17">
        <f>O556-P556</f>
        <v/>
      </c>
      <c r="R556" s="31">
        <f>IF(O556=0,0,Q556/O556)</f>
        <v/>
      </c>
      <c r="S556">
        <f>XLOOKUP(F556,Lookups!$B$7:$B$11,Lookups!$C$7:$C$11,"Unknown")</f>
        <v/>
      </c>
      <c r="T556" s="31">
        <f>XLOOKUP(G556,Lookups!$E$7:$E$11,Lookups!$F$7:$F$11,0)</f>
        <v/>
      </c>
      <c r="U556" s="32">
        <f>R556-T556</f>
        <v/>
      </c>
      <c r="V556">
        <f>XLOOKUP(I556,Lookups!$H$7:$H$10,Lookups!$I$7:$I$10,"")</f>
        <v/>
      </c>
      <c r="W556">
        <f>IF(O556&gt;=50000,"HIGH VALUE","")</f>
        <v/>
      </c>
      <c r="X556">
        <f>IF(Q556&lt;0,"LOSS","")</f>
        <v/>
      </c>
      <c r="Y556">
        <f>IFS(M556&gt;=0.15,"Deep Discount",M556&gt;=0.1,"Moderate",TRUE,"Standard")</f>
        <v/>
      </c>
    </row>
    <row r="557">
      <c r="A557">
        <f>Raw_Data!A557</f>
        <v/>
      </c>
      <c r="B557" s="29">
        <f>Raw_Data!B557</f>
        <v/>
      </c>
      <c r="C557">
        <f>YEAR(B557)</f>
        <v/>
      </c>
      <c r="D557">
        <f>MONTH(B557)</f>
        <v/>
      </c>
      <c r="E557">
        <f>TEXT(B557,"MMM-YYYY")</f>
        <v/>
      </c>
      <c r="F557">
        <f>Raw_Data!C557</f>
        <v/>
      </c>
      <c r="G557">
        <f>Raw_Data!D557</f>
        <v/>
      </c>
      <c r="H557">
        <f>Raw_Data!E557</f>
        <v/>
      </c>
      <c r="I557">
        <f>Raw_Data!F557</f>
        <v/>
      </c>
      <c r="J557">
        <f>Raw_Data!G557</f>
        <v/>
      </c>
      <c r="K557">
        <f>Raw_Data!H557</f>
        <v/>
      </c>
      <c r="L557" s="30">
        <f>Raw_Data!I557</f>
        <v/>
      </c>
      <c r="M557" s="31">
        <f>Raw_Data!J557</f>
        <v/>
      </c>
      <c r="N557" s="17">
        <f>K557*L557</f>
        <v/>
      </c>
      <c r="O557" s="17">
        <f>N557*(1-M557)</f>
        <v/>
      </c>
      <c r="P557" s="17">
        <f>Raw_Data!L557</f>
        <v/>
      </c>
      <c r="Q557" s="17">
        <f>O557-P557</f>
        <v/>
      </c>
      <c r="R557" s="31">
        <f>IF(O557=0,0,Q557/O557)</f>
        <v/>
      </c>
      <c r="S557">
        <f>XLOOKUP(F557,Lookups!$B$7:$B$11,Lookups!$C$7:$C$11,"Unknown")</f>
        <v/>
      </c>
      <c r="T557" s="31">
        <f>XLOOKUP(G557,Lookups!$E$7:$E$11,Lookups!$F$7:$F$11,0)</f>
        <v/>
      </c>
      <c r="U557" s="32">
        <f>R557-T557</f>
        <v/>
      </c>
      <c r="V557">
        <f>XLOOKUP(I557,Lookups!$H$7:$H$10,Lookups!$I$7:$I$10,"")</f>
        <v/>
      </c>
      <c r="W557">
        <f>IF(O557&gt;=50000,"HIGH VALUE","")</f>
        <v/>
      </c>
      <c r="X557">
        <f>IF(Q557&lt;0,"LOSS","")</f>
        <v/>
      </c>
      <c r="Y557">
        <f>IFS(M557&gt;=0.15,"Deep Discount",M557&gt;=0.1,"Moderate",TRUE,"Standard")</f>
        <v/>
      </c>
    </row>
    <row r="558">
      <c r="A558">
        <f>Raw_Data!A558</f>
        <v/>
      </c>
      <c r="B558" s="29">
        <f>Raw_Data!B558</f>
        <v/>
      </c>
      <c r="C558">
        <f>YEAR(B558)</f>
        <v/>
      </c>
      <c r="D558">
        <f>MONTH(B558)</f>
        <v/>
      </c>
      <c r="E558">
        <f>TEXT(B558,"MMM-YYYY")</f>
        <v/>
      </c>
      <c r="F558">
        <f>Raw_Data!C558</f>
        <v/>
      </c>
      <c r="G558">
        <f>Raw_Data!D558</f>
        <v/>
      </c>
      <c r="H558">
        <f>Raw_Data!E558</f>
        <v/>
      </c>
      <c r="I558">
        <f>Raw_Data!F558</f>
        <v/>
      </c>
      <c r="J558">
        <f>Raw_Data!G558</f>
        <v/>
      </c>
      <c r="K558">
        <f>Raw_Data!H558</f>
        <v/>
      </c>
      <c r="L558" s="30">
        <f>Raw_Data!I558</f>
        <v/>
      </c>
      <c r="M558" s="31">
        <f>Raw_Data!J558</f>
        <v/>
      </c>
      <c r="N558" s="17">
        <f>K558*L558</f>
        <v/>
      </c>
      <c r="O558" s="17">
        <f>N558*(1-M558)</f>
        <v/>
      </c>
      <c r="P558" s="17">
        <f>Raw_Data!L558</f>
        <v/>
      </c>
      <c r="Q558" s="17">
        <f>O558-P558</f>
        <v/>
      </c>
      <c r="R558" s="31">
        <f>IF(O558=0,0,Q558/O558)</f>
        <v/>
      </c>
      <c r="S558">
        <f>XLOOKUP(F558,Lookups!$B$7:$B$11,Lookups!$C$7:$C$11,"Unknown")</f>
        <v/>
      </c>
      <c r="T558" s="31">
        <f>XLOOKUP(G558,Lookups!$E$7:$E$11,Lookups!$F$7:$F$11,0)</f>
        <v/>
      </c>
      <c r="U558" s="32">
        <f>R558-T558</f>
        <v/>
      </c>
      <c r="V558">
        <f>XLOOKUP(I558,Lookups!$H$7:$H$10,Lookups!$I$7:$I$10,"")</f>
        <v/>
      </c>
      <c r="W558">
        <f>IF(O558&gt;=50000,"HIGH VALUE","")</f>
        <v/>
      </c>
      <c r="X558">
        <f>IF(Q558&lt;0,"LOSS","")</f>
        <v/>
      </c>
      <c r="Y558">
        <f>IFS(M558&gt;=0.15,"Deep Discount",M558&gt;=0.1,"Moderate",TRUE,"Standard")</f>
        <v/>
      </c>
    </row>
    <row r="559">
      <c r="A559">
        <f>Raw_Data!A559</f>
        <v/>
      </c>
      <c r="B559" s="29">
        <f>Raw_Data!B559</f>
        <v/>
      </c>
      <c r="C559">
        <f>YEAR(B559)</f>
        <v/>
      </c>
      <c r="D559">
        <f>MONTH(B559)</f>
        <v/>
      </c>
      <c r="E559">
        <f>TEXT(B559,"MMM-YYYY")</f>
        <v/>
      </c>
      <c r="F559">
        <f>Raw_Data!C559</f>
        <v/>
      </c>
      <c r="G559">
        <f>Raw_Data!D559</f>
        <v/>
      </c>
      <c r="H559">
        <f>Raw_Data!E559</f>
        <v/>
      </c>
      <c r="I559">
        <f>Raw_Data!F559</f>
        <v/>
      </c>
      <c r="J559">
        <f>Raw_Data!G559</f>
        <v/>
      </c>
      <c r="K559">
        <f>Raw_Data!H559</f>
        <v/>
      </c>
      <c r="L559" s="30">
        <f>Raw_Data!I559</f>
        <v/>
      </c>
      <c r="M559" s="31">
        <f>Raw_Data!J559</f>
        <v/>
      </c>
      <c r="N559" s="17">
        <f>K559*L559</f>
        <v/>
      </c>
      <c r="O559" s="17">
        <f>N559*(1-M559)</f>
        <v/>
      </c>
      <c r="P559" s="17">
        <f>Raw_Data!L559</f>
        <v/>
      </c>
      <c r="Q559" s="17">
        <f>O559-P559</f>
        <v/>
      </c>
      <c r="R559" s="31">
        <f>IF(O559=0,0,Q559/O559)</f>
        <v/>
      </c>
      <c r="S559">
        <f>XLOOKUP(F559,Lookups!$B$7:$B$11,Lookups!$C$7:$C$11,"Unknown")</f>
        <v/>
      </c>
      <c r="T559" s="31">
        <f>XLOOKUP(G559,Lookups!$E$7:$E$11,Lookups!$F$7:$F$11,0)</f>
        <v/>
      </c>
      <c r="U559" s="32">
        <f>R559-T559</f>
        <v/>
      </c>
      <c r="V559">
        <f>XLOOKUP(I559,Lookups!$H$7:$H$10,Lookups!$I$7:$I$10,"")</f>
        <v/>
      </c>
      <c r="W559">
        <f>IF(O559&gt;=50000,"HIGH VALUE","")</f>
        <v/>
      </c>
      <c r="X559">
        <f>IF(Q559&lt;0,"LOSS","")</f>
        <v/>
      </c>
      <c r="Y559">
        <f>IFS(M559&gt;=0.15,"Deep Discount",M559&gt;=0.1,"Moderate",TRUE,"Standard")</f>
        <v/>
      </c>
    </row>
    <row r="560">
      <c r="A560">
        <f>Raw_Data!A560</f>
        <v/>
      </c>
      <c r="B560" s="29">
        <f>Raw_Data!B560</f>
        <v/>
      </c>
      <c r="C560">
        <f>YEAR(B560)</f>
        <v/>
      </c>
      <c r="D560">
        <f>MONTH(B560)</f>
        <v/>
      </c>
      <c r="E560">
        <f>TEXT(B560,"MMM-YYYY")</f>
        <v/>
      </c>
      <c r="F560">
        <f>Raw_Data!C560</f>
        <v/>
      </c>
      <c r="G560">
        <f>Raw_Data!D560</f>
        <v/>
      </c>
      <c r="H560">
        <f>Raw_Data!E560</f>
        <v/>
      </c>
      <c r="I560">
        <f>Raw_Data!F560</f>
        <v/>
      </c>
      <c r="J560">
        <f>Raw_Data!G560</f>
        <v/>
      </c>
      <c r="K560">
        <f>Raw_Data!H560</f>
        <v/>
      </c>
      <c r="L560" s="30">
        <f>Raw_Data!I560</f>
        <v/>
      </c>
      <c r="M560" s="31">
        <f>Raw_Data!J560</f>
        <v/>
      </c>
      <c r="N560" s="17">
        <f>K560*L560</f>
        <v/>
      </c>
      <c r="O560" s="17">
        <f>N560*(1-M560)</f>
        <v/>
      </c>
      <c r="P560" s="17">
        <f>Raw_Data!L560</f>
        <v/>
      </c>
      <c r="Q560" s="17">
        <f>O560-P560</f>
        <v/>
      </c>
      <c r="R560" s="31">
        <f>IF(O560=0,0,Q560/O560)</f>
        <v/>
      </c>
      <c r="S560">
        <f>XLOOKUP(F560,Lookups!$B$7:$B$11,Lookups!$C$7:$C$11,"Unknown")</f>
        <v/>
      </c>
      <c r="T560" s="31">
        <f>XLOOKUP(G560,Lookups!$E$7:$E$11,Lookups!$F$7:$F$11,0)</f>
        <v/>
      </c>
      <c r="U560" s="32">
        <f>R560-T560</f>
        <v/>
      </c>
      <c r="V560">
        <f>XLOOKUP(I560,Lookups!$H$7:$H$10,Lookups!$I$7:$I$10,"")</f>
        <v/>
      </c>
      <c r="W560">
        <f>IF(O560&gt;=50000,"HIGH VALUE","")</f>
        <v/>
      </c>
      <c r="X560">
        <f>IF(Q560&lt;0,"LOSS","")</f>
        <v/>
      </c>
      <c r="Y560">
        <f>IFS(M560&gt;=0.15,"Deep Discount",M560&gt;=0.1,"Moderate",TRUE,"Standard")</f>
        <v/>
      </c>
    </row>
    <row r="561">
      <c r="A561">
        <f>Raw_Data!A561</f>
        <v/>
      </c>
      <c r="B561" s="29">
        <f>Raw_Data!B561</f>
        <v/>
      </c>
      <c r="C561">
        <f>YEAR(B561)</f>
        <v/>
      </c>
      <c r="D561">
        <f>MONTH(B561)</f>
        <v/>
      </c>
      <c r="E561">
        <f>TEXT(B561,"MMM-YYYY")</f>
        <v/>
      </c>
      <c r="F561">
        <f>Raw_Data!C561</f>
        <v/>
      </c>
      <c r="G561">
        <f>Raw_Data!D561</f>
        <v/>
      </c>
      <c r="H561">
        <f>Raw_Data!E561</f>
        <v/>
      </c>
      <c r="I561">
        <f>Raw_Data!F561</f>
        <v/>
      </c>
      <c r="J561">
        <f>Raw_Data!G561</f>
        <v/>
      </c>
      <c r="K561">
        <f>Raw_Data!H561</f>
        <v/>
      </c>
      <c r="L561" s="30">
        <f>Raw_Data!I561</f>
        <v/>
      </c>
      <c r="M561" s="31">
        <f>Raw_Data!J561</f>
        <v/>
      </c>
      <c r="N561" s="17">
        <f>K561*L561</f>
        <v/>
      </c>
      <c r="O561" s="17">
        <f>N561*(1-M561)</f>
        <v/>
      </c>
      <c r="P561" s="17">
        <f>Raw_Data!L561</f>
        <v/>
      </c>
      <c r="Q561" s="17">
        <f>O561-P561</f>
        <v/>
      </c>
      <c r="R561" s="31">
        <f>IF(O561=0,0,Q561/O561)</f>
        <v/>
      </c>
      <c r="S561">
        <f>XLOOKUP(F561,Lookups!$B$7:$B$11,Lookups!$C$7:$C$11,"Unknown")</f>
        <v/>
      </c>
      <c r="T561" s="31">
        <f>XLOOKUP(G561,Lookups!$E$7:$E$11,Lookups!$F$7:$F$11,0)</f>
        <v/>
      </c>
      <c r="U561" s="32">
        <f>R561-T561</f>
        <v/>
      </c>
      <c r="V561">
        <f>XLOOKUP(I561,Lookups!$H$7:$H$10,Lookups!$I$7:$I$10,"")</f>
        <v/>
      </c>
      <c r="W561">
        <f>IF(O561&gt;=50000,"HIGH VALUE","")</f>
        <v/>
      </c>
      <c r="X561">
        <f>IF(Q561&lt;0,"LOSS","")</f>
        <v/>
      </c>
      <c r="Y561">
        <f>IFS(M561&gt;=0.15,"Deep Discount",M561&gt;=0.1,"Moderate",TRUE,"Standard")</f>
        <v/>
      </c>
    </row>
    <row r="562">
      <c r="A562">
        <f>Raw_Data!A562</f>
        <v/>
      </c>
      <c r="B562" s="29">
        <f>Raw_Data!B562</f>
        <v/>
      </c>
      <c r="C562">
        <f>YEAR(B562)</f>
        <v/>
      </c>
      <c r="D562">
        <f>MONTH(B562)</f>
        <v/>
      </c>
      <c r="E562">
        <f>TEXT(B562,"MMM-YYYY")</f>
        <v/>
      </c>
      <c r="F562">
        <f>Raw_Data!C562</f>
        <v/>
      </c>
      <c r="G562">
        <f>Raw_Data!D562</f>
        <v/>
      </c>
      <c r="H562">
        <f>Raw_Data!E562</f>
        <v/>
      </c>
      <c r="I562">
        <f>Raw_Data!F562</f>
        <v/>
      </c>
      <c r="J562">
        <f>Raw_Data!G562</f>
        <v/>
      </c>
      <c r="K562">
        <f>Raw_Data!H562</f>
        <v/>
      </c>
      <c r="L562" s="30">
        <f>Raw_Data!I562</f>
        <v/>
      </c>
      <c r="M562" s="31">
        <f>Raw_Data!J562</f>
        <v/>
      </c>
      <c r="N562" s="17">
        <f>K562*L562</f>
        <v/>
      </c>
      <c r="O562" s="17">
        <f>N562*(1-M562)</f>
        <v/>
      </c>
      <c r="P562" s="17">
        <f>Raw_Data!L562</f>
        <v/>
      </c>
      <c r="Q562" s="17">
        <f>O562-P562</f>
        <v/>
      </c>
      <c r="R562" s="31">
        <f>IF(O562=0,0,Q562/O562)</f>
        <v/>
      </c>
      <c r="S562">
        <f>XLOOKUP(F562,Lookups!$B$7:$B$11,Lookups!$C$7:$C$11,"Unknown")</f>
        <v/>
      </c>
      <c r="T562" s="31">
        <f>XLOOKUP(G562,Lookups!$E$7:$E$11,Lookups!$F$7:$F$11,0)</f>
        <v/>
      </c>
      <c r="U562" s="32">
        <f>R562-T562</f>
        <v/>
      </c>
      <c r="V562">
        <f>XLOOKUP(I562,Lookups!$H$7:$H$10,Lookups!$I$7:$I$10,"")</f>
        <v/>
      </c>
      <c r="W562">
        <f>IF(O562&gt;=50000,"HIGH VALUE","")</f>
        <v/>
      </c>
      <c r="X562">
        <f>IF(Q562&lt;0,"LOSS","")</f>
        <v/>
      </c>
      <c r="Y562">
        <f>IFS(M562&gt;=0.15,"Deep Discount",M562&gt;=0.1,"Moderate",TRUE,"Standard")</f>
        <v/>
      </c>
    </row>
    <row r="563">
      <c r="A563">
        <f>Raw_Data!A563</f>
        <v/>
      </c>
      <c r="B563" s="29">
        <f>Raw_Data!B563</f>
        <v/>
      </c>
      <c r="C563">
        <f>YEAR(B563)</f>
        <v/>
      </c>
      <c r="D563">
        <f>MONTH(B563)</f>
        <v/>
      </c>
      <c r="E563">
        <f>TEXT(B563,"MMM-YYYY")</f>
        <v/>
      </c>
      <c r="F563">
        <f>Raw_Data!C563</f>
        <v/>
      </c>
      <c r="G563">
        <f>Raw_Data!D563</f>
        <v/>
      </c>
      <c r="H563">
        <f>Raw_Data!E563</f>
        <v/>
      </c>
      <c r="I563">
        <f>Raw_Data!F563</f>
        <v/>
      </c>
      <c r="J563">
        <f>Raw_Data!G563</f>
        <v/>
      </c>
      <c r="K563">
        <f>Raw_Data!H563</f>
        <v/>
      </c>
      <c r="L563" s="30">
        <f>Raw_Data!I563</f>
        <v/>
      </c>
      <c r="M563" s="31">
        <f>Raw_Data!J563</f>
        <v/>
      </c>
      <c r="N563" s="17">
        <f>K563*L563</f>
        <v/>
      </c>
      <c r="O563" s="17">
        <f>N563*(1-M563)</f>
        <v/>
      </c>
      <c r="P563" s="17">
        <f>Raw_Data!L563</f>
        <v/>
      </c>
      <c r="Q563" s="17">
        <f>O563-P563</f>
        <v/>
      </c>
      <c r="R563" s="31">
        <f>IF(O563=0,0,Q563/O563)</f>
        <v/>
      </c>
      <c r="S563">
        <f>XLOOKUP(F563,Lookups!$B$7:$B$11,Lookups!$C$7:$C$11,"Unknown")</f>
        <v/>
      </c>
      <c r="T563" s="31">
        <f>XLOOKUP(G563,Lookups!$E$7:$E$11,Lookups!$F$7:$F$11,0)</f>
        <v/>
      </c>
      <c r="U563" s="32">
        <f>R563-T563</f>
        <v/>
      </c>
      <c r="V563">
        <f>XLOOKUP(I563,Lookups!$H$7:$H$10,Lookups!$I$7:$I$10,"")</f>
        <v/>
      </c>
      <c r="W563">
        <f>IF(O563&gt;=50000,"HIGH VALUE","")</f>
        <v/>
      </c>
      <c r="X563">
        <f>IF(Q563&lt;0,"LOSS","")</f>
        <v/>
      </c>
      <c r="Y563">
        <f>IFS(M563&gt;=0.15,"Deep Discount",M563&gt;=0.1,"Moderate",TRUE,"Standard")</f>
        <v/>
      </c>
    </row>
    <row r="564">
      <c r="A564">
        <f>Raw_Data!A564</f>
        <v/>
      </c>
      <c r="B564" s="29">
        <f>Raw_Data!B564</f>
        <v/>
      </c>
      <c r="C564">
        <f>YEAR(B564)</f>
        <v/>
      </c>
      <c r="D564">
        <f>MONTH(B564)</f>
        <v/>
      </c>
      <c r="E564">
        <f>TEXT(B564,"MMM-YYYY")</f>
        <v/>
      </c>
      <c r="F564">
        <f>Raw_Data!C564</f>
        <v/>
      </c>
      <c r="G564">
        <f>Raw_Data!D564</f>
        <v/>
      </c>
      <c r="H564">
        <f>Raw_Data!E564</f>
        <v/>
      </c>
      <c r="I564">
        <f>Raw_Data!F564</f>
        <v/>
      </c>
      <c r="J564">
        <f>Raw_Data!G564</f>
        <v/>
      </c>
      <c r="K564">
        <f>Raw_Data!H564</f>
        <v/>
      </c>
      <c r="L564" s="30">
        <f>Raw_Data!I564</f>
        <v/>
      </c>
      <c r="M564" s="31">
        <f>Raw_Data!J564</f>
        <v/>
      </c>
      <c r="N564" s="17">
        <f>K564*L564</f>
        <v/>
      </c>
      <c r="O564" s="17">
        <f>N564*(1-M564)</f>
        <v/>
      </c>
      <c r="P564" s="17">
        <f>Raw_Data!L564</f>
        <v/>
      </c>
      <c r="Q564" s="17">
        <f>O564-P564</f>
        <v/>
      </c>
      <c r="R564" s="31">
        <f>IF(O564=0,0,Q564/O564)</f>
        <v/>
      </c>
      <c r="S564">
        <f>XLOOKUP(F564,Lookups!$B$7:$B$11,Lookups!$C$7:$C$11,"Unknown")</f>
        <v/>
      </c>
      <c r="T564" s="31">
        <f>XLOOKUP(G564,Lookups!$E$7:$E$11,Lookups!$F$7:$F$11,0)</f>
        <v/>
      </c>
      <c r="U564" s="32">
        <f>R564-T564</f>
        <v/>
      </c>
      <c r="V564">
        <f>XLOOKUP(I564,Lookups!$H$7:$H$10,Lookups!$I$7:$I$10,"")</f>
        <v/>
      </c>
      <c r="W564">
        <f>IF(O564&gt;=50000,"HIGH VALUE","")</f>
        <v/>
      </c>
      <c r="X564">
        <f>IF(Q564&lt;0,"LOSS","")</f>
        <v/>
      </c>
      <c r="Y564">
        <f>IFS(M564&gt;=0.15,"Deep Discount",M564&gt;=0.1,"Moderate",TRUE,"Standard")</f>
        <v/>
      </c>
    </row>
    <row r="565">
      <c r="A565">
        <f>Raw_Data!A565</f>
        <v/>
      </c>
      <c r="B565" s="29">
        <f>Raw_Data!B565</f>
        <v/>
      </c>
      <c r="C565">
        <f>YEAR(B565)</f>
        <v/>
      </c>
      <c r="D565">
        <f>MONTH(B565)</f>
        <v/>
      </c>
      <c r="E565">
        <f>TEXT(B565,"MMM-YYYY")</f>
        <v/>
      </c>
      <c r="F565">
        <f>Raw_Data!C565</f>
        <v/>
      </c>
      <c r="G565">
        <f>Raw_Data!D565</f>
        <v/>
      </c>
      <c r="H565">
        <f>Raw_Data!E565</f>
        <v/>
      </c>
      <c r="I565">
        <f>Raw_Data!F565</f>
        <v/>
      </c>
      <c r="J565">
        <f>Raw_Data!G565</f>
        <v/>
      </c>
      <c r="K565">
        <f>Raw_Data!H565</f>
        <v/>
      </c>
      <c r="L565" s="30">
        <f>Raw_Data!I565</f>
        <v/>
      </c>
      <c r="M565" s="31">
        <f>Raw_Data!J565</f>
        <v/>
      </c>
      <c r="N565" s="17">
        <f>K565*L565</f>
        <v/>
      </c>
      <c r="O565" s="17">
        <f>N565*(1-M565)</f>
        <v/>
      </c>
      <c r="P565" s="17">
        <f>Raw_Data!L565</f>
        <v/>
      </c>
      <c r="Q565" s="17">
        <f>O565-P565</f>
        <v/>
      </c>
      <c r="R565" s="31">
        <f>IF(O565=0,0,Q565/O565)</f>
        <v/>
      </c>
      <c r="S565">
        <f>XLOOKUP(F565,Lookups!$B$7:$B$11,Lookups!$C$7:$C$11,"Unknown")</f>
        <v/>
      </c>
      <c r="T565" s="31">
        <f>XLOOKUP(G565,Lookups!$E$7:$E$11,Lookups!$F$7:$F$11,0)</f>
        <v/>
      </c>
      <c r="U565" s="32">
        <f>R565-T565</f>
        <v/>
      </c>
      <c r="V565">
        <f>XLOOKUP(I565,Lookups!$H$7:$H$10,Lookups!$I$7:$I$10,"")</f>
        <v/>
      </c>
      <c r="W565">
        <f>IF(O565&gt;=50000,"HIGH VALUE","")</f>
        <v/>
      </c>
      <c r="X565">
        <f>IF(Q565&lt;0,"LOSS","")</f>
        <v/>
      </c>
      <c r="Y565">
        <f>IFS(M565&gt;=0.15,"Deep Discount",M565&gt;=0.1,"Moderate",TRUE,"Standard")</f>
        <v/>
      </c>
    </row>
    <row r="566">
      <c r="A566">
        <f>Raw_Data!A566</f>
        <v/>
      </c>
      <c r="B566" s="29">
        <f>Raw_Data!B566</f>
        <v/>
      </c>
      <c r="C566">
        <f>YEAR(B566)</f>
        <v/>
      </c>
      <c r="D566">
        <f>MONTH(B566)</f>
        <v/>
      </c>
      <c r="E566">
        <f>TEXT(B566,"MMM-YYYY")</f>
        <v/>
      </c>
      <c r="F566">
        <f>Raw_Data!C566</f>
        <v/>
      </c>
      <c r="G566">
        <f>Raw_Data!D566</f>
        <v/>
      </c>
      <c r="H566">
        <f>Raw_Data!E566</f>
        <v/>
      </c>
      <c r="I566">
        <f>Raw_Data!F566</f>
        <v/>
      </c>
      <c r="J566">
        <f>Raw_Data!G566</f>
        <v/>
      </c>
      <c r="K566">
        <f>Raw_Data!H566</f>
        <v/>
      </c>
      <c r="L566" s="30">
        <f>Raw_Data!I566</f>
        <v/>
      </c>
      <c r="M566" s="31">
        <f>Raw_Data!J566</f>
        <v/>
      </c>
      <c r="N566" s="17">
        <f>K566*L566</f>
        <v/>
      </c>
      <c r="O566" s="17">
        <f>N566*(1-M566)</f>
        <v/>
      </c>
      <c r="P566" s="17">
        <f>Raw_Data!L566</f>
        <v/>
      </c>
      <c r="Q566" s="17">
        <f>O566-P566</f>
        <v/>
      </c>
      <c r="R566" s="31">
        <f>IF(O566=0,0,Q566/O566)</f>
        <v/>
      </c>
      <c r="S566">
        <f>XLOOKUP(F566,Lookups!$B$7:$B$11,Lookups!$C$7:$C$11,"Unknown")</f>
        <v/>
      </c>
      <c r="T566" s="31">
        <f>XLOOKUP(G566,Lookups!$E$7:$E$11,Lookups!$F$7:$F$11,0)</f>
        <v/>
      </c>
      <c r="U566" s="32">
        <f>R566-T566</f>
        <v/>
      </c>
      <c r="V566">
        <f>XLOOKUP(I566,Lookups!$H$7:$H$10,Lookups!$I$7:$I$10,"")</f>
        <v/>
      </c>
      <c r="W566">
        <f>IF(O566&gt;=50000,"HIGH VALUE","")</f>
        <v/>
      </c>
      <c r="X566">
        <f>IF(Q566&lt;0,"LOSS","")</f>
        <v/>
      </c>
      <c r="Y566">
        <f>IFS(M566&gt;=0.15,"Deep Discount",M566&gt;=0.1,"Moderate",TRUE,"Standard")</f>
        <v/>
      </c>
    </row>
    <row r="567">
      <c r="A567">
        <f>Raw_Data!A567</f>
        <v/>
      </c>
      <c r="B567" s="29">
        <f>Raw_Data!B567</f>
        <v/>
      </c>
      <c r="C567">
        <f>YEAR(B567)</f>
        <v/>
      </c>
      <c r="D567">
        <f>MONTH(B567)</f>
        <v/>
      </c>
      <c r="E567">
        <f>TEXT(B567,"MMM-YYYY")</f>
        <v/>
      </c>
      <c r="F567">
        <f>Raw_Data!C567</f>
        <v/>
      </c>
      <c r="G567">
        <f>Raw_Data!D567</f>
        <v/>
      </c>
      <c r="H567">
        <f>Raw_Data!E567</f>
        <v/>
      </c>
      <c r="I567">
        <f>Raw_Data!F567</f>
        <v/>
      </c>
      <c r="J567">
        <f>Raw_Data!G567</f>
        <v/>
      </c>
      <c r="K567">
        <f>Raw_Data!H567</f>
        <v/>
      </c>
      <c r="L567" s="30">
        <f>Raw_Data!I567</f>
        <v/>
      </c>
      <c r="M567" s="31">
        <f>Raw_Data!J567</f>
        <v/>
      </c>
      <c r="N567" s="17">
        <f>K567*L567</f>
        <v/>
      </c>
      <c r="O567" s="17">
        <f>N567*(1-M567)</f>
        <v/>
      </c>
      <c r="P567" s="17">
        <f>Raw_Data!L567</f>
        <v/>
      </c>
      <c r="Q567" s="17">
        <f>O567-P567</f>
        <v/>
      </c>
      <c r="R567" s="31">
        <f>IF(O567=0,0,Q567/O567)</f>
        <v/>
      </c>
      <c r="S567">
        <f>XLOOKUP(F567,Lookups!$B$7:$B$11,Lookups!$C$7:$C$11,"Unknown")</f>
        <v/>
      </c>
      <c r="T567" s="31">
        <f>XLOOKUP(G567,Lookups!$E$7:$E$11,Lookups!$F$7:$F$11,0)</f>
        <v/>
      </c>
      <c r="U567" s="32">
        <f>R567-T567</f>
        <v/>
      </c>
      <c r="V567">
        <f>XLOOKUP(I567,Lookups!$H$7:$H$10,Lookups!$I$7:$I$10,"")</f>
        <v/>
      </c>
      <c r="W567">
        <f>IF(O567&gt;=50000,"HIGH VALUE","")</f>
        <v/>
      </c>
      <c r="X567">
        <f>IF(Q567&lt;0,"LOSS","")</f>
        <v/>
      </c>
      <c r="Y567">
        <f>IFS(M567&gt;=0.15,"Deep Discount",M567&gt;=0.1,"Moderate",TRUE,"Standard")</f>
        <v/>
      </c>
    </row>
    <row r="568">
      <c r="A568">
        <f>Raw_Data!A568</f>
        <v/>
      </c>
      <c r="B568" s="29">
        <f>Raw_Data!B568</f>
        <v/>
      </c>
      <c r="C568">
        <f>YEAR(B568)</f>
        <v/>
      </c>
      <c r="D568">
        <f>MONTH(B568)</f>
        <v/>
      </c>
      <c r="E568">
        <f>TEXT(B568,"MMM-YYYY")</f>
        <v/>
      </c>
      <c r="F568">
        <f>Raw_Data!C568</f>
        <v/>
      </c>
      <c r="G568">
        <f>Raw_Data!D568</f>
        <v/>
      </c>
      <c r="H568">
        <f>Raw_Data!E568</f>
        <v/>
      </c>
      <c r="I568">
        <f>Raw_Data!F568</f>
        <v/>
      </c>
      <c r="J568">
        <f>Raw_Data!G568</f>
        <v/>
      </c>
      <c r="K568">
        <f>Raw_Data!H568</f>
        <v/>
      </c>
      <c r="L568" s="30">
        <f>Raw_Data!I568</f>
        <v/>
      </c>
      <c r="M568" s="31">
        <f>Raw_Data!J568</f>
        <v/>
      </c>
      <c r="N568" s="17">
        <f>K568*L568</f>
        <v/>
      </c>
      <c r="O568" s="17">
        <f>N568*(1-M568)</f>
        <v/>
      </c>
      <c r="P568" s="17">
        <f>Raw_Data!L568</f>
        <v/>
      </c>
      <c r="Q568" s="17">
        <f>O568-P568</f>
        <v/>
      </c>
      <c r="R568" s="31">
        <f>IF(O568=0,0,Q568/O568)</f>
        <v/>
      </c>
      <c r="S568">
        <f>XLOOKUP(F568,Lookups!$B$7:$B$11,Lookups!$C$7:$C$11,"Unknown")</f>
        <v/>
      </c>
      <c r="T568" s="31">
        <f>XLOOKUP(G568,Lookups!$E$7:$E$11,Lookups!$F$7:$F$11,0)</f>
        <v/>
      </c>
      <c r="U568" s="32">
        <f>R568-T568</f>
        <v/>
      </c>
      <c r="V568">
        <f>XLOOKUP(I568,Lookups!$H$7:$H$10,Lookups!$I$7:$I$10,"")</f>
        <v/>
      </c>
      <c r="W568">
        <f>IF(O568&gt;=50000,"HIGH VALUE","")</f>
        <v/>
      </c>
      <c r="X568">
        <f>IF(Q568&lt;0,"LOSS","")</f>
        <v/>
      </c>
      <c r="Y568">
        <f>IFS(M568&gt;=0.15,"Deep Discount",M568&gt;=0.1,"Moderate",TRUE,"Standard")</f>
        <v/>
      </c>
    </row>
    <row r="569">
      <c r="A569">
        <f>Raw_Data!A569</f>
        <v/>
      </c>
      <c r="B569" s="29">
        <f>Raw_Data!B569</f>
        <v/>
      </c>
      <c r="C569">
        <f>YEAR(B569)</f>
        <v/>
      </c>
      <c r="D569">
        <f>MONTH(B569)</f>
        <v/>
      </c>
      <c r="E569">
        <f>TEXT(B569,"MMM-YYYY")</f>
        <v/>
      </c>
      <c r="F569">
        <f>Raw_Data!C569</f>
        <v/>
      </c>
      <c r="G569">
        <f>Raw_Data!D569</f>
        <v/>
      </c>
      <c r="H569">
        <f>Raw_Data!E569</f>
        <v/>
      </c>
      <c r="I569">
        <f>Raw_Data!F569</f>
        <v/>
      </c>
      <c r="J569">
        <f>Raw_Data!G569</f>
        <v/>
      </c>
      <c r="K569">
        <f>Raw_Data!H569</f>
        <v/>
      </c>
      <c r="L569" s="30">
        <f>Raw_Data!I569</f>
        <v/>
      </c>
      <c r="M569" s="31">
        <f>Raw_Data!J569</f>
        <v/>
      </c>
      <c r="N569" s="17">
        <f>K569*L569</f>
        <v/>
      </c>
      <c r="O569" s="17">
        <f>N569*(1-M569)</f>
        <v/>
      </c>
      <c r="P569" s="17">
        <f>Raw_Data!L569</f>
        <v/>
      </c>
      <c r="Q569" s="17">
        <f>O569-P569</f>
        <v/>
      </c>
      <c r="R569" s="31">
        <f>IF(O569=0,0,Q569/O569)</f>
        <v/>
      </c>
      <c r="S569">
        <f>XLOOKUP(F569,Lookups!$B$7:$B$11,Lookups!$C$7:$C$11,"Unknown")</f>
        <v/>
      </c>
      <c r="T569" s="31">
        <f>XLOOKUP(G569,Lookups!$E$7:$E$11,Lookups!$F$7:$F$11,0)</f>
        <v/>
      </c>
      <c r="U569" s="32">
        <f>R569-T569</f>
        <v/>
      </c>
      <c r="V569">
        <f>XLOOKUP(I569,Lookups!$H$7:$H$10,Lookups!$I$7:$I$10,"")</f>
        <v/>
      </c>
      <c r="W569">
        <f>IF(O569&gt;=50000,"HIGH VALUE","")</f>
        <v/>
      </c>
      <c r="X569">
        <f>IF(Q569&lt;0,"LOSS","")</f>
        <v/>
      </c>
      <c r="Y569">
        <f>IFS(M569&gt;=0.15,"Deep Discount",M569&gt;=0.1,"Moderate",TRUE,"Standard")</f>
        <v/>
      </c>
    </row>
    <row r="570">
      <c r="A570">
        <f>Raw_Data!A570</f>
        <v/>
      </c>
      <c r="B570" s="29">
        <f>Raw_Data!B570</f>
        <v/>
      </c>
      <c r="C570">
        <f>YEAR(B570)</f>
        <v/>
      </c>
      <c r="D570">
        <f>MONTH(B570)</f>
        <v/>
      </c>
      <c r="E570">
        <f>TEXT(B570,"MMM-YYYY")</f>
        <v/>
      </c>
      <c r="F570">
        <f>Raw_Data!C570</f>
        <v/>
      </c>
      <c r="G570">
        <f>Raw_Data!D570</f>
        <v/>
      </c>
      <c r="H570">
        <f>Raw_Data!E570</f>
        <v/>
      </c>
      <c r="I570">
        <f>Raw_Data!F570</f>
        <v/>
      </c>
      <c r="J570">
        <f>Raw_Data!G570</f>
        <v/>
      </c>
      <c r="K570">
        <f>Raw_Data!H570</f>
        <v/>
      </c>
      <c r="L570" s="30">
        <f>Raw_Data!I570</f>
        <v/>
      </c>
      <c r="M570" s="31">
        <f>Raw_Data!J570</f>
        <v/>
      </c>
      <c r="N570" s="17">
        <f>K570*L570</f>
        <v/>
      </c>
      <c r="O570" s="17">
        <f>N570*(1-M570)</f>
        <v/>
      </c>
      <c r="P570" s="17">
        <f>Raw_Data!L570</f>
        <v/>
      </c>
      <c r="Q570" s="17">
        <f>O570-P570</f>
        <v/>
      </c>
      <c r="R570" s="31">
        <f>IF(O570=0,0,Q570/O570)</f>
        <v/>
      </c>
      <c r="S570">
        <f>XLOOKUP(F570,Lookups!$B$7:$B$11,Lookups!$C$7:$C$11,"Unknown")</f>
        <v/>
      </c>
      <c r="T570" s="31">
        <f>XLOOKUP(G570,Lookups!$E$7:$E$11,Lookups!$F$7:$F$11,0)</f>
        <v/>
      </c>
      <c r="U570" s="32">
        <f>R570-T570</f>
        <v/>
      </c>
      <c r="V570">
        <f>XLOOKUP(I570,Lookups!$H$7:$H$10,Lookups!$I$7:$I$10,"")</f>
        <v/>
      </c>
      <c r="W570">
        <f>IF(O570&gt;=50000,"HIGH VALUE","")</f>
        <v/>
      </c>
      <c r="X570">
        <f>IF(Q570&lt;0,"LOSS","")</f>
        <v/>
      </c>
      <c r="Y570">
        <f>IFS(M570&gt;=0.15,"Deep Discount",M570&gt;=0.1,"Moderate",TRUE,"Standard")</f>
        <v/>
      </c>
    </row>
    <row r="571">
      <c r="A571">
        <f>Raw_Data!A571</f>
        <v/>
      </c>
      <c r="B571" s="29">
        <f>Raw_Data!B571</f>
        <v/>
      </c>
      <c r="C571">
        <f>YEAR(B571)</f>
        <v/>
      </c>
      <c r="D571">
        <f>MONTH(B571)</f>
        <v/>
      </c>
      <c r="E571">
        <f>TEXT(B571,"MMM-YYYY")</f>
        <v/>
      </c>
      <c r="F571">
        <f>Raw_Data!C571</f>
        <v/>
      </c>
      <c r="G571">
        <f>Raw_Data!D571</f>
        <v/>
      </c>
      <c r="H571">
        <f>Raw_Data!E571</f>
        <v/>
      </c>
      <c r="I571">
        <f>Raw_Data!F571</f>
        <v/>
      </c>
      <c r="J571">
        <f>Raw_Data!G571</f>
        <v/>
      </c>
      <c r="K571">
        <f>Raw_Data!H571</f>
        <v/>
      </c>
      <c r="L571" s="30">
        <f>Raw_Data!I571</f>
        <v/>
      </c>
      <c r="M571" s="31">
        <f>Raw_Data!J571</f>
        <v/>
      </c>
      <c r="N571" s="17">
        <f>K571*L571</f>
        <v/>
      </c>
      <c r="O571" s="17">
        <f>N571*(1-M571)</f>
        <v/>
      </c>
      <c r="P571" s="17">
        <f>Raw_Data!L571</f>
        <v/>
      </c>
      <c r="Q571" s="17">
        <f>O571-P571</f>
        <v/>
      </c>
      <c r="R571" s="31">
        <f>IF(O571=0,0,Q571/O571)</f>
        <v/>
      </c>
      <c r="S571">
        <f>XLOOKUP(F571,Lookups!$B$7:$B$11,Lookups!$C$7:$C$11,"Unknown")</f>
        <v/>
      </c>
      <c r="T571" s="31">
        <f>XLOOKUP(G571,Lookups!$E$7:$E$11,Lookups!$F$7:$F$11,0)</f>
        <v/>
      </c>
      <c r="U571" s="32">
        <f>R571-T571</f>
        <v/>
      </c>
      <c r="V571">
        <f>XLOOKUP(I571,Lookups!$H$7:$H$10,Lookups!$I$7:$I$10,"")</f>
        <v/>
      </c>
      <c r="W571">
        <f>IF(O571&gt;=50000,"HIGH VALUE","")</f>
        <v/>
      </c>
      <c r="X571">
        <f>IF(Q571&lt;0,"LOSS","")</f>
        <v/>
      </c>
      <c r="Y571">
        <f>IFS(M571&gt;=0.15,"Deep Discount",M571&gt;=0.1,"Moderate",TRUE,"Standard")</f>
        <v/>
      </c>
    </row>
    <row r="572">
      <c r="A572">
        <f>Raw_Data!A572</f>
        <v/>
      </c>
      <c r="B572" s="29">
        <f>Raw_Data!B572</f>
        <v/>
      </c>
      <c r="C572">
        <f>YEAR(B572)</f>
        <v/>
      </c>
      <c r="D572">
        <f>MONTH(B572)</f>
        <v/>
      </c>
      <c r="E572">
        <f>TEXT(B572,"MMM-YYYY")</f>
        <v/>
      </c>
      <c r="F572">
        <f>Raw_Data!C572</f>
        <v/>
      </c>
      <c r="G572">
        <f>Raw_Data!D572</f>
        <v/>
      </c>
      <c r="H572">
        <f>Raw_Data!E572</f>
        <v/>
      </c>
      <c r="I572">
        <f>Raw_Data!F572</f>
        <v/>
      </c>
      <c r="J572">
        <f>Raw_Data!G572</f>
        <v/>
      </c>
      <c r="K572">
        <f>Raw_Data!H572</f>
        <v/>
      </c>
      <c r="L572" s="30">
        <f>Raw_Data!I572</f>
        <v/>
      </c>
      <c r="M572" s="31">
        <f>Raw_Data!J572</f>
        <v/>
      </c>
      <c r="N572" s="17">
        <f>K572*L572</f>
        <v/>
      </c>
      <c r="O572" s="17">
        <f>N572*(1-M572)</f>
        <v/>
      </c>
      <c r="P572" s="17">
        <f>Raw_Data!L572</f>
        <v/>
      </c>
      <c r="Q572" s="17">
        <f>O572-P572</f>
        <v/>
      </c>
      <c r="R572" s="31">
        <f>IF(O572=0,0,Q572/O572)</f>
        <v/>
      </c>
      <c r="S572">
        <f>XLOOKUP(F572,Lookups!$B$7:$B$11,Lookups!$C$7:$C$11,"Unknown")</f>
        <v/>
      </c>
      <c r="T572" s="31">
        <f>XLOOKUP(G572,Lookups!$E$7:$E$11,Lookups!$F$7:$F$11,0)</f>
        <v/>
      </c>
      <c r="U572" s="32">
        <f>R572-T572</f>
        <v/>
      </c>
      <c r="V572">
        <f>XLOOKUP(I572,Lookups!$H$7:$H$10,Lookups!$I$7:$I$10,"")</f>
        <v/>
      </c>
      <c r="W572">
        <f>IF(O572&gt;=50000,"HIGH VALUE","")</f>
        <v/>
      </c>
      <c r="X572">
        <f>IF(Q572&lt;0,"LOSS","")</f>
        <v/>
      </c>
      <c r="Y572">
        <f>IFS(M572&gt;=0.15,"Deep Discount",M572&gt;=0.1,"Moderate",TRUE,"Standard")</f>
        <v/>
      </c>
    </row>
    <row r="573">
      <c r="A573">
        <f>Raw_Data!A573</f>
        <v/>
      </c>
      <c r="B573" s="29">
        <f>Raw_Data!B573</f>
        <v/>
      </c>
      <c r="C573">
        <f>YEAR(B573)</f>
        <v/>
      </c>
      <c r="D573">
        <f>MONTH(B573)</f>
        <v/>
      </c>
      <c r="E573">
        <f>TEXT(B573,"MMM-YYYY")</f>
        <v/>
      </c>
      <c r="F573">
        <f>Raw_Data!C573</f>
        <v/>
      </c>
      <c r="G573">
        <f>Raw_Data!D573</f>
        <v/>
      </c>
      <c r="H573">
        <f>Raw_Data!E573</f>
        <v/>
      </c>
      <c r="I573">
        <f>Raw_Data!F573</f>
        <v/>
      </c>
      <c r="J573">
        <f>Raw_Data!G573</f>
        <v/>
      </c>
      <c r="K573">
        <f>Raw_Data!H573</f>
        <v/>
      </c>
      <c r="L573" s="30">
        <f>Raw_Data!I573</f>
        <v/>
      </c>
      <c r="M573" s="31">
        <f>Raw_Data!J573</f>
        <v/>
      </c>
      <c r="N573" s="17">
        <f>K573*L573</f>
        <v/>
      </c>
      <c r="O573" s="17">
        <f>N573*(1-M573)</f>
        <v/>
      </c>
      <c r="P573" s="17">
        <f>Raw_Data!L573</f>
        <v/>
      </c>
      <c r="Q573" s="17">
        <f>O573-P573</f>
        <v/>
      </c>
      <c r="R573" s="31">
        <f>IF(O573=0,0,Q573/O573)</f>
        <v/>
      </c>
      <c r="S573">
        <f>XLOOKUP(F573,Lookups!$B$7:$B$11,Lookups!$C$7:$C$11,"Unknown")</f>
        <v/>
      </c>
      <c r="T573" s="31">
        <f>XLOOKUP(G573,Lookups!$E$7:$E$11,Lookups!$F$7:$F$11,0)</f>
        <v/>
      </c>
      <c r="U573" s="32">
        <f>R573-T573</f>
        <v/>
      </c>
      <c r="V573">
        <f>XLOOKUP(I573,Lookups!$H$7:$H$10,Lookups!$I$7:$I$10,"")</f>
        <v/>
      </c>
      <c r="W573">
        <f>IF(O573&gt;=50000,"HIGH VALUE","")</f>
        <v/>
      </c>
      <c r="X573">
        <f>IF(Q573&lt;0,"LOSS","")</f>
        <v/>
      </c>
      <c r="Y573">
        <f>IFS(M573&gt;=0.15,"Deep Discount",M573&gt;=0.1,"Moderate",TRUE,"Standard")</f>
        <v/>
      </c>
    </row>
    <row r="574">
      <c r="A574">
        <f>Raw_Data!A574</f>
        <v/>
      </c>
      <c r="B574" s="29">
        <f>Raw_Data!B574</f>
        <v/>
      </c>
      <c r="C574">
        <f>YEAR(B574)</f>
        <v/>
      </c>
      <c r="D574">
        <f>MONTH(B574)</f>
        <v/>
      </c>
      <c r="E574">
        <f>TEXT(B574,"MMM-YYYY")</f>
        <v/>
      </c>
      <c r="F574">
        <f>Raw_Data!C574</f>
        <v/>
      </c>
      <c r="G574">
        <f>Raw_Data!D574</f>
        <v/>
      </c>
      <c r="H574">
        <f>Raw_Data!E574</f>
        <v/>
      </c>
      <c r="I574">
        <f>Raw_Data!F574</f>
        <v/>
      </c>
      <c r="J574">
        <f>Raw_Data!G574</f>
        <v/>
      </c>
      <c r="K574">
        <f>Raw_Data!H574</f>
        <v/>
      </c>
      <c r="L574" s="30">
        <f>Raw_Data!I574</f>
        <v/>
      </c>
      <c r="M574" s="31">
        <f>Raw_Data!J574</f>
        <v/>
      </c>
      <c r="N574" s="17">
        <f>K574*L574</f>
        <v/>
      </c>
      <c r="O574" s="17">
        <f>N574*(1-M574)</f>
        <v/>
      </c>
      <c r="P574" s="17">
        <f>Raw_Data!L574</f>
        <v/>
      </c>
      <c r="Q574" s="17">
        <f>O574-P574</f>
        <v/>
      </c>
      <c r="R574" s="31">
        <f>IF(O574=0,0,Q574/O574)</f>
        <v/>
      </c>
      <c r="S574">
        <f>XLOOKUP(F574,Lookups!$B$7:$B$11,Lookups!$C$7:$C$11,"Unknown")</f>
        <v/>
      </c>
      <c r="T574" s="31">
        <f>XLOOKUP(G574,Lookups!$E$7:$E$11,Lookups!$F$7:$F$11,0)</f>
        <v/>
      </c>
      <c r="U574" s="32">
        <f>R574-T574</f>
        <v/>
      </c>
      <c r="V574">
        <f>XLOOKUP(I574,Lookups!$H$7:$H$10,Lookups!$I$7:$I$10,"")</f>
        <v/>
      </c>
      <c r="W574">
        <f>IF(O574&gt;=50000,"HIGH VALUE","")</f>
        <v/>
      </c>
      <c r="X574">
        <f>IF(Q574&lt;0,"LOSS","")</f>
        <v/>
      </c>
      <c r="Y574">
        <f>IFS(M574&gt;=0.15,"Deep Discount",M574&gt;=0.1,"Moderate",TRUE,"Standard")</f>
        <v/>
      </c>
    </row>
    <row r="575">
      <c r="A575">
        <f>Raw_Data!A575</f>
        <v/>
      </c>
      <c r="B575" s="29">
        <f>Raw_Data!B575</f>
        <v/>
      </c>
      <c r="C575">
        <f>YEAR(B575)</f>
        <v/>
      </c>
      <c r="D575">
        <f>MONTH(B575)</f>
        <v/>
      </c>
      <c r="E575">
        <f>TEXT(B575,"MMM-YYYY")</f>
        <v/>
      </c>
      <c r="F575">
        <f>Raw_Data!C575</f>
        <v/>
      </c>
      <c r="G575">
        <f>Raw_Data!D575</f>
        <v/>
      </c>
      <c r="H575">
        <f>Raw_Data!E575</f>
        <v/>
      </c>
      <c r="I575">
        <f>Raw_Data!F575</f>
        <v/>
      </c>
      <c r="J575">
        <f>Raw_Data!G575</f>
        <v/>
      </c>
      <c r="K575">
        <f>Raw_Data!H575</f>
        <v/>
      </c>
      <c r="L575" s="30">
        <f>Raw_Data!I575</f>
        <v/>
      </c>
      <c r="M575" s="31">
        <f>Raw_Data!J575</f>
        <v/>
      </c>
      <c r="N575" s="17">
        <f>K575*L575</f>
        <v/>
      </c>
      <c r="O575" s="17">
        <f>N575*(1-M575)</f>
        <v/>
      </c>
      <c r="P575" s="17">
        <f>Raw_Data!L575</f>
        <v/>
      </c>
      <c r="Q575" s="17">
        <f>O575-P575</f>
        <v/>
      </c>
      <c r="R575" s="31">
        <f>IF(O575=0,0,Q575/O575)</f>
        <v/>
      </c>
      <c r="S575">
        <f>XLOOKUP(F575,Lookups!$B$7:$B$11,Lookups!$C$7:$C$11,"Unknown")</f>
        <v/>
      </c>
      <c r="T575" s="31">
        <f>XLOOKUP(G575,Lookups!$E$7:$E$11,Lookups!$F$7:$F$11,0)</f>
        <v/>
      </c>
      <c r="U575" s="32">
        <f>R575-T575</f>
        <v/>
      </c>
      <c r="V575">
        <f>XLOOKUP(I575,Lookups!$H$7:$H$10,Lookups!$I$7:$I$10,"")</f>
        <v/>
      </c>
      <c r="W575">
        <f>IF(O575&gt;=50000,"HIGH VALUE","")</f>
        <v/>
      </c>
      <c r="X575">
        <f>IF(Q575&lt;0,"LOSS","")</f>
        <v/>
      </c>
      <c r="Y575">
        <f>IFS(M575&gt;=0.15,"Deep Discount",M575&gt;=0.1,"Moderate",TRUE,"Standard")</f>
        <v/>
      </c>
    </row>
    <row r="576">
      <c r="A576">
        <f>Raw_Data!A576</f>
        <v/>
      </c>
      <c r="B576" s="29">
        <f>Raw_Data!B576</f>
        <v/>
      </c>
      <c r="C576">
        <f>YEAR(B576)</f>
        <v/>
      </c>
      <c r="D576">
        <f>MONTH(B576)</f>
        <v/>
      </c>
      <c r="E576">
        <f>TEXT(B576,"MMM-YYYY")</f>
        <v/>
      </c>
      <c r="F576">
        <f>Raw_Data!C576</f>
        <v/>
      </c>
      <c r="G576">
        <f>Raw_Data!D576</f>
        <v/>
      </c>
      <c r="H576">
        <f>Raw_Data!E576</f>
        <v/>
      </c>
      <c r="I576">
        <f>Raw_Data!F576</f>
        <v/>
      </c>
      <c r="J576">
        <f>Raw_Data!G576</f>
        <v/>
      </c>
      <c r="K576">
        <f>Raw_Data!H576</f>
        <v/>
      </c>
      <c r="L576" s="30">
        <f>Raw_Data!I576</f>
        <v/>
      </c>
      <c r="M576" s="31">
        <f>Raw_Data!J576</f>
        <v/>
      </c>
      <c r="N576" s="17">
        <f>K576*L576</f>
        <v/>
      </c>
      <c r="O576" s="17">
        <f>N576*(1-M576)</f>
        <v/>
      </c>
      <c r="P576" s="17">
        <f>Raw_Data!L576</f>
        <v/>
      </c>
      <c r="Q576" s="17">
        <f>O576-P576</f>
        <v/>
      </c>
      <c r="R576" s="31">
        <f>IF(O576=0,0,Q576/O576)</f>
        <v/>
      </c>
      <c r="S576">
        <f>XLOOKUP(F576,Lookups!$B$7:$B$11,Lookups!$C$7:$C$11,"Unknown")</f>
        <v/>
      </c>
      <c r="T576" s="31">
        <f>XLOOKUP(G576,Lookups!$E$7:$E$11,Lookups!$F$7:$F$11,0)</f>
        <v/>
      </c>
      <c r="U576" s="32">
        <f>R576-T576</f>
        <v/>
      </c>
      <c r="V576">
        <f>XLOOKUP(I576,Lookups!$H$7:$H$10,Lookups!$I$7:$I$10,"")</f>
        <v/>
      </c>
      <c r="W576">
        <f>IF(O576&gt;=50000,"HIGH VALUE","")</f>
        <v/>
      </c>
      <c r="X576">
        <f>IF(Q576&lt;0,"LOSS","")</f>
        <v/>
      </c>
      <c r="Y576">
        <f>IFS(M576&gt;=0.15,"Deep Discount",M576&gt;=0.1,"Moderate",TRUE,"Standard")</f>
        <v/>
      </c>
    </row>
    <row r="577">
      <c r="A577">
        <f>Raw_Data!A577</f>
        <v/>
      </c>
      <c r="B577" s="29">
        <f>Raw_Data!B577</f>
        <v/>
      </c>
      <c r="C577">
        <f>YEAR(B577)</f>
        <v/>
      </c>
      <c r="D577">
        <f>MONTH(B577)</f>
        <v/>
      </c>
      <c r="E577">
        <f>TEXT(B577,"MMM-YYYY")</f>
        <v/>
      </c>
      <c r="F577">
        <f>Raw_Data!C577</f>
        <v/>
      </c>
      <c r="G577">
        <f>Raw_Data!D577</f>
        <v/>
      </c>
      <c r="H577">
        <f>Raw_Data!E577</f>
        <v/>
      </c>
      <c r="I577">
        <f>Raw_Data!F577</f>
        <v/>
      </c>
      <c r="J577">
        <f>Raw_Data!G577</f>
        <v/>
      </c>
      <c r="K577">
        <f>Raw_Data!H577</f>
        <v/>
      </c>
      <c r="L577" s="30">
        <f>Raw_Data!I577</f>
        <v/>
      </c>
      <c r="M577" s="31">
        <f>Raw_Data!J577</f>
        <v/>
      </c>
      <c r="N577" s="17">
        <f>K577*L577</f>
        <v/>
      </c>
      <c r="O577" s="17">
        <f>N577*(1-M577)</f>
        <v/>
      </c>
      <c r="P577" s="17">
        <f>Raw_Data!L577</f>
        <v/>
      </c>
      <c r="Q577" s="17">
        <f>O577-P577</f>
        <v/>
      </c>
      <c r="R577" s="31">
        <f>IF(O577=0,0,Q577/O577)</f>
        <v/>
      </c>
      <c r="S577">
        <f>XLOOKUP(F577,Lookups!$B$7:$B$11,Lookups!$C$7:$C$11,"Unknown")</f>
        <v/>
      </c>
      <c r="T577" s="31">
        <f>XLOOKUP(G577,Lookups!$E$7:$E$11,Lookups!$F$7:$F$11,0)</f>
        <v/>
      </c>
      <c r="U577" s="32">
        <f>R577-T577</f>
        <v/>
      </c>
      <c r="V577">
        <f>XLOOKUP(I577,Lookups!$H$7:$H$10,Lookups!$I$7:$I$10,"")</f>
        <v/>
      </c>
      <c r="W577">
        <f>IF(O577&gt;=50000,"HIGH VALUE","")</f>
        <v/>
      </c>
      <c r="X577">
        <f>IF(Q577&lt;0,"LOSS","")</f>
        <v/>
      </c>
      <c r="Y577">
        <f>IFS(M577&gt;=0.15,"Deep Discount",M577&gt;=0.1,"Moderate",TRUE,"Standard")</f>
        <v/>
      </c>
    </row>
    <row r="578">
      <c r="A578">
        <f>Raw_Data!A578</f>
        <v/>
      </c>
      <c r="B578" s="29">
        <f>Raw_Data!B578</f>
        <v/>
      </c>
      <c r="C578">
        <f>YEAR(B578)</f>
        <v/>
      </c>
      <c r="D578">
        <f>MONTH(B578)</f>
        <v/>
      </c>
      <c r="E578">
        <f>TEXT(B578,"MMM-YYYY")</f>
        <v/>
      </c>
      <c r="F578">
        <f>Raw_Data!C578</f>
        <v/>
      </c>
      <c r="G578">
        <f>Raw_Data!D578</f>
        <v/>
      </c>
      <c r="H578">
        <f>Raw_Data!E578</f>
        <v/>
      </c>
      <c r="I578">
        <f>Raw_Data!F578</f>
        <v/>
      </c>
      <c r="J578">
        <f>Raw_Data!G578</f>
        <v/>
      </c>
      <c r="K578">
        <f>Raw_Data!H578</f>
        <v/>
      </c>
      <c r="L578" s="30">
        <f>Raw_Data!I578</f>
        <v/>
      </c>
      <c r="M578" s="31">
        <f>Raw_Data!J578</f>
        <v/>
      </c>
      <c r="N578" s="17">
        <f>K578*L578</f>
        <v/>
      </c>
      <c r="O578" s="17">
        <f>N578*(1-M578)</f>
        <v/>
      </c>
      <c r="P578" s="17">
        <f>Raw_Data!L578</f>
        <v/>
      </c>
      <c r="Q578" s="17">
        <f>O578-P578</f>
        <v/>
      </c>
      <c r="R578" s="31">
        <f>IF(O578=0,0,Q578/O578)</f>
        <v/>
      </c>
      <c r="S578">
        <f>XLOOKUP(F578,Lookups!$B$7:$B$11,Lookups!$C$7:$C$11,"Unknown")</f>
        <v/>
      </c>
      <c r="T578" s="31">
        <f>XLOOKUP(G578,Lookups!$E$7:$E$11,Lookups!$F$7:$F$11,0)</f>
        <v/>
      </c>
      <c r="U578" s="32">
        <f>R578-T578</f>
        <v/>
      </c>
      <c r="V578">
        <f>XLOOKUP(I578,Lookups!$H$7:$H$10,Lookups!$I$7:$I$10,"")</f>
        <v/>
      </c>
      <c r="W578">
        <f>IF(O578&gt;=50000,"HIGH VALUE","")</f>
        <v/>
      </c>
      <c r="X578">
        <f>IF(Q578&lt;0,"LOSS","")</f>
        <v/>
      </c>
      <c r="Y578">
        <f>IFS(M578&gt;=0.15,"Deep Discount",M578&gt;=0.1,"Moderate",TRUE,"Standard")</f>
        <v/>
      </c>
    </row>
    <row r="579">
      <c r="A579">
        <f>Raw_Data!A579</f>
        <v/>
      </c>
      <c r="B579" s="29">
        <f>Raw_Data!B579</f>
        <v/>
      </c>
      <c r="C579">
        <f>YEAR(B579)</f>
        <v/>
      </c>
      <c r="D579">
        <f>MONTH(B579)</f>
        <v/>
      </c>
      <c r="E579">
        <f>TEXT(B579,"MMM-YYYY")</f>
        <v/>
      </c>
      <c r="F579">
        <f>Raw_Data!C579</f>
        <v/>
      </c>
      <c r="G579">
        <f>Raw_Data!D579</f>
        <v/>
      </c>
      <c r="H579">
        <f>Raw_Data!E579</f>
        <v/>
      </c>
      <c r="I579">
        <f>Raw_Data!F579</f>
        <v/>
      </c>
      <c r="J579">
        <f>Raw_Data!G579</f>
        <v/>
      </c>
      <c r="K579">
        <f>Raw_Data!H579</f>
        <v/>
      </c>
      <c r="L579" s="30">
        <f>Raw_Data!I579</f>
        <v/>
      </c>
      <c r="M579" s="31">
        <f>Raw_Data!J579</f>
        <v/>
      </c>
      <c r="N579" s="17">
        <f>K579*L579</f>
        <v/>
      </c>
      <c r="O579" s="17">
        <f>N579*(1-M579)</f>
        <v/>
      </c>
      <c r="P579" s="17">
        <f>Raw_Data!L579</f>
        <v/>
      </c>
      <c r="Q579" s="17">
        <f>O579-P579</f>
        <v/>
      </c>
      <c r="R579" s="31">
        <f>IF(O579=0,0,Q579/O579)</f>
        <v/>
      </c>
      <c r="S579">
        <f>XLOOKUP(F579,Lookups!$B$7:$B$11,Lookups!$C$7:$C$11,"Unknown")</f>
        <v/>
      </c>
      <c r="T579" s="31">
        <f>XLOOKUP(G579,Lookups!$E$7:$E$11,Lookups!$F$7:$F$11,0)</f>
        <v/>
      </c>
      <c r="U579" s="32">
        <f>R579-T579</f>
        <v/>
      </c>
      <c r="V579">
        <f>XLOOKUP(I579,Lookups!$H$7:$H$10,Lookups!$I$7:$I$10,"")</f>
        <v/>
      </c>
      <c r="W579">
        <f>IF(O579&gt;=50000,"HIGH VALUE","")</f>
        <v/>
      </c>
      <c r="X579">
        <f>IF(Q579&lt;0,"LOSS","")</f>
        <v/>
      </c>
      <c r="Y579">
        <f>IFS(M579&gt;=0.15,"Deep Discount",M579&gt;=0.1,"Moderate",TRUE,"Standard")</f>
        <v/>
      </c>
    </row>
    <row r="580">
      <c r="A580">
        <f>Raw_Data!A580</f>
        <v/>
      </c>
      <c r="B580" s="29">
        <f>Raw_Data!B580</f>
        <v/>
      </c>
      <c r="C580">
        <f>YEAR(B580)</f>
        <v/>
      </c>
      <c r="D580">
        <f>MONTH(B580)</f>
        <v/>
      </c>
      <c r="E580">
        <f>TEXT(B580,"MMM-YYYY")</f>
        <v/>
      </c>
      <c r="F580">
        <f>Raw_Data!C580</f>
        <v/>
      </c>
      <c r="G580">
        <f>Raw_Data!D580</f>
        <v/>
      </c>
      <c r="H580">
        <f>Raw_Data!E580</f>
        <v/>
      </c>
      <c r="I580">
        <f>Raw_Data!F580</f>
        <v/>
      </c>
      <c r="J580">
        <f>Raw_Data!G580</f>
        <v/>
      </c>
      <c r="K580">
        <f>Raw_Data!H580</f>
        <v/>
      </c>
      <c r="L580" s="30">
        <f>Raw_Data!I580</f>
        <v/>
      </c>
      <c r="M580" s="31">
        <f>Raw_Data!J580</f>
        <v/>
      </c>
      <c r="N580" s="17">
        <f>K580*L580</f>
        <v/>
      </c>
      <c r="O580" s="17">
        <f>N580*(1-M580)</f>
        <v/>
      </c>
      <c r="P580" s="17">
        <f>Raw_Data!L580</f>
        <v/>
      </c>
      <c r="Q580" s="17">
        <f>O580-P580</f>
        <v/>
      </c>
      <c r="R580" s="31">
        <f>IF(O580=0,0,Q580/O580)</f>
        <v/>
      </c>
      <c r="S580">
        <f>XLOOKUP(F580,Lookups!$B$7:$B$11,Lookups!$C$7:$C$11,"Unknown")</f>
        <v/>
      </c>
      <c r="T580" s="31">
        <f>XLOOKUP(G580,Lookups!$E$7:$E$11,Lookups!$F$7:$F$11,0)</f>
        <v/>
      </c>
      <c r="U580" s="32">
        <f>R580-T580</f>
        <v/>
      </c>
      <c r="V580">
        <f>XLOOKUP(I580,Lookups!$H$7:$H$10,Lookups!$I$7:$I$10,"")</f>
        <v/>
      </c>
      <c r="W580">
        <f>IF(O580&gt;=50000,"HIGH VALUE","")</f>
        <v/>
      </c>
      <c r="X580">
        <f>IF(Q580&lt;0,"LOSS","")</f>
        <v/>
      </c>
      <c r="Y580">
        <f>IFS(M580&gt;=0.15,"Deep Discount",M580&gt;=0.1,"Moderate",TRUE,"Standard")</f>
        <v/>
      </c>
    </row>
    <row r="581">
      <c r="A581">
        <f>Raw_Data!A581</f>
        <v/>
      </c>
      <c r="B581" s="29">
        <f>Raw_Data!B581</f>
        <v/>
      </c>
      <c r="C581">
        <f>YEAR(B581)</f>
        <v/>
      </c>
      <c r="D581">
        <f>MONTH(B581)</f>
        <v/>
      </c>
      <c r="E581">
        <f>TEXT(B581,"MMM-YYYY")</f>
        <v/>
      </c>
      <c r="F581">
        <f>Raw_Data!C581</f>
        <v/>
      </c>
      <c r="G581">
        <f>Raw_Data!D581</f>
        <v/>
      </c>
      <c r="H581">
        <f>Raw_Data!E581</f>
        <v/>
      </c>
      <c r="I581">
        <f>Raw_Data!F581</f>
        <v/>
      </c>
      <c r="J581">
        <f>Raw_Data!G581</f>
        <v/>
      </c>
      <c r="K581">
        <f>Raw_Data!H581</f>
        <v/>
      </c>
      <c r="L581" s="30">
        <f>Raw_Data!I581</f>
        <v/>
      </c>
      <c r="M581" s="31">
        <f>Raw_Data!J581</f>
        <v/>
      </c>
      <c r="N581" s="17">
        <f>K581*L581</f>
        <v/>
      </c>
      <c r="O581" s="17">
        <f>N581*(1-M581)</f>
        <v/>
      </c>
      <c r="P581" s="17">
        <f>Raw_Data!L581</f>
        <v/>
      </c>
      <c r="Q581" s="17">
        <f>O581-P581</f>
        <v/>
      </c>
      <c r="R581" s="31">
        <f>IF(O581=0,0,Q581/O581)</f>
        <v/>
      </c>
      <c r="S581">
        <f>XLOOKUP(F581,Lookups!$B$7:$B$11,Lookups!$C$7:$C$11,"Unknown")</f>
        <v/>
      </c>
      <c r="T581" s="31">
        <f>XLOOKUP(G581,Lookups!$E$7:$E$11,Lookups!$F$7:$F$11,0)</f>
        <v/>
      </c>
      <c r="U581" s="32">
        <f>R581-T581</f>
        <v/>
      </c>
      <c r="V581">
        <f>XLOOKUP(I581,Lookups!$H$7:$H$10,Lookups!$I$7:$I$10,"")</f>
        <v/>
      </c>
      <c r="W581">
        <f>IF(O581&gt;=50000,"HIGH VALUE","")</f>
        <v/>
      </c>
      <c r="X581">
        <f>IF(Q581&lt;0,"LOSS","")</f>
        <v/>
      </c>
      <c r="Y581">
        <f>IFS(M581&gt;=0.15,"Deep Discount",M581&gt;=0.1,"Moderate",TRUE,"Standard")</f>
        <v/>
      </c>
    </row>
    <row r="582">
      <c r="A582">
        <f>Raw_Data!A582</f>
        <v/>
      </c>
      <c r="B582" s="29">
        <f>Raw_Data!B582</f>
        <v/>
      </c>
      <c r="C582">
        <f>YEAR(B582)</f>
        <v/>
      </c>
      <c r="D582">
        <f>MONTH(B582)</f>
        <v/>
      </c>
      <c r="E582">
        <f>TEXT(B582,"MMM-YYYY")</f>
        <v/>
      </c>
      <c r="F582">
        <f>Raw_Data!C582</f>
        <v/>
      </c>
      <c r="G582">
        <f>Raw_Data!D582</f>
        <v/>
      </c>
      <c r="H582">
        <f>Raw_Data!E582</f>
        <v/>
      </c>
      <c r="I582">
        <f>Raw_Data!F582</f>
        <v/>
      </c>
      <c r="J582">
        <f>Raw_Data!G582</f>
        <v/>
      </c>
      <c r="K582">
        <f>Raw_Data!H582</f>
        <v/>
      </c>
      <c r="L582" s="30">
        <f>Raw_Data!I582</f>
        <v/>
      </c>
      <c r="M582" s="31">
        <f>Raw_Data!J582</f>
        <v/>
      </c>
      <c r="N582" s="17">
        <f>K582*L582</f>
        <v/>
      </c>
      <c r="O582" s="17">
        <f>N582*(1-M582)</f>
        <v/>
      </c>
      <c r="P582" s="17">
        <f>Raw_Data!L582</f>
        <v/>
      </c>
      <c r="Q582" s="17">
        <f>O582-P582</f>
        <v/>
      </c>
      <c r="R582" s="31">
        <f>IF(O582=0,0,Q582/O582)</f>
        <v/>
      </c>
      <c r="S582">
        <f>XLOOKUP(F582,Lookups!$B$7:$B$11,Lookups!$C$7:$C$11,"Unknown")</f>
        <v/>
      </c>
      <c r="T582" s="31">
        <f>XLOOKUP(G582,Lookups!$E$7:$E$11,Lookups!$F$7:$F$11,0)</f>
        <v/>
      </c>
      <c r="U582" s="32">
        <f>R582-T582</f>
        <v/>
      </c>
      <c r="V582">
        <f>XLOOKUP(I582,Lookups!$H$7:$H$10,Lookups!$I$7:$I$10,"")</f>
        <v/>
      </c>
      <c r="W582">
        <f>IF(O582&gt;=50000,"HIGH VALUE","")</f>
        <v/>
      </c>
      <c r="X582">
        <f>IF(Q582&lt;0,"LOSS","")</f>
        <v/>
      </c>
      <c r="Y582">
        <f>IFS(M582&gt;=0.15,"Deep Discount",M582&gt;=0.1,"Moderate",TRUE,"Standard")</f>
        <v/>
      </c>
    </row>
    <row r="583">
      <c r="A583">
        <f>Raw_Data!A583</f>
        <v/>
      </c>
      <c r="B583" s="29">
        <f>Raw_Data!B583</f>
        <v/>
      </c>
      <c r="C583">
        <f>YEAR(B583)</f>
        <v/>
      </c>
      <c r="D583">
        <f>MONTH(B583)</f>
        <v/>
      </c>
      <c r="E583">
        <f>TEXT(B583,"MMM-YYYY")</f>
        <v/>
      </c>
      <c r="F583">
        <f>Raw_Data!C583</f>
        <v/>
      </c>
      <c r="G583">
        <f>Raw_Data!D583</f>
        <v/>
      </c>
      <c r="H583">
        <f>Raw_Data!E583</f>
        <v/>
      </c>
      <c r="I583">
        <f>Raw_Data!F583</f>
        <v/>
      </c>
      <c r="J583">
        <f>Raw_Data!G583</f>
        <v/>
      </c>
      <c r="K583">
        <f>Raw_Data!H583</f>
        <v/>
      </c>
      <c r="L583" s="30">
        <f>Raw_Data!I583</f>
        <v/>
      </c>
      <c r="M583" s="31">
        <f>Raw_Data!J583</f>
        <v/>
      </c>
      <c r="N583" s="17">
        <f>K583*L583</f>
        <v/>
      </c>
      <c r="O583" s="17">
        <f>N583*(1-M583)</f>
        <v/>
      </c>
      <c r="P583" s="17">
        <f>Raw_Data!L583</f>
        <v/>
      </c>
      <c r="Q583" s="17">
        <f>O583-P583</f>
        <v/>
      </c>
      <c r="R583" s="31">
        <f>IF(O583=0,0,Q583/O583)</f>
        <v/>
      </c>
      <c r="S583">
        <f>XLOOKUP(F583,Lookups!$B$7:$B$11,Lookups!$C$7:$C$11,"Unknown")</f>
        <v/>
      </c>
      <c r="T583" s="31">
        <f>XLOOKUP(G583,Lookups!$E$7:$E$11,Lookups!$F$7:$F$11,0)</f>
        <v/>
      </c>
      <c r="U583" s="32">
        <f>R583-T583</f>
        <v/>
      </c>
      <c r="V583">
        <f>XLOOKUP(I583,Lookups!$H$7:$H$10,Lookups!$I$7:$I$10,"")</f>
        <v/>
      </c>
      <c r="W583">
        <f>IF(O583&gt;=50000,"HIGH VALUE","")</f>
        <v/>
      </c>
      <c r="X583">
        <f>IF(Q583&lt;0,"LOSS","")</f>
        <v/>
      </c>
      <c r="Y583">
        <f>IFS(M583&gt;=0.15,"Deep Discount",M583&gt;=0.1,"Moderate",TRUE,"Standard")</f>
        <v/>
      </c>
    </row>
    <row r="584">
      <c r="A584">
        <f>Raw_Data!A584</f>
        <v/>
      </c>
      <c r="B584" s="29">
        <f>Raw_Data!B584</f>
        <v/>
      </c>
      <c r="C584">
        <f>YEAR(B584)</f>
        <v/>
      </c>
      <c r="D584">
        <f>MONTH(B584)</f>
        <v/>
      </c>
      <c r="E584">
        <f>TEXT(B584,"MMM-YYYY")</f>
        <v/>
      </c>
      <c r="F584">
        <f>Raw_Data!C584</f>
        <v/>
      </c>
      <c r="G584">
        <f>Raw_Data!D584</f>
        <v/>
      </c>
      <c r="H584">
        <f>Raw_Data!E584</f>
        <v/>
      </c>
      <c r="I584">
        <f>Raw_Data!F584</f>
        <v/>
      </c>
      <c r="J584">
        <f>Raw_Data!G584</f>
        <v/>
      </c>
      <c r="K584">
        <f>Raw_Data!H584</f>
        <v/>
      </c>
      <c r="L584" s="30">
        <f>Raw_Data!I584</f>
        <v/>
      </c>
      <c r="M584" s="31">
        <f>Raw_Data!J584</f>
        <v/>
      </c>
      <c r="N584" s="17">
        <f>K584*L584</f>
        <v/>
      </c>
      <c r="O584" s="17">
        <f>N584*(1-M584)</f>
        <v/>
      </c>
      <c r="P584" s="17">
        <f>Raw_Data!L584</f>
        <v/>
      </c>
      <c r="Q584" s="17">
        <f>O584-P584</f>
        <v/>
      </c>
      <c r="R584" s="31">
        <f>IF(O584=0,0,Q584/O584)</f>
        <v/>
      </c>
      <c r="S584">
        <f>XLOOKUP(F584,Lookups!$B$7:$B$11,Lookups!$C$7:$C$11,"Unknown")</f>
        <v/>
      </c>
      <c r="T584" s="31">
        <f>XLOOKUP(G584,Lookups!$E$7:$E$11,Lookups!$F$7:$F$11,0)</f>
        <v/>
      </c>
      <c r="U584" s="32">
        <f>R584-T584</f>
        <v/>
      </c>
      <c r="V584">
        <f>XLOOKUP(I584,Lookups!$H$7:$H$10,Lookups!$I$7:$I$10,"")</f>
        <v/>
      </c>
      <c r="W584">
        <f>IF(O584&gt;=50000,"HIGH VALUE","")</f>
        <v/>
      </c>
      <c r="X584">
        <f>IF(Q584&lt;0,"LOSS","")</f>
        <v/>
      </c>
      <c r="Y584">
        <f>IFS(M584&gt;=0.15,"Deep Discount",M584&gt;=0.1,"Moderate",TRUE,"Standard")</f>
        <v/>
      </c>
    </row>
    <row r="585">
      <c r="A585">
        <f>Raw_Data!A585</f>
        <v/>
      </c>
      <c r="B585" s="29">
        <f>Raw_Data!B585</f>
        <v/>
      </c>
      <c r="C585">
        <f>YEAR(B585)</f>
        <v/>
      </c>
      <c r="D585">
        <f>MONTH(B585)</f>
        <v/>
      </c>
      <c r="E585">
        <f>TEXT(B585,"MMM-YYYY")</f>
        <v/>
      </c>
      <c r="F585">
        <f>Raw_Data!C585</f>
        <v/>
      </c>
      <c r="G585">
        <f>Raw_Data!D585</f>
        <v/>
      </c>
      <c r="H585">
        <f>Raw_Data!E585</f>
        <v/>
      </c>
      <c r="I585">
        <f>Raw_Data!F585</f>
        <v/>
      </c>
      <c r="J585">
        <f>Raw_Data!G585</f>
        <v/>
      </c>
      <c r="K585">
        <f>Raw_Data!H585</f>
        <v/>
      </c>
      <c r="L585" s="30">
        <f>Raw_Data!I585</f>
        <v/>
      </c>
      <c r="M585" s="31">
        <f>Raw_Data!J585</f>
        <v/>
      </c>
      <c r="N585" s="17">
        <f>K585*L585</f>
        <v/>
      </c>
      <c r="O585" s="17">
        <f>N585*(1-M585)</f>
        <v/>
      </c>
      <c r="P585" s="17">
        <f>Raw_Data!L585</f>
        <v/>
      </c>
      <c r="Q585" s="17">
        <f>O585-P585</f>
        <v/>
      </c>
      <c r="R585" s="31">
        <f>IF(O585=0,0,Q585/O585)</f>
        <v/>
      </c>
      <c r="S585">
        <f>XLOOKUP(F585,Lookups!$B$7:$B$11,Lookups!$C$7:$C$11,"Unknown")</f>
        <v/>
      </c>
      <c r="T585" s="31">
        <f>XLOOKUP(G585,Lookups!$E$7:$E$11,Lookups!$F$7:$F$11,0)</f>
        <v/>
      </c>
      <c r="U585" s="32">
        <f>R585-T585</f>
        <v/>
      </c>
      <c r="V585">
        <f>XLOOKUP(I585,Lookups!$H$7:$H$10,Lookups!$I$7:$I$10,"")</f>
        <v/>
      </c>
      <c r="W585">
        <f>IF(O585&gt;=50000,"HIGH VALUE","")</f>
        <v/>
      </c>
      <c r="X585">
        <f>IF(Q585&lt;0,"LOSS","")</f>
        <v/>
      </c>
      <c r="Y585">
        <f>IFS(M585&gt;=0.15,"Deep Discount",M585&gt;=0.1,"Moderate",TRUE,"Standard")</f>
        <v/>
      </c>
    </row>
    <row r="586">
      <c r="A586">
        <f>Raw_Data!A586</f>
        <v/>
      </c>
      <c r="B586" s="29">
        <f>Raw_Data!B586</f>
        <v/>
      </c>
      <c r="C586">
        <f>YEAR(B586)</f>
        <v/>
      </c>
      <c r="D586">
        <f>MONTH(B586)</f>
        <v/>
      </c>
      <c r="E586">
        <f>TEXT(B586,"MMM-YYYY")</f>
        <v/>
      </c>
      <c r="F586">
        <f>Raw_Data!C586</f>
        <v/>
      </c>
      <c r="G586">
        <f>Raw_Data!D586</f>
        <v/>
      </c>
      <c r="H586">
        <f>Raw_Data!E586</f>
        <v/>
      </c>
      <c r="I586">
        <f>Raw_Data!F586</f>
        <v/>
      </c>
      <c r="J586">
        <f>Raw_Data!G586</f>
        <v/>
      </c>
      <c r="K586">
        <f>Raw_Data!H586</f>
        <v/>
      </c>
      <c r="L586" s="30">
        <f>Raw_Data!I586</f>
        <v/>
      </c>
      <c r="M586" s="31">
        <f>Raw_Data!J586</f>
        <v/>
      </c>
      <c r="N586" s="17">
        <f>K586*L586</f>
        <v/>
      </c>
      <c r="O586" s="17">
        <f>N586*(1-M586)</f>
        <v/>
      </c>
      <c r="P586" s="17">
        <f>Raw_Data!L586</f>
        <v/>
      </c>
      <c r="Q586" s="17">
        <f>O586-P586</f>
        <v/>
      </c>
      <c r="R586" s="31">
        <f>IF(O586=0,0,Q586/O586)</f>
        <v/>
      </c>
      <c r="S586">
        <f>XLOOKUP(F586,Lookups!$B$7:$B$11,Lookups!$C$7:$C$11,"Unknown")</f>
        <v/>
      </c>
      <c r="T586" s="31">
        <f>XLOOKUP(G586,Lookups!$E$7:$E$11,Lookups!$F$7:$F$11,0)</f>
        <v/>
      </c>
      <c r="U586" s="32">
        <f>R586-T586</f>
        <v/>
      </c>
      <c r="V586">
        <f>XLOOKUP(I586,Lookups!$H$7:$H$10,Lookups!$I$7:$I$10,"")</f>
        <v/>
      </c>
      <c r="W586">
        <f>IF(O586&gt;=50000,"HIGH VALUE","")</f>
        <v/>
      </c>
      <c r="X586">
        <f>IF(Q586&lt;0,"LOSS","")</f>
        <v/>
      </c>
      <c r="Y586">
        <f>IFS(M586&gt;=0.15,"Deep Discount",M586&gt;=0.1,"Moderate",TRUE,"Standard")</f>
        <v/>
      </c>
    </row>
    <row r="587">
      <c r="A587">
        <f>Raw_Data!A587</f>
        <v/>
      </c>
      <c r="B587" s="29">
        <f>Raw_Data!B587</f>
        <v/>
      </c>
      <c r="C587">
        <f>YEAR(B587)</f>
        <v/>
      </c>
      <c r="D587">
        <f>MONTH(B587)</f>
        <v/>
      </c>
      <c r="E587">
        <f>TEXT(B587,"MMM-YYYY")</f>
        <v/>
      </c>
      <c r="F587">
        <f>Raw_Data!C587</f>
        <v/>
      </c>
      <c r="G587">
        <f>Raw_Data!D587</f>
        <v/>
      </c>
      <c r="H587">
        <f>Raw_Data!E587</f>
        <v/>
      </c>
      <c r="I587">
        <f>Raw_Data!F587</f>
        <v/>
      </c>
      <c r="J587">
        <f>Raw_Data!G587</f>
        <v/>
      </c>
      <c r="K587">
        <f>Raw_Data!H587</f>
        <v/>
      </c>
      <c r="L587" s="30">
        <f>Raw_Data!I587</f>
        <v/>
      </c>
      <c r="M587" s="31">
        <f>Raw_Data!J587</f>
        <v/>
      </c>
      <c r="N587" s="17">
        <f>K587*L587</f>
        <v/>
      </c>
      <c r="O587" s="17">
        <f>N587*(1-M587)</f>
        <v/>
      </c>
      <c r="P587" s="17">
        <f>Raw_Data!L587</f>
        <v/>
      </c>
      <c r="Q587" s="17">
        <f>O587-P587</f>
        <v/>
      </c>
      <c r="R587" s="31">
        <f>IF(O587=0,0,Q587/O587)</f>
        <v/>
      </c>
      <c r="S587">
        <f>XLOOKUP(F587,Lookups!$B$7:$B$11,Lookups!$C$7:$C$11,"Unknown")</f>
        <v/>
      </c>
      <c r="T587" s="31">
        <f>XLOOKUP(G587,Lookups!$E$7:$E$11,Lookups!$F$7:$F$11,0)</f>
        <v/>
      </c>
      <c r="U587" s="32">
        <f>R587-T587</f>
        <v/>
      </c>
      <c r="V587">
        <f>XLOOKUP(I587,Lookups!$H$7:$H$10,Lookups!$I$7:$I$10,"")</f>
        <v/>
      </c>
      <c r="W587">
        <f>IF(O587&gt;=50000,"HIGH VALUE","")</f>
        <v/>
      </c>
      <c r="X587">
        <f>IF(Q587&lt;0,"LOSS","")</f>
        <v/>
      </c>
      <c r="Y587">
        <f>IFS(M587&gt;=0.15,"Deep Discount",M587&gt;=0.1,"Moderate",TRUE,"Standard")</f>
        <v/>
      </c>
    </row>
    <row r="588">
      <c r="A588">
        <f>Raw_Data!A588</f>
        <v/>
      </c>
      <c r="B588" s="29">
        <f>Raw_Data!B588</f>
        <v/>
      </c>
      <c r="C588">
        <f>YEAR(B588)</f>
        <v/>
      </c>
      <c r="D588">
        <f>MONTH(B588)</f>
        <v/>
      </c>
      <c r="E588">
        <f>TEXT(B588,"MMM-YYYY")</f>
        <v/>
      </c>
      <c r="F588">
        <f>Raw_Data!C588</f>
        <v/>
      </c>
      <c r="G588">
        <f>Raw_Data!D588</f>
        <v/>
      </c>
      <c r="H588">
        <f>Raw_Data!E588</f>
        <v/>
      </c>
      <c r="I588">
        <f>Raw_Data!F588</f>
        <v/>
      </c>
      <c r="J588">
        <f>Raw_Data!G588</f>
        <v/>
      </c>
      <c r="K588">
        <f>Raw_Data!H588</f>
        <v/>
      </c>
      <c r="L588" s="30">
        <f>Raw_Data!I588</f>
        <v/>
      </c>
      <c r="M588" s="31">
        <f>Raw_Data!J588</f>
        <v/>
      </c>
      <c r="N588" s="17">
        <f>K588*L588</f>
        <v/>
      </c>
      <c r="O588" s="17">
        <f>N588*(1-M588)</f>
        <v/>
      </c>
      <c r="P588" s="17">
        <f>Raw_Data!L588</f>
        <v/>
      </c>
      <c r="Q588" s="17">
        <f>O588-P588</f>
        <v/>
      </c>
      <c r="R588" s="31">
        <f>IF(O588=0,0,Q588/O588)</f>
        <v/>
      </c>
      <c r="S588">
        <f>XLOOKUP(F588,Lookups!$B$7:$B$11,Lookups!$C$7:$C$11,"Unknown")</f>
        <v/>
      </c>
      <c r="T588" s="31">
        <f>XLOOKUP(G588,Lookups!$E$7:$E$11,Lookups!$F$7:$F$11,0)</f>
        <v/>
      </c>
      <c r="U588" s="32">
        <f>R588-T588</f>
        <v/>
      </c>
      <c r="V588">
        <f>XLOOKUP(I588,Lookups!$H$7:$H$10,Lookups!$I$7:$I$10,"")</f>
        <v/>
      </c>
      <c r="W588">
        <f>IF(O588&gt;=50000,"HIGH VALUE","")</f>
        <v/>
      </c>
      <c r="X588">
        <f>IF(Q588&lt;0,"LOSS","")</f>
        <v/>
      </c>
      <c r="Y588">
        <f>IFS(M588&gt;=0.15,"Deep Discount",M588&gt;=0.1,"Moderate",TRUE,"Standard")</f>
        <v/>
      </c>
    </row>
    <row r="589">
      <c r="A589">
        <f>Raw_Data!A589</f>
        <v/>
      </c>
      <c r="B589" s="29">
        <f>Raw_Data!B589</f>
        <v/>
      </c>
      <c r="C589">
        <f>YEAR(B589)</f>
        <v/>
      </c>
      <c r="D589">
        <f>MONTH(B589)</f>
        <v/>
      </c>
      <c r="E589">
        <f>TEXT(B589,"MMM-YYYY")</f>
        <v/>
      </c>
      <c r="F589">
        <f>Raw_Data!C589</f>
        <v/>
      </c>
      <c r="G589">
        <f>Raw_Data!D589</f>
        <v/>
      </c>
      <c r="H589">
        <f>Raw_Data!E589</f>
        <v/>
      </c>
      <c r="I589">
        <f>Raw_Data!F589</f>
        <v/>
      </c>
      <c r="J589">
        <f>Raw_Data!G589</f>
        <v/>
      </c>
      <c r="K589">
        <f>Raw_Data!H589</f>
        <v/>
      </c>
      <c r="L589" s="30">
        <f>Raw_Data!I589</f>
        <v/>
      </c>
      <c r="M589" s="31">
        <f>Raw_Data!J589</f>
        <v/>
      </c>
      <c r="N589" s="17">
        <f>K589*L589</f>
        <v/>
      </c>
      <c r="O589" s="17">
        <f>N589*(1-M589)</f>
        <v/>
      </c>
      <c r="P589" s="17">
        <f>Raw_Data!L589</f>
        <v/>
      </c>
      <c r="Q589" s="17">
        <f>O589-P589</f>
        <v/>
      </c>
      <c r="R589" s="31">
        <f>IF(O589=0,0,Q589/O589)</f>
        <v/>
      </c>
      <c r="S589">
        <f>XLOOKUP(F589,Lookups!$B$7:$B$11,Lookups!$C$7:$C$11,"Unknown")</f>
        <v/>
      </c>
      <c r="T589" s="31">
        <f>XLOOKUP(G589,Lookups!$E$7:$E$11,Lookups!$F$7:$F$11,0)</f>
        <v/>
      </c>
      <c r="U589" s="32">
        <f>R589-T589</f>
        <v/>
      </c>
      <c r="V589">
        <f>XLOOKUP(I589,Lookups!$H$7:$H$10,Lookups!$I$7:$I$10,"")</f>
        <v/>
      </c>
      <c r="W589">
        <f>IF(O589&gt;=50000,"HIGH VALUE","")</f>
        <v/>
      </c>
      <c r="X589">
        <f>IF(Q589&lt;0,"LOSS","")</f>
        <v/>
      </c>
      <c r="Y589">
        <f>IFS(M589&gt;=0.15,"Deep Discount",M589&gt;=0.1,"Moderate",TRUE,"Standard")</f>
        <v/>
      </c>
    </row>
    <row r="590">
      <c r="A590">
        <f>Raw_Data!A590</f>
        <v/>
      </c>
      <c r="B590" s="29">
        <f>Raw_Data!B590</f>
        <v/>
      </c>
      <c r="C590">
        <f>YEAR(B590)</f>
        <v/>
      </c>
      <c r="D590">
        <f>MONTH(B590)</f>
        <v/>
      </c>
      <c r="E590">
        <f>TEXT(B590,"MMM-YYYY")</f>
        <v/>
      </c>
      <c r="F590">
        <f>Raw_Data!C590</f>
        <v/>
      </c>
      <c r="G590">
        <f>Raw_Data!D590</f>
        <v/>
      </c>
      <c r="H590">
        <f>Raw_Data!E590</f>
        <v/>
      </c>
      <c r="I590">
        <f>Raw_Data!F590</f>
        <v/>
      </c>
      <c r="J590">
        <f>Raw_Data!G590</f>
        <v/>
      </c>
      <c r="K590">
        <f>Raw_Data!H590</f>
        <v/>
      </c>
      <c r="L590" s="30">
        <f>Raw_Data!I590</f>
        <v/>
      </c>
      <c r="M590" s="31">
        <f>Raw_Data!J590</f>
        <v/>
      </c>
      <c r="N590" s="17">
        <f>K590*L590</f>
        <v/>
      </c>
      <c r="O590" s="17">
        <f>N590*(1-M590)</f>
        <v/>
      </c>
      <c r="P590" s="17">
        <f>Raw_Data!L590</f>
        <v/>
      </c>
      <c r="Q590" s="17">
        <f>O590-P590</f>
        <v/>
      </c>
      <c r="R590" s="31">
        <f>IF(O590=0,0,Q590/O590)</f>
        <v/>
      </c>
      <c r="S590">
        <f>XLOOKUP(F590,Lookups!$B$7:$B$11,Lookups!$C$7:$C$11,"Unknown")</f>
        <v/>
      </c>
      <c r="T590" s="31">
        <f>XLOOKUP(G590,Lookups!$E$7:$E$11,Lookups!$F$7:$F$11,0)</f>
        <v/>
      </c>
      <c r="U590" s="32">
        <f>R590-T590</f>
        <v/>
      </c>
      <c r="V590">
        <f>XLOOKUP(I590,Lookups!$H$7:$H$10,Lookups!$I$7:$I$10,"")</f>
        <v/>
      </c>
      <c r="W590">
        <f>IF(O590&gt;=50000,"HIGH VALUE","")</f>
        <v/>
      </c>
      <c r="X590">
        <f>IF(Q590&lt;0,"LOSS","")</f>
        <v/>
      </c>
      <c r="Y590">
        <f>IFS(M590&gt;=0.15,"Deep Discount",M590&gt;=0.1,"Moderate",TRUE,"Standard")</f>
        <v/>
      </c>
    </row>
    <row r="591">
      <c r="A591">
        <f>Raw_Data!A591</f>
        <v/>
      </c>
      <c r="B591" s="29">
        <f>Raw_Data!B591</f>
        <v/>
      </c>
      <c r="C591">
        <f>YEAR(B591)</f>
        <v/>
      </c>
      <c r="D591">
        <f>MONTH(B591)</f>
        <v/>
      </c>
      <c r="E591">
        <f>TEXT(B591,"MMM-YYYY")</f>
        <v/>
      </c>
      <c r="F591">
        <f>Raw_Data!C591</f>
        <v/>
      </c>
      <c r="G591">
        <f>Raw_Data!D591</f>
        <v/>
      </c>
      <c r="H591">
        <f>Raw_Data!E591</f>
        <v/>
      </c>
      <c r="I591">
        <f>Raw_Data!F591</f>
        <v/>
      </c>
      <c r="J591">
        <f>Raw_Data!G591</f>
        <v/>
      </c>
      <c r="K591">
        <f>Raw_Data!H591</f>
        <v/>
      </c>
      <c r="L591" s="30">
        <f>Raw_Data!I591</f>
        <v/>
      </c>
      <c r="M591" s="31">
        <f>Raw_Data!J591</f>
        <v/>
      </c>
      <c r="N591" s="17">
        <f>K591*L591</f>
        <v/>
      </c>
      <c r="O591" s="17">
        <f>N591*(1-M591)</f>
        <v/>
      </c>
      <c r="P591" s="17">
        <f>Raw_Data!L591</f>
        <v/>
      </c>
      <c r="Q591" s="17">
        <f>O591-P591</f>
        <v/>
      </c>
      <c r="R591" s="31">
        <f>IF(O591=0,0,Q591/O591)</f>
        <v/>
      </c>
      <c r="S591">
        <f>XLOOKUP(F591,Lookups!$B$7:$B$11,Lookups!$C$7:$C$11,"Unknown")</f>
        <v/>
      </c>
      <c r="T591" s="31">
        <f>XLOOKUP(G591,Lookups!$E$7:$E$11,Lookups!$F$7:$F$11,0)</f>
        <v/>
      </c>
      <c r="U591" s="32">
        <f>R591-T591</f>
        <v/>
      </c>
      <c r="V591">
        <f>XLOOKUP(I591,Lookups!$H$7:$H$10,Lookups!$I$7:$I$10,"")</f>
        <v/>
      </c>
      <c r="W591">
        <f>IF(O591&gt;=50000,"HIGH VALUE","")</f>
        <v/>
      </c>
      <c r="X591">
        <f>IF(Q591&lt;0,"LOSS","")</f>
        <v/>
      </c>
      <c r="Y591">
        <f>IFS(M591&gt;=0.15,"Deep Discount",M591&gt;=0.1,"Moderate",TRUE,"Standard")</f>
        <v/>
      </c>
    </row>
    <row r="592">
      <c r="A592">
        <f>Raw_Data!A592</f>
        <v/>
      </c>
      <c r="B592" s="29">
        <f>Raw_Data!B592</f>
        <v/>
      </c>
      <c r="C592">
        <f>YEAR(B592)</f>
        <v/>
      </c>
      <c r="D592">
        <f>MONTH(B592)</f>
        <v/>
      </c>
      <c r="E592">
        <f>TEXT(B592,"MMM-YYYY")</f>
        <v/>
      </c>
      <c r="F592">
        <f>Raw_Data!C592</f>
        <v/>
      </c>
      <c r="G592">
        <f>Raw_Data!D592</f>
        <v/>
      </c>
      <c r="H592">
        <f>Raw_Data!E592</f>
        <v/>
      </c>
      <c r="I592">
        <f>Raw_Data!F592</f>
        <v/>
      </c>
      <c r="J592">
        <f>Raw_Data!G592</f>
        <v/>
      </c>
      <c r="K592">
        <f>Raw_Data!H592</f>
        <v/>
      </c>
      <c r="L592" s="30">
        <f>Raw_Data!I592</f>
        <v/>
      </c>
      <c r="M592" s="31">
        <f>Raw_Data!J592</f>
        <v/>
      </c>
      <c r="N592" s="17">
        <f>K592*L592</f>
        <v/>
      </c>
      <c r="O592" s="17">
        <f>N592*(1-M592)</f>
        <v/>
      </c>
      <c r="P592" s="17">
        <f>Raw_Data!L592</f>
        <v/>
      </c>
      <c r="Q592" s="17">
        <f>O592-P592</f>
        <v/>
      </c>
      <c r="R592" s="31">
        <f>IF(O592=0,0,Q592/O592)</f>
        <v/>
      </c>
      <c r="S592">
        <f>XLOOKUP(F592,Lookups!$B$7:$B$11,Lookups!$C$7:$C$11,"Unknown")</f>
        <v/>
      </c>
      <c r="T592" s="31">
        <f>XLOOKUP(G592,Lookups!$E$7:$E$11,Lookups!$F$7:$F$11,0)</f>
        <v/>
      </c>
      <c r="U592" s="32">
        <f>R592-T592</f>
        <v/>
      </c>
      <c r="V592">
        <f>XLOOKUP(I592,Lookups!$H$7:$H$10,Lookups!$I$7:$I$10,"")</f>
        <v/>
      </c>
      <c r="W592">
        <f>IF(O592&gt;=50000,"HIGH VALUE","")</f>
        <v/>
      </c>
      <c r="X592">
        <f>IF(Q592&lt;0,"LOSS","")</f>
        <v/>
      </c>
      <c r="Y592">
        <f>IFS(M592&gt;=0.15,"Deep Discount",M592&gt;=0.1,"Moderate",TRUE,"Standard")</f>
        <v/>
      </c>
    </row>
    <row r="593">
      <c r="A593">
        <f>Raw_Data!A593</f>
        <v/>
      </c>
      <c r="B593" s="29">
        <f>Raw_Data!B593</f>
        <v/>
      </c>
      <c r="C593">
        <f>YEAR(B593)</f>
        <v/>
      </c>
      <c r="D593">
        <f>MONTH(B593)</f>
        <v/>
      </c>
      <c r="E593">
        <f>TEXT(B593,"MMM-YYYY")</f>
        <v/>
      </c>
      <c r="F593">
        <f>Raw_Data!C593</f>
        <v/>
      </c>
      <c r="G593">
        <f>Raw_Data!D593</f>
        <v/>
      </c>
      <c r="H593">
        <f>Raw_Data!E593</f>
        <v/>
      </c>
      <c r="I593">
        <f>Raw_Data!F593</f>
        <v/>
      </c>
      <c r="J593">
        <f>Raw_Data!G593</f>
        <v/>
      </c>
      <c r="K593">
        <f>Raw_Data!H593</f>
        <v/>
      </c>
      <c r="L593" s="30">
        <f>Raw_Data!I593</f>
        <v/>
      </c>
      <c r="M593" s="31">
        <f>Raw_Data!J593</f>
        <v/>
      </c>
      <c r="N593" s="17">
        <f>K593*L593</f>
        <v/>
      </c>
      <c r="O593" s="17">
        <f>N593*(1-M593)</f>
        <v/>
      </c>
      <c r="P593" s="17">
        <f>Raw_Data!L593</f>
        <v/>
      </c>
      <c r="Q593" s="17">
        <f>O593-P593</f>
        <v/>
      </c>
      <c r="R593" s="31">
        <f>IF(O593=0,0,Q593/O593)</f>
        <v/>
      </c>
      <c r="S593">
        <f>XLOOKUP(F593,Lookups!$B$7:$B$11,Lookups!$C$7:$C$11,"Unknown")</f>
        <v/>
      </c>
      <c r="T593" s="31">
        <f>XLOOKUP(G593,Lookups!$E$7:$E$11,Lookups!$F$7:$F$11,0)</f>
        <v/>
      </c>
      <c r="U593" s="32">
        <f>R593-T593</f>
        <v/>
      </c>
      <c r="V593">
        <f>XLOOKUP(I593,Lookups!$H$7:$H$10,Lookups!$I$7:$I$10,"")</f>
        <v/>
      </c>
      <c r="W593">
        <f>IF(O593&gt;=50000,"HIGH VALUE","")</f>
        <v/>
      </c>
      <c r="X593">
        <f>IF(Q593&lt;0,"LOSS","")</f>
        <v/>
      </c>
      <c r="Y593">
        <f>IFS(M593&gt;=0.15,"Deep Discount",M593&gt;=0.1,"Moderate",TRUE,"Standard")</f>
        <v/>
      </c>
    </row>
    <row r="594">
      <c r="A594">
        <f>Raw_Data!A594</f>
        <v/>
      </c>
      <c r="B594" s="29">
        <f>Raw_Data!B594</f>
        <v/>
      </c>
      <c r="C594">
        <f>YEAR(B594)</f>
        <v/>
      </c>
      <c r="D594">
        <f>MONTH(B594)</f>
        <v/>
      </c>
      <c r="E594">
        <f>TEXT(B594,"MMM-YYYY")</f>
        <v/>
      </c>
      <c r="F594">
        <f>Raw_Data!C594</f>
        <v/>
      </c>
      <c r="G594">
        <f>Raw_Data!D594</f>
        <v/>
      </c>
      <c r="H594">
        <f>Raw_Data!E594</f>
        <v/>
      </c>
      <c r="I594">
        <f>Raw_Data!F594</f>
        <v/>
      </c>
      <c r="J594">
        <f>Raw_Data!G594</f>
        <v/>
      </c>
      <c r="K594">
        <f>Raw_Data!H594</f>
        <v/>
      </c>
      <c r="L594" s="30">
        <f>Raw_Data!I594</f>
        <v/>
      </c>
      <c r="M594" s="31">
        <f>Raw_Data!J594</f>
        <v/>
      </c>
      <c r="N594" s="17">
        <f>K594*L594</f>
        <v/>
      </c>
      <c r="O594" s="17">
        <f>N594*(1-M594)</f>
        <v/>
      </c>
      <c r="P594" s="17">
        <f>Raw_Data!L594</f>
        <v/>
      </c>
      <c r="Q594" s="17">
        <f>O594-P594</f>
        <v/>
      </c>
      <c r="R594" s="31">
        <f>IF(O594=0,0,Q594/O594)</f>
        <v/>
      </c>
      <c r="S594">
        <f>XLOOKUP(F594,Lookups!$B$7:$B$11,Lookups!$C$7:$C$11,"Unknown")</f>
        <v/>
      </c>
      <c r="T594" s="31">
        <f>XLOOKUP(G594,Lookups!$E$7:$E$11,Lookups!$F$7:$F$11,0)</f>
        <v/>
      </c>
      <c r="U594" s="32">
        <f>R594-T594</f>
        <v/>
      </c>
      <c r="V594">
        <f>XLOOKUP(I594,Lookups!$H$7:$H$10,Lookups!$I$7:$I$10,"")</f>
        <v/>
      </c>
      <c r="W594">
        <f>IF(O594&gt;=50000,"HIGH VALUE","")</f>
        <v/>
      </c>
      <c r="X594">
        <f>IF(Q594&lt;0,"LOSS","")</f>
        <v/>
      </c>
      <c r="Y594">
        <f>IFS(M594&gt;=0.15,"Deep Discount",M594&gt;=0.1,"Moderate",TRUE,"Standard")</f>
        <v/>
      </c>
    </row>
    <row r="595">
      <c r="A595">
        <f>Raw_Data!A595</f>
        <v/>
      </c>
      <c r="B595" s="29">
        <f>Raw_Data!B595</f>
        <v/>
      </c>
      <c r="C595">
        <f>YEAR(B595)</f>
        <v/>
      </c>
      <c r="D595">
        <f>MONTH(B595)</f>
        <v/>
      </c>
      <c r="E595">
        <f>TEXT(B595,"MMM-YYYY")</f>
        <v/>
      </c>
      <c r="F595">
        <f>Raw_Data!C595</f>
        <v/>
      </c>
      <c r="G595">
        <f>Raw_Data!D595</f>
        <v/>
      </c>
      <c r="H595">
        <f>Raw_Data!E595</f>
        <v/>
      </c>
      <c r="I595">
        <f>Raw_Data!F595</f>
        <v/>
      </c>
      <c r="J595">
        <f>Raw_Data!G595</f>
        <v/>
      </c>
      <c r="K595">
        <f>Raw_Data!H595</f>
        <v/>
      </c>
      <c r="L595" s="30">
        <f>Raw_Data!I595</f>
        <v/>
      </c>
      <c r="M595" s="31">
        <f>Raw_Data!J595</f>
        <v/>
      </c>
      <c r="N595" s="17">
        <f>K595*L595</f>
        <v/>
      </c>
      <c r="O595" s="17">
        <f>N595*(1-M595)</f>
        <v/>
      </c>
      <c r="P595" s="17">
        <f>Raw_Data!L595</f>
        <v/>
      </c>
      <c r="Q595" s="17">
        <f>O595-P595</f>
        <v/>
      </c>
      <c r="R595" s="31">
        <f>IF(O595=0,0,Q595/O595)</f>
        <v/>
      </c>
      <c r="S595">
        <f>XLOOKUP(F595,Lookups!$B$7:$B$11,Lookups!$C$7:$C$11,"Unknown")</f>
        <v/>
      </c>
      <c r="T595" s="31">
        <f>XLOOKUP(G595,Lookups!$E$7:$E$11,Lookups!$F$7:$F$11,0)</f>
        <v/>
      </c>
      <c r="U595" s="32">
        <f>R595-T595</f>
        <v/>
      </c>
      <c r="V595">
        <f>XLOOKUP(I595,Lookups!$H$7:$H$10,Lookups!$I$7:$I$10,"")</f>
        <v/>
      </c>
      <c r="W595">
        <f>IF(O595&gt;=50000,"HIGH VALUE","")</f>
        <v/>
      </c>
      <c r="X595">
        <f>IF(Q595&lt;0,"LOSS","")</f>
        <v/>
      </c>
      <c r="Y595">
        <f>IFS(M595&gt;=0.15,"Deep Discount",M595&gt;=0.1,"Moderate",TRUE,"Standard")</f>
        <v/>
      </c>
    </row>
    <row r="596">
      <c r="A596">
        <f>Raw_Data!A596</f>
        <v/>
      </c>
      <c r="B596" s="29">
        <f>Raw_Data!B596</f>
        <v/>
      </c>
      <c r="C596">
        <f>YEAR(B596)</f>
        <v/>
      </c>
      <c r="D596">
        <f>MONTH(B596)</f>
        <v/>
      </c>
      <c r="E596">
        <f>TEXT(B596,"MMM-YYYY")</f>
        <v/>
      </c>
      <c r="F596">
        <f>Raw_Data!C596</f>
        <v/>
      </c>
      <c r="G596">
        <f>Raw_Data!D596</f>
        <v/>
      </c>
      <c r="H596">
        <f>Raw_Data!E596</f>
        <v/>
      </c>
      <c r="I596">
        <f>Raw_Data!F596</f>
        <v/>
      </c>
      <c r="J596">
        <f>Raw_Data!G596</f>
        <v/>
      </c>
      <c r="K596">
        <f>Raw_Data!H596</f>
        <v/>
      </c>
      <c r="L596" s="30">
        <f>Raw_Data!I596</f>
        <v/>
      </c>
      <c r="M596" s="31">
        <f>Raw_Data!J596</f>
        <v/>
      </c>
      <c r="N596" s="17">
        <f>K596*L596</f>
        <v/>
      </c>
      <c r="O596" s="17">
        <f>N596*(1-M596)</f>
        <v/>
      </c>
      <c r="P596" s="17">
        <f>Raw_Data!L596</f>
        <v/>
      </c>
      <c r="Q596" s="17">
        <f>O596-P596</f>
        <v/>
      </c>
      <c r="R596" s="31">
        <f>IF(O596=0,0,Q596/O596)</f>
        <v/>
      </c>
      <c r="S596">
        <f>XLOOKUP(F596,Lookups!$B$7:$B$11,Lookups!$C$7:$C$11,"Unknown")</f>
        <v/>
      </c>
      <c r="T596" s="31">
        <f>XLOOKUP(G596,Lookups!$E$7:$E$11,Lookups!$F$7:$F$11,0)</f>
        <v/>
      </c>
      <c r="U596" s="32">
        <f>R596-T596</f>
        <v/>
      </c>
      <c r="V596">
        <f>XLOOKUP(I596,Lookups!$H$7:$H$10,Lookups!$I$7:$I$10,"")</f>
        <v/>
      </c>
      <c r="W596">
        <f>IF(O596&gt;=50000,"HIGH VALUE","")</f>
        <v/>
      </c>
      <c r="X596">
        <f>IF(Q596&lt;0,"LOSS","")</f>
        <v/>
      </c>
      <c r="Y596">
        <f>IFS(M596&gt;=0.15,"Deep Discount",M596&gt;=0.1,"Moderate",TRUE,"Standard")</f>
        <v/>
      </c>
    </row>
    <row r="597">
      <c r="A597">
        <f>Raw_Data!A597</f>
        <v/>
      </c>
      <c r="B597" s="29">
        <f>Raw_Data!B597</f>
        <v/>
      </c>
      <c r="C597">
        <f>YEAR(B597)</f>
        <v/>
      </c>
      <c r="D597">
        <f>MONTH(B597)</f>
        <v/>
      </c>
      <c r="E597">
        <f>TEXT(B597,"MMM-YYYY")</f>
        <v/>
      </c>
      <c r="F597">
        <f>Raw_Data!C597</f>
        <v/>
      </c>
      <c r="G597">
        <f>Raw_Data!D597</f>
        <v/>
      </c>
      <c r="H597">
        <f>Raw_Data!E597</f>
        <v/>
      </c>
      <c r="I597">
        <f>Raw_Data!F597</f>
        <v/>
      </c>
      <c r="J597">
        <f>Raw_Data!G597</f>
        <v/>
      </c>
      <c r="K597">
        <f>Raw_Data!H597</f>
        <v/>
      </c>
      <c r="L597" s="30">
        <f>Raw_Data!I597</f>
        <v/>
      </c>
      <c r="M597" s="31">
        <f>Raw_Data!J597</f>
        <v/>
      </c>
      <c r="N597" s="17">
        <f>K597*L597</f>
        <v/>
      </c>
      <c r="O597" s="17">
        <f>N597*(1-M597)</f>
        <v/>
      </c>
      <c r="P597" s="17">
        <f>Raw_Data!L597</f>
        <v/>
      </c>
      <c r="Q597" s="17">
        <f>O597-P597</f>
        <v/>
      </c>
      <c r="R597" s="31">
        <f>IF(O597=0,0,Q597/O597)</f>
        <v/>
      </c>
      <c r="S597">
        <f>XLOOKUP(F597,Lookups!$B$7:$B$11,Lookups!$C$7:$C$11,"Unknown")</f>
        <v/>
      </c>
      <c r="T597" s="31">
        <f>XLOOKUP(G597,Lookups!$E$7:$E$11,Lookups!$F$7:$F$11,0)</f>
        <v/>
      </c>
      <c r="U597" s="32">
        <f>R597-T597</f>
        <v/>
      </c>
      <c r="V597">
        <f>XLOOKUP(I597,Lookups!$H$7:$H$10,Lookups!$I$7:$I$10,"")</f>
        <v/>
      </c>
      <c r="W597">
        <f>IF(O597&gt;=50000,"HIGH VALUE","")</f>
        <v/>
      </c>
      <c r="X597">
        <f>IF(Q597&lt;0,"LOSS","")</f>
        <v/>
      </c>
      <c r="Y597">
        <f>IFS(M597&gt;=0.15,"Deep Discount",M597&gt;=0.1,"Moderate",TRUE,"Standard")</f>
        <v/>
      </c>
    </row>
    <row r="598">
      <c r="A598">
        <f>Raw_Data!A598</f>
        <v/>
      </c>
      <c r="B598" s="29">
        <f>Raw_Data!B598</f>
        <v/>
      </c>
      <c r="C598">
        <f>YEAR(B598)</f>
        <v/>
      </c>
      <c r="D598">
        <f>MONTH(B598)</f>
        <v/>
      </c>
      <c r="E598">
        <f>TEXT(B598,"MMM-YYYY")</f>
        <v/>
      </c>
      <c r="F598">
        <f>Raw_Data!C598</f>
        <v/>
      </c>
      <c r="G598">
        <f>Raw_Data!D598</f>
        <v/>
      </c>
      <c r="H598">
        <f>Raw_Data!E598</f>
        <v/>
      </c>
      <c r="I598">
        <f>Raw_Data!F598</f>
        <v/>
      </c>
      <c r="J598">
        <f>Raw_Data!G598</f>
        <v/>
      </c>
      <c r="K598">
        <f>Raw_Data!H598</f>
        <v/>
      </c>
      <c r="L598" s="30">
        <f>Raw_Data!I598</f>
        <v/>
      </c>
      <c r="M598" s="31">
        <f>Raw_Data!J598</f>
        <v/>
      </c>
      <c r="N598" s="17">
        <f>K598*L598</f>
        <v/>
      </c>
      <c r="O598" s="17">
        <f>N598*(1-M598)</f>
        <v/>
      </c>
      <c r="P598" s="17">
        <f>Raw_Data!L598</f>
        <v/>
      </c>
      <c r="Q598" s="17">
        <f>O598-P598</f>
        <v/>
      </c>
      <c r="R598" s="31">
        <f>IF(O598=0,0,Q598/O598)</f>
        <v/>
      </c>
      <c r="S598">
        <f>XLOOKUP(F598,Lookups!$B$7:$B$11,Lookups!$C$7:$C$11,"Unknown")</f>
        <v/>
      </c>
      <c r="T598" s="31">
        <f>XLOOKUP(G598,Lookups!$E$7:$E$11,Lookups!$F$7:$F$11,0)</f>
        <v/>
      </c>
      <c r="U598" s="32">
        <f>R598-T598</f>
        <v/>
      </c>
      <c r="V598">
        <f>XLOOKUP(I598,Lookups!$H$7:$H$10,Lookups!$I$7:$I$10,"")</f>
        <v/>
      </c>
      <c r="W598">
        <f>IF(O598&gt;=50000,"HIGH VALUE","")</f>
        <v/>
      </c>
      <c r="X598">
        <f>IF(Q598&lt;0,"LOSS","")</f>
        <v/>
      </c>
      <c r="Y598">
        <f>IFS(M598&gt;=0.15,"Deep Discount",M598&gt;=0.1,"Moderate",TRUE,"Standard")</f>
        <v/>
      </c>
    </row>
    <row r="599">
      <c r="A599">
        <f>Raw_Data!A599</f>
        <v/>
      </c>
      <c r="B599" s="29">
        <f>Raw_Data!B599</f>
        <v/>
      </c>
      <c r="C599">
        <f>YEAR(B599)</f>
        <v/>
      </c>
      <c r="D599">
        <f>MONTH(B599)</f>
        <v/>
      </c>
      <c r="E599">
        <f>TEXT(B599,"MMM-YYYY")</f>
        <v/>
      </c>
      <c r="F599">
        <f>Raw_Data!C599</f>
        <v/>
      </c>
      <c r="G599">
        <f>Raw_Data!D599</f>
        <v/>
      </c>
      <c r="H599">
        <f>Raw_Data!E599</f>
        <v/>
      </c>
      <c r="I599">
        <f>Raw_Data!F599</f>
        <v/>
      </c>
      <c r="J599">
        <f>Raw_Data!G599</f>
        <v/>
      </c>
      <c r="K599">
        <f>Raw_Data!H599</f>
        <v/>
      </c>
      <c r="L599" s="30">
        <f>Raw_Data!I599</f>
        <v/>
      </c>
      <c r="M599" s="31">
        <f>Raw_Data!J599</f>
        <v/>
      </c>
      <c r="N599" s="17">
        <f>K599*L599</f>
        <v/>
      </c>
      <c r="O599" s="17">
        <f>N599*(1-M599)</f>
        <v/>
      </c>
      <c r="P599" s="17">
        <f>Raw_Data!L599</f>
        <v/>
      </c>
      <c r="Q599" s="17">
        <f>O599-P599</f>
        <v/>
      </c>
      <c r="R599" s="31">
        <f>IF(O599=0,0,Q599/O599)</f>
        <v/>
      </c>
      <c r="S599">
        <f>XLOOKUP(F599,Lookups!$B$7:$B$11,Lookups!$C$7:$C$11,"Unknown")</f>
        <v/>
      </c>
      <c r="T599" s="31">
        <f>XLOOKUP(G599,Lookups!$E$7:$E$11,Lookups!$F$7:$F$11,0)</f>
        <v/>
      </c>
      <c r="U599" s="32">
        <f>R599-T599</f>
        <v/>
      </c>
      <c r="V599">
        <f>XLOOKUP(I599,Lookups!$H$7:$H$10,Lookups!$I$7:$I$10,"")</f>
        <v/>
      </c>
      <c r="W599">
        <f>IF(O599&gt;=50000,"HIGH VALUE","")</f>
        <v/>
      </c>
      <c r="X599">
        <f>IF(Q599&lt;0,"LOSS","")</f>
        <v/>
      </c>
      <c r="Y599">
        <f>IFS(M599&gt;=0.15,"Deep Discount",M599&gt;=0.1,"Moderate",TRUE,"Standard")</f>
        <v/>
      </c>
    </row>
    <row r="600">
      <c r="A600">
        <f>Raw_Data!A600</f>
        <v/>
      </c>
      <c r="B600" s="29">
        <f>Raw_Data!B600</f>
        <v/>
      </c>
      <c r="C600">
        <f>YEAR(B600)</f>
        <v/>
      </c>
      <c r="D600">
        <f>MONTH(B600)</f>
        <v/>
      </c>
      <c r="E600">
        <f>TEXT(B600,"MMM-YYYY")</f>
        <v/>
      </c>
      <c r="F600">
        <f>Raw_Data!C600</f>
        <v/>
      </c>
      <c r="G600">
        <f>Raw_Data!D600</f>
        <v/>
      </c>
      <c r="H600">
        <f>Raw_Data!E600</f>
        <v/>
      </c>
      <c r="I600">
        <f>Raw_Data!F600</f>
        <v/>
      </c>
      <c r="J600">
        <f>Raw_Data!G600</f>
        <v/>
      </c>
      <c r="K600">
        <f>Raw_Data!H600</f>
        <v/>
      </c>
      <c r="L600" s="30">
        <f>Raw_Data!I600</f>
        <v/>
      </c>
      <c r="M600" s="31">
        <f>Raw_Data!J600</f>
        <v/>
      </c>
      <c r="N600" s="17">
        <f>K600*L600</f>
        <v/>
      </c>
      <c r="O600" s="17">
        <f>N600*(1-M600)</f>
        <v/>
      </c>
      <c r="P600" s="17">
        <f>Raw_Data!L600</f>
        <v/>
      </c>
      <c r="Q600" s="17">
        <f>O600-P600</f>
        <v/>
      </c>
      <c r="R600" s="31">
        <f>IF(O600=0,0,Q600/O600)</f>
        <v/>
      </c>
      <c r="S600">
        <f>XLOOKUP(F600,Lookups!$B$7:$B$11,Lookups!$C$7:$C$11,"Unknown")</f>
        <v/>
      </c>
      <c r="T600" s="31">
        <f>XLOOKUP(G600,Lookups!$E$7:$E$11,Lookups!$F$7:$F$11,0)</f>
        <v/>
      </c>
      <c r="U600" s="32">
        <f>R600-T600</f>
        <v/>
      </c>
      <c r="V600">
        <f>XLOOKUP(I600,Lookups!$H$7:$H$10,Lookups!$I$7:$I$10,"")</f>
        <v/>
      </c>
      <c r="W600">
        <f>IF(O600&gt;=50000,"HIGH VALUE","")</f>
        <v/>
      </c>
      <c r="X600">
        <f>IF(Q600&lt;0,"LOSS","")</f>
        <v/>
      </c>
      <c r="Y600">
        <f>IFS(M600&gt;=0.15,"Deep Discount",M600&gt;=0.1,"Moderate",TRUE,"Standard")</f>
        <v/>
      </c>
    </row>
    <row r="601">
      <c r="A601">
        <f>Raw_Data!A601</f>
        <v/>
      </c>
      <c r="B601" s="29">
        <f>Raw_Data!B601</f>
        <v/>
      </c>
      <c r="C601">
        <f>YEAR(B601)</f>
        <v/>
      </c>
      <c r="D601">
        <f>MONTH(B601)</f>
        <v/>
      </c>
      <c r="E601">
        <f>TEXT(B601,"MMM-YYYY")</f>
        <v/>
      </c>
      <c r="F601">
        <f>Raw_Data!C601</f>
        <v/>
      </c>
      <c r="G601">
        <f>Raw_Data!D601</f>
        <v/>
      </c>
      <c r="H601">
        <f>Raw_Data!E601</f>
        <v/>
      </c>
      <c r="I601">
        <f>Raw_Data!F601</f>
        <v/>
      </c>
      <c r="J601">
        <f>Raw_Data!G601</f>
        <v/>
      </c>
      <c r="K601">
        <f>Raw_Data!H601</f>
        <v/>
      </c>
      <c r="L601" s="30">
        <f>Raw_Data!I601</f>
        <v/>
      </c>
      <c r="M601" s="31">
        <f>Raw_Data!J601</f>
        <v/>
      </c>
      <c r="N601" s="17">
        <f>K601*L601</f>
        <v/>
      </c>
      <c r="O601" s="17">
        <f>N601*(1-M601)</f>
        <v/>
      </c>
      <c r="P601" s="17">
        <f>Raw_Data!L601</f>
        <v/>
      </c>
      <c r="Q601" s="17">
        <f>O601-P601</f>
        <v/>
      </c>
      <c r="R601" s="31">
        <f>IF(O601=0,0,Q601/O601)</f>
        <v/>
      </c>
      <c r="S601">
        <f>XLOOKUP(F601,Lookups!$B$7:$B$11,Lookups!$C$7:$C$11,"Unknown")</f>
        <v/>
      </c>
      <c r="T601" s="31">
        <f>XLOOKUP(G601,Lookups!$E$7:$E$11,Lookups!$F$7:$F$11,0)</f>
        <v/>
      </c>
      <c r="U601" s="32">
        <f>R601-T601</f>
        <v/>
      </c>
      <c r="V601">
        <f>XLOOKUP(I601,Lookups!$H$7:$H$10,Lookups!$I$7:$I$10,"")</f>
        <v/>
      </c>
      <c r="W601">
        <f>IF(O601&gt;=50000,"HIGH VALUE","")</f>
        <v/>
      </c>
      <c r="X601">
        <f>IF(Q601&lt;0,"LOSS","")</f>
        <v/>
      </c>
      <c r="Y601">
        <f>IFS(M601&gt;=0.15,"Deep Discount",M601&gt;=0.1,"Moderate",TRUE,"Standard")</f>
        <v/>
      </c>
    </row>
    <row r="602">
      <c r="A602">
        <f>Raw_Data!A602</f>
        <v/>
      </c>
      <c r="B602" s="29">
        <f>Raw_Data!B602</f>
        <v/>
      </c>
      <c r="C602">
        <f>YEAR(B602)</f>
        <v/>
      </c>
      <c r="D602">
        <f>MONTH(B602)</f>
        <v/>
      </c>
      <c r="E602">
        <f>TEXT(B602,"MMM-YYYY")</f>
        <v/>
      </c>
      <c r="F602">
        <f>Raw_Data!C602</f>
        <v/>
      </c>
      <c r="G602">
        <f>Raw_Data!D602</f>
        <v/>
      </c>
      <c r="H602">
        <f>Raw_Data!E602</f>
        <v/>
      </c>
      <c r="I602">
        <f>Raw_Data!F602</f>
        <v/>
      </c>
      <c r="J602">
        <f>Raw_Data!G602</f>
        <v/>
      </c>
      <c r="K602">
        <f>Raw_Data!H602</f>
        <v/>
      </c>
      <c r="L602" s="30">
        <f>Raw_Data!I602</f>
        <v/>
      </c>
      <c r="M602" s="31">
        <f>Raw_Data!J602</f>
        <v/>
      </c>
      <c r="N602" s="17">
        <f>K602*L602</f>
        <v/>
      </c>
      <c r="O602" s="17">
        <f>N602*(1-M602)</f>
        <v/>
      </c>
      <c r="P602" s="17">
        <f>Raw_Data!L602</f>
        <v/>
      </c>
      <c r="Q602" s="17">
        <f>O602-P602</f>
        <v/>
      </c>
      <c r="R602" s="31">
        <f>IF(O602=0,0,Q602/O602)</f>
        <v/>
      </c>
      <c r="S602">
        <f>XLOOKUP(F602,Lookups!$B$7:$B$11,Lookups!$C$7:$C$11,"Unknown")</f>
        <v/>
      </c>
      <c r="T602" s="31">
        <f>XLOOKUP(G602,Lookups!$E$7:$E$11,Lookups!$F$7:$F$11,0)</f>
        <v/>
      </c>
      <c r="U602" s="32">
        <f>R602-T602</f>
        <v/>
      </c>
      <c r="V602">
        <f>XLOOKUP(I602,Lookups!$H$7:$H$10,Lookups!$I$7:$I$10,"")</f>
        <v/>
      </c>
      <c r="W602">
        <f>IF(O602&gt;=50000,"HIGH VALUE","")</f>
        <v/>
      </c>
      <c r="X602">
        <f>IF(Q602&lt;0,"LOSS","")</f>
        <v/>
      </c>
      <c r="Y602">
        <f>IFS(M602&gt;=0.15,"Deep Discount",M602&gt;=0.1,"Moderate",TRUE,"Standard")</f>
        <v/>
      </c>
    </row>
    <row r="603">
      <c r="A603">
        <f>Raw_Data!A603</f>
        <v/>
      </c>
      <c r="B603" s="29">
        <f>Raw_Data!B603</f>
        <v/>
      </c>
      <c r="C603">
        <f>YEAR(B603)</f>
        <v/>
      </c>
      <c r="D603">
        <f>MONTH(B603)</f>
        <v/>
      </c>
      <c r="E603">
        <f>TEXT(B603,"MMM-YYYY")</f>
        <v/>
      </c>
      <c r="F603">
        <f>Raw_Data!C603</f>
        <v/>
      </c>
      <c r="G603">
        <f>Raw_Data!D603</f>
        <v/>
      </c>
      <c r="H603">
        <f>Raw_Data!E603</f>
        <v/>
      </c>
      <c r="I603">
        <f>Raw_Data!F603</f>
        <v/>
      </c>
      <c r="J603">
        <f>Raw_Data!G603</f>
        <v/>
      </c>
      <c r="K603">
        <f>Raw_Data!H603</f>
        <v/>
      </c>
      <c r="L603" s="30">
        <f>Raw_Data!I603</f>
        <v/>
      </c>
      <c r="M603" s="31">
        <f>Raw_Data!J603</f>
        <v/>
      </c>
      <c r="N603" s="17">
        <f>K603*L603</f>
        <v/>
      </c>
      <c r="O603" s="17">
        <f>N603*(1-M603)</f>
        <v/>
      </c>
      <c r="P603" s="17">
        <f>Raw_Data!L603</f>
        <v/>
      </c>
      <c r="Q603" s="17">
        <f>O603-P603</f>
        <v/>
      </c>
      <c r="R603" s="31">
        <f>IF(O603=0,0,Q603/O603)</f>
        <v/>
      </c>
      <c r="S603">
        <f>XLOOKUP(F603,Lookups!$B$7:$B$11,Lookups!$C$7:$C$11,"Unknown")</f>
        <v/>
      </c>
      <c r="T603" s="31">
        <f>XLOOKUP(G603,Lookups!$E$7:$E$11,Lookups!$F$7:$F$11,0)</f>
        <v/>
      </c>
      <c r="U603" s="32">
        <f>R603-T603</f>
        <v/>
      </c>
      <c r="V603">
        <f>XLOOKUP(I603,Lookups!$H$7:$H$10,Lookups!$I$7:$I$10,"")</f>
        <v/>
      </c>
      <c r="W603">
        <f>IF(O603&gt;=50000,"HIGH VALUE","")</f>
        <v/>
      </c>
      <c r="X603">
        <f>IF(Q603&lt;0,"LOSS","")</f>
        <v/>
      </c>
      <c r="Y603">
        <f>IFS(M603&gt;=0.15,"Deep Discount",M603&gt;=0.1,"Moderate",TRUE,"Standard")</f>
        <v/>
      </c>
    </row>
    <row r="604">
      <c r="A604">
        <f>Raw_Data!A604</f>
        <v/>
      </c>
      <c r="B604" s="29">
        <f>Raw_Data!B604</f>
        <v/>
      </c>
      <c r="C604">
        <f>YEAR(B604)</f>
        <v/>
      </c>
      <c r="D604">
        <f>MONTH(B604)</f>
        <v/>
      </c>
      <c r="E604">
        <f>TEXT(B604,"MMM-YYYY")</f>
        <v/>
      </c>
      <c r="F604">
        <f>Raw_Data!C604</f>
        <v/>
      </c>
      <c r="G604">
        <f>Raw_Data!D604</f>
        <v/>
      </c>
      <c r="H604">
        <f>Raw_Data!E604</f>
        <v/>
      </c>
      <c r="I604">
        <f>Raw_Data!F604</f>
        <v/>
      </c>
      <c r="J604">
        <f>Raw_Data!G604</f>
        <v/>
      </c>
      <c r="K604">
        <f>Raw_Data!H604</f>
        <v/>
      </c>
      <c r="L604" s="30">
        <f>Raw_Data!I604</f>
        <v/>
      </c>
      <c r="M604" s="31">
        <f>Raw_Data!J604</f>
        <v/>
      </c>
      <c r="N604" s="17">
        <f>K604*L604</f>
        <v/>
      </c>
      <c r="O604" s="17">
        <f>N604*(1-M604)</f>
        <v/>
      </c>
      <c r="P604" s="17">
        <f>Raw_Data!L604</f>
        <v/>
      </c>
      <c r="Q604" s="17">
        <f>O604-P604</f>
        <v/>
      </c>
      <c r="R604" s="31">
        <f>IF(O604=0,0,Q604/O604)</f>
        <v/>
      </c>
      <c r="S604">
        <f>XLOOKUP(F604,Lookups!$B$7:$B$11,Lookups!$C$7:$C$11,"Unknown")</f>
        <v/>
      </c>
      <c r="T604" s="31">
        <f>XLOOKUP(G604,Lookups!$E$7:$E$11,Lookups!$F$7:$F$11,0)</f>
        <v/>
      </c>
      <c r="U604" s="32">
        <f>R604-T604</f>
        <v/>
      </c>
      <c r="V604">
        <f>XLOOKUP(I604,Lookups!$H$7:$H$10,Lookups!$I$7:$I$10,"")</f>
        <v/>
      </c>
      <c r="W604">
        <f>IF(O604&gt;=50000,"HIGH VALUE","")</f>
        <v/>
      </c>
      <c r="X604">
        <f>IF(Q604&lt;0,"LOSS","")</f>
        <v/>
      </c>
      <c r="Y604">
        <f>IFS(M604&gt;=0.15,"Deep Discount",M604&gt;=0.1,"Moderate",TRUE,"Standard")</f>
        <v/>
      </c>
    </row>
    <row r="605">
      <c r="A605">
        <f>Raw_Data!A605</f>
        <v/>
      </c>
      <c r="B605" s="29">
        <f>Raw_Data!B605</f>
        <v/>
      </c>
      <c r="C605">
        <f>YEAR(B605)</f>
        <v/>
      </c>
      <c r="D605">
        <f>MONTH(B605)</f>
        <v/>
      </c>
      <c r="E605">
        <f>TEXT(B605,"MMM-YYYY")</f>
        <v/>
      </c>
      <c r="F605">
        <f>Raw_Data!C605</f>
        <v/>
      </c>
      <c r="G605">
        <f>Raw_Data!D605</f>
        <v/>
      </c>
      <c r="H605">
        <f>Raw_Data!E605</f>
        <v/>
      </c>
      <c r="I605">
        <f>Raw_Data!F605</f>
        <v/>
      </c>
      <c r="J605">
        <f>Raw_Data!G605</f>
        <v/>
      </c>
      <c r="K605">
        <f>Raw_Data!H605</f>
        <v/>
      </c>
      <c r="L605" s="30">
        <f>Raw_Data!I605</f>
        <v/>
      </c>
      <c r="M605" s="31">
        <f>Raw_Data!J605</f>
        <v/>
      </c>
      <c r="N605" s="17">
        <f>K605*L605</f>
        <v/>
      </c>
      <c r="O605" s="17">
        <f>N605*(1-M605)</f>
        <v/>
      </c>
      <c r="P605" s="17">
        <f>Raw_Data!L605</f>
        <v/>
      </c>
      <c r="Q605" s="17">
        <f>O605-P605</f>
        <v/>
      </c>
      <c r="R605" s="31">
        <f>IF(O605=0,0,Q605/O605)</f>
        <v/>
      </c>
      <c r="S605">
        <f>XLOOKUP(F605,Lookups!$B$7:$B$11,Lookups!$C$7:$C$11,"Unknown")</f>
        <v/>
      </c>
      <c r="T605" s="31">
        <f>XLOOKUP(G605,Lookups!$E$7:$E$11,Lookups!$F$7:$F$11,0)</f>
        <v/>
      </c>
      <c r="U605" s="32">
        <f>R605-T605</f>
        <v/>
      </c>
      <c r="V605">
        <f>XLOOKUP(I605,Lookups!$H$7:$H$10,Lookups!$I$7:$I$10,"")</f>
        <v/>
      </c>
      <c r="W605">
        <f>IF(O605&gt;=50000,"HIGH VALUE","")</f>
        <v/>
      </c>
      <c r="X605">
        <f>IF(Q605&lt;0,"LOSS","")</f>
        <v/>
      </c>
      <c r="Y605">
        <f>IFS(M605&gt;=0.15,"Deep Discount",M605&gt;=0.1,"Moderate",TRUE,"Standard")</f>
        <v/>
      </c>
    </row>
    <row r="606">
      <c r="A606">
        <f>Raw_Data!A606</f>
        <v/>
      </c>
      <c r="B606" s="29">
        <f>Raw_Data!B606</f>
        <v/>
      </c>
      <c r="C606">
        <f>YEAR(B606)</f>
        <v/>
      </c>
      <c r="D606">
        <f>MONTH(B606)</f>
        <v/>
      </c>
      <c r="E606">
        <f>TEXT(B606,"MMM-YYYY")</f>
        <v/>
      </c>
      <c r="F606">
        <f>Raw_Data!C606</f>
        <v/>
      </c>
      <c r="G606">
        <f>Raw_Data!D606</f>
        <v/>
      </c>
      <c r="H606">
        <f>Raw_Data!E606</f>
        <v/>
      </c>
      <c r="I606">
        <f>Raw_Data!F606</f>
        <v/>
      </c>
      <c r="J606">
        <f>Raw_Data!G606</f>
        <v/>
      </c>
      <c r="K606">
        <f>Raw_Data!H606</f>
        <v/>
      </c>
      <c r="L606" s="30">
        <f>Raw_Data!I606</f>
        <v/>
      </c>
      <c r="M606" s="31">
        <f>Raw_Data!J606</f>
        <v/>
      </c>
      <c r="N606" s="17">
        <f>K606*L606</f>
        <v/>
      </c>
      <c r="O606" s="17">
        <f>N606*(1-M606)</f>
        <v/>
      </c>
      <c r="P606" s="17">
        <f>Raw_Data!L606</f>
        <v/>
      </c>
      <c r="Q606" s="17">
        <f>O606-P606</f>
        <v/>
      </c>
      <c r="R606" s="31">
        <f>IF(O606=0,0,Q606/O606)</f>
        <v/>
      </c>
      <c r="S606">
        <f>XLOOKUP(F606,Lookups!$B$7:$B$11,Lookups!$C$7:$C$11,"Unknown")</f>
        <v/>
      </c>
      <c r="T606" s="31">
        <f>XLOOKUP(G606,Lookups!$E$7:$E$11,Lookups!$F$7:$F$11,0)</f>
        <v/>
      </c>
      <c r="U606" s="32">
        <f>R606-T606</f>
        <v/>
      </c>
      <c r="V606">
        <f>XLOOKUP(I606,Lookups!$H$7:$H$10,Lookups!$I$7:$I$10,"")</f>
        <v/>
      </c>
      <c r="W606">
        <f>IF(O606&gt;=50000,"HIGH VALUE","")</f>
        <v/>
      </c>
      <c r="X606">
        <f>IF(Q606&lt;0,"LOSS","")</f>
        <v/>
      </c>
      <c r="Y606">
        <f>IFS(M606&gt;=0.15,"Deep Discount",M606&gt;=0.1,"Moderate",TRUE,"Standard")</f>
        <v/>
      </c>
    </row>
    <row r="607">
      <c r="A607">
        <f>Raw_Data!A607</f>
        <v/>
      </c>
      <c r="B607" s="29">
        <f>Raw_Data!B607</f>
        <v/>
      </c>
      <c r="C607">
        <f>YEAR(B607)</f>
        <v/>
      </c>
      <c r="D607">
        <f>MONTH(B607)</f>
        <v/>
      </c>
      <c r="E607">
        <f>TEXT(B607,"MMM-YYYY")</f>
        <v/>
      </c>
      <c r="F607">
        <f>Raw_Data!C607</f>
        <v/>
      </c>
      <c r="G607">
        <f>Raw_Data!D607</f>
        <v/>
      </c>
      <c r="H607">
        <f>Raw_Data!E607</f>
        <v/>
      </c>
      <c r="I607">
        <f>Raw_Data!F607</f>
        <v/>
      </c>
      <c r="J607">
        <f>Raw_Data!G607</f>
        <v/>
      </c>
      <c r="K607">
        <f>Raw_Data!H607</f>
        <v/>
      </c>
      <c r="L607" s="30">
        <f>Raw_Data!I607</f>
        <v/>
      </c>
      <c r="M607" s="31">
        <f>Raw_Data!J607</f>
        <v/>
      </c>
      <c r="N607" s="17">
        <f>K607*L607</f>
        <v/>
      </c>
      <c r="O607" s="17">
        <f>N607*(1-M607)</f>
        <v/>
      </c>
      <c r="P607" s="17">
        <f>Raw_Data!L607</f>
        <v/>
      </c>
      <c r="Q607" s="17">
        <f>O607-P607</f>
        <v/>
      </c>
      <c r="R607" s="31">
        <f>IF(O607=0,0,Q607/O607)</f>
        <v/>
      </c>
      <c r="S607">
        <f>XLOOKUP(F607,Lookups!$B$7:$B$11,Lookups!$C$7:$C$11,"Unknown")</f>
        <v/>
      </c>
      <c r="T607" s="31">
        <f>XLOOKUP(G607,Lookups!$E$7:$E$11,Lookups!$F$7:$F$11,0)</f>
        <v/>
      </c>
      <c r="U607" s="32">
        <f>R607-T607</f>
        <v/>
      </c>
      <c r="V607">
        <f>XLOOKUP(I607,Lookups!$H$7:$H$10,Lookups!$I$7:$I$10,"")</f>
        <v/>
      </c>
      <c r="W607">
        <f>IF(O607&gt;=50000,"HIGH VALUE","")</f>
        <v/>
      </c>
      <c r="X607">
        <f>IF(Q607&lt;0,"LOSS","")</f>
        <v/>
      </c>
      <c r="Y607">
        <f>IFS(M607&gt;=0.15,"Deep Discount",M607&gt;=0.1,"Moderate",TRUE,"Standard")</f>
        <v/>
      </c>
    </row>
    <row r="608">
      <c r="A608">
        <f>Raw_Data!A608</f>
        <v/>
      </c>
      <c r="B608" s="29">
        <f>Raw_Data!B608</f>
        <v/>
      </c>
      <c r="C608">
        <f>YEAR(B608)</f>
        <v/>
      </c>
      <c r="D608">
        <f>MONTH(B608)</f>
        <v/>
      </c>
      <c r="E608">
        <f>TEXT(B608,"MMM-YYYY")</f>
        <v/>
      </c>
      <c r="F608">
        <f>Raw_Data!C608</f>
        <v/>
      </c>
      <c r="G608">
        <f>Raw_Data!D608</f>
        <v/>
      </c>
      <c r="H608">
        <f>Raw_Data!E608</f>
        <v/>
      </c>
      <c r="I608">
        <f>Raw_Data!F608</f>
        <v/>
      </c>
      <c r="J608">
        <f>Raw_Data!G608</f>
        <v/>
      </c>
      <c r="K608">
        <f>Raw_Data!H608</f>
        <v/>
      </c>
      <c r="L608" s="30">
        <f>Raw_Data!I608</f>
        <v/>
      </c>
      <c r="M608" s="31">
        <f>Raw_Data!J608</f>
        <v/>
      </c>
      <c r="N608" s="17">
        <f>K608*L608</f>
        <v/>
      </c>
      <c r="O608" s="17">
        <f>N608*(1-M608)</f>
        <v/>
      </c>
      <c r="P608" s="17">
        <f>Raw_Data!L608</f>
        <v/>
      </c>
      <c r="Q608" s="17">
        <f>O608-P608</f>
        <v/>
      </c>
      <c r="R608" s="31">
        <f>IF(O608=0,0,Q608/O608)</f>
        <v/>
      </c>
      <c r="S608">
        <f>XLOOKUP(F608,Lookups!$B$7:$B$11,Lookups!$C$7:$C$11,"Unknown")</f>
        <v/>
      </c>
      <c r="T608" s="31">
        <f>XLOOKUP(G608,Lookups!$E$7:$E$11,Lookups!$F$7:$F$11,0)</f>
        <v/>
      </c>
      <c r="U608" s="32">
        <f>R608-T608</f>
        <v/>
      </c>
      <c r="V608">
        <f>XLOOKUP(I608,Lookups!$H$7:$H$10,Lookups!$I$7:$I$10,"")</f>
        <v/>
      </c>
      <c r="W608">
        <f>IF(O608&gt;=50000,"HIGH VALUE","")</f>
        <v/>
      </c>
      <c r="X608">
        <f>IF(Q608&lt;0,"LOSS","")</f>
        <v/>
      </c>
      <c r="Y608">
        <f>IFS(M608&gt;=0.15,"Deep Discount",M608&gt;=0.1,"Moderate",TRUE,"Standard")</f>
        <v/>
      </c>
    </row>
    <row r="609">
      <c r="A609">
        <f>Raw_Data!A609</f>
        <v/>
      </c>
      <c r="B609" s="29">
        <f>Raw_Data!B609</f>
        <v/>
      </c>
      <c r="C609">
        <f>YEAR(B609)</f>
        <v/>
      </c>
      <c r="D609">
        <f>MONTH(B609)</f>
        <v/>
      </c>
      <c r="E609">
        <f>TEXT(B609,"MMM-YYYY")</f>
        <v/>
      </c>
      <c r="F609">
        <f>Raw_Data!C609</f>
        <v/>
      </c>
      <c r="G609">
        <f>Raw_Data!D609</f>
        <v/>
      </c>
      <c r="H609">
        <f>Raw_Data!E609</f>
        <v/>
      </c>
      <c r="I609">
        <f>Raw_Data!F609</f>
        <v/>
      </c>
      <c r="J609">
        <f>Raw_Data!G609</f>
        <v/>
      </c>
      <c r="K609">
        <f>Raw_Data!H609</f>
        <v/>
      </c>
      <c r="L609" s="30">
        <f>Raw_Data!I609</f>
        <v/>
      </c>
      <c r="M609" s="31">
        <f>Raw_Data!J609</f>
        <v/>
      </c>
      <c r="N609" s="17">
        <f>K609*L609</f>
        <v/>
      </c>
      <c r="O609" s="17">
        <f>N609*(1-M609)</f>
        <v/>
      </c>
      <c r="P609" s="17">
        <f>Raw_Data!L609</f>
        <v/>
      </c>
      <c r="Q609" s="17">
        <f>O609-P609</f>
        <v/>
      </c>
      <c r="R609" s="31">
        <f>IF(O609=0,0,Q609/O609)</f>
        <v/>
      </c>
      <c r="S609">
        <f>XLOOKUP(F609,Lookups!$B$7:$B$11,Lookups!$C$7:$C$11,"Unknown")</f>
        <v/>
      </c>
      <c r="T609" s="31">
        <f>XLOOKUP(G609,Lookups!$E$7:$E$11,Lookups!$F$7:$F$11,0)</f>
        <v/>
      </c>
      <c r="U609" s="32">
        <f>R609-T609</f>
        <v/>
      </c>
      <c r="V609">
        <f>XLOOKUP(I609,Lookups!$H$7:$H$10,Lookups!$I$7:$I$10,"")</f>
        <v/>
      </c>
      <c r="W609">
        <f>IF(O609&gt;=50000,"HIGH VALUE","")</f>
        <v/>
      </c>
      <c r="X609">
        <f>IF(Q609&lt;0,"LOSS","")</f>
        <v/>
      </c>
      <c r="Y609">
        <f>IFS(M609&gt;=0.15,"Deep Discount",M609&gt;=0.1,"Moderate",TRUE,"Standard")</f>
        <v/>
      </c>
    </row>
    <row r="610">
      <c r="A610">
        <f>Raw_Data!A610</f>
        <v/>
      </c>
      <c r="B610" s="29">
        <f>Raw_Data!B610</f>
        <v/>
      </c>
      <c r="C610">
        <f>YEAR(B610)</f>
        <v/>
      </c>
      <c r="D610">
        <f>MONTH(B610)</f>
        <v/>
      </c>
      <c r="E610">
        <f>TEXT(B610,"MMM-YYYY")</f>
        <v/>
      </c>
      <c r="F610">
        <f>Raw_Data!C610</f>
        <v/>
      </c>
      <c r="G610">
        <f>Raw_Data!D610</f>
        <v/>
      </c>
      <c r="H610">
        <f>Raw_Data!E610</f>
        <v/>
      </c>
      <c r="I610">
        <f>Raw_Data!F610</f>
        <v/>
      </c>
      <c r="J610">
        <f>Raw_Data!G610</f>
        <v/>
      </c>
      <c r="K610">
        <f>Raw_Data!H610</f>
        <v/>
      </c>
      <c r="L610" s="30">
        <f>Raw_Data!I610</f>
        <v/>
      </c>
      <c r="M610" s="31">
        <f>Raw_Data!J610</f>
        <v/>
      </c>
      <c r="N610" s="17">
        <f>K610*L610</f>
        <v/>
      </c>
      <c r="O610" s="17">
        <f>N610*(1-M610)</f>
        <v/>
      </c>
      <c r="P610" s="17">
        <f>Raw_Data!L610</f>
        <v/>
      </c>
      <c r="Q610" s="17">
        <f>O610-P610</f>
        <v/>
      </c>
      <c r="R610" s="31">
        <f>IF(O610=0,0,Q610/O610)</f>
        <v/>
      </c>
      <c r="S610">
        <f>XLOOKUP(F610,Lookups!$B$7:$B$11,Lookups!$C$7:$C$11,"Unknown")</f>
        <v/>
      </c>
      <c r="T610" s="31">
        <f>XLOOKUP(G610,Lookups!$E$7:$E$11,Lookups!$F$7:$F$11,0)</f>
        <v/>
      </c>
      <c r="U610" s="32">
        <f>R610-T610</f>
        <v/>
      </c>
      <c r="V610">
        <f>XLOOKUP(I610,Lookups!$H$7:$H$10,Lookups!$I$7:$I$10,"")</f>
        <v/>
      </c>
      <c r="W610">
        <f>IF(O610&gt;=50000,"HIGH VALUE","")</f>
        <v/>
      </c>
      <c r="X610">
        <f>IF(Q610&lt;0,"LOSS","")</f>
        <v/>
      </c>
      <c r="Y610">
        <f>IFS(M610&gt;=0.15,"Deep Discount",M610&gt;=0.1,"Moderate",TRUE,"Standard")</f>
        <v/>
      </c>
    </row>
    <row r="611">
      <c r="A611">
        <f>Raw_Data!A611</f>
        <v/>
      </c>
      <c r="B611" s="29">
        <f>Raw_Data!B611</f>
        <v/>
      </c>
      <c r="C611">
        <f>YEAR(B611)</f>
        <v/>
      </c>
      <c r="D611">
        <f>MONTH(B611)</f>
        <v/>
      </c>
      <c r="E611">
        <f>TEXT(B611,"MMM-YYYY")</f>
        <v/>
      </c>
      <c r="F611">
        <f>Raw_Data!C611</f>
        <v/>
      </c>
      <c r="G611">
        <f>Raw_Data!D611</f>
        <v/>
      </c>
      <c r="H611">
        <f>Raw_Data!E611</f>
        <v/>
      </c>
      <c r="I611">
        <f>Raw_Data!F611</f>
        <v/>
      </c>
      <c r="J611">
        <f>Raw_Data!G611</f>
        <v/>
      </c>
      <c r="K611">
        <f>Raw_Data!H611</f>
        <v/>
      </c>
      <c r="L611" s="30">
        <f>Raw_Data!I611</f>
        <v/>
      </c>
      <c r="M611" s="31">
        <f>Raw_Data!J611</f>
        <v/>
      </c>
      <c r="N611" s="17">
        <f>K611*L611</f>
        <v/>
      </c>
      <c r="O611" s="17">
        <f>N611*(1-M611)</f>
        <v/>
      </c>
      <c r="P611" s="17">
        <f>Raw_Data!L611</f>
        <v/>
      </c>
      <c r="Q611" s="17">
        <f>O611-P611</f>
        <v/>
      </c>
      <c r="R611" s="31">
        <f>IF(O611=0,0,Q611/O611)</f>
        <v/>
      </c>
      <c r="S611">
        <f>XLOOKUP(F611,Lookups!$B$7:$B$11,Lookups!$C$7:$C$11,"Unknown")</f>
        <v/>
      </c>
      <c r="T611" s="31">
        <f>XLOOKUP(G611,Lookups!$E$7:$E$11,Lookups!$F$7:$F$11,0)</f>
        <v/>
      </c>
      <c r="U611" s="32">
        <f>R611-T611</f>
        <v/>
      </c>
      <c r="V611">
        <f>XLOOKUP(I611,Lookups!$H$7:$H$10,Lookups!$I$7:$I$10,"")</f>
        <v/>
      </c>
      <c r="W611">
        <f>IF(O611&gt;=50000,"HIGH VALUE","")</f>
        <v/>
      </c>
      <c r="X611">
        <f>IF(Q611&lt;0,"LOSS","")</f>
        <v/>
      </c>
      <c r="Y611">
        <f>IFS(M611&gt;=0.15,"Deep Discount",M611&gt;=0.1,"Moderate",TRUE,"Standard")</f>
        <v/>
      </c>
    </row>
    <row r="612">
      <c r="A612">
        <f>Raw_Data!A612</f>
        <v/>
      </c>
      <c r="B612" s="29">
        <f>Raw_Data!B612</f>
        <v/>
      </c>
      <c r="C612">
        <f>YEAR(B612)</f>
        <v/>
      </c>
      <c r="D612">
        <f>MONTH(B612)</f>
        <v/>
      </c>
      <c r="E612">
        <f>TEXT(B612,"MMM-YYYY")</f>
        <v/>
      </c>
      <c r="F612">
        <f>Raw_Data!C612</f>
        <v/>
      </c>
      <c r="G612">
        <f>Raw_Data!D612</f>
        <v/>
      </c>
      <c r="H612">
        <f>Raw_Data!E612</f>
        <v/>
      </c>
      <c r="I612">
        <f>Raw_Data!F612</f>
        <v/>
      </c>
      <c r="J612">
        <f>Raw_Data!G612</f>
        <v/>
      </c>
      <c r="K612">
        <f>Raw_Data!H612</f>
        <v/>
      </c>
      <c r="L612" s="30">
        <f>Raw_Data!I612</f>
        <v/>
      </c>
      <c r="M612" s="31">
        <f>Raw_Data!J612</f>
        <v/>
      </c>
      <c r="N612" s="17">
        <f>K612*L612</f>
        <v/>
      </c>
      <c r="O612" s="17">
        <f>N612*(1-M612)</f>
        <v/>
      </c>
      <c r="P612" s="17">
        <f>Raw_Data!L612</f>
        <v/>
      </c>
      <c r="Q612" s="17">
        <f>O612-P612</f>
        <v/>
      </c>
      <c r="R612" s="31">
        <f>IF(O612=0,0,Q612/O612)</f>
        <v/>
      </c>
      <c r="S612">
        <f>XLOOKUP(F612,Lookups!$B$7:$B$11,Lookups!$C$7:$C$11,"Unknown")</f>
        <v/>
      </c>
      <c r="T612" s="31">
        <f>XLOOKUP(G612,Lookups!$E$7:$E$11,Lookups!$F$7:$F$11,0)</f>
        <v/>
      </c>
      <c r="U612" s="32">
        <f>R612-T612</f>
        <v/>
      </c>
      <c r="V612">
        <f>XLOOKUP(I612,Lookups!$H$7:$H$10,Lookups!$I$7:$I$10,"")</f>
        <v/>
      </c>
      <c r="W612">
        <f>IF(O612&gt;=50000,"HIGH VALUE","")</f>
        <v/>
      </c>
      <c r="X612">
        <f>IF(Q612&lt;0,"LOSS","")</f>
        <v/>
      </c>
      <c r="Y612">
        <f>IFS(M612&gt;=0.15,"Deep Discount",M612&gt;=0.1,"Moderate",TRUE,"Standard")</f>
        <v/>
      </c>
    </row>
    <row r="613">
      <c r="A613">
        <f>Raw_Data!A613</f>
        <v/>
      </c>
      <c r="B613" s="29">
        <f>Raw_Data!B613</f>
        <v/>
      </c>
      <c r="C613">
        <f>YEAR(B613)</f>
        <v/>
      </c>
      <c r="D613">
        <f>MONTH(B613)</f>
        <v/>
      </c>
      <c r="E613">
        <f>TEXT(B613,"MMM-YYYY")</f>
        <v/>
      </c>
      <c r="F613">
        <f>Raw_Data!C613</f>
        <v/>
      </c>
      <c r="G613">
        <f>Raw_Data!D613</f>
        <v/>
      </c>
      <c r="H613">
        <f>Raw_Data!E613</f>
        <v/>
      </c>
      <c r="I613">
        <f>Raw_Data!F613</f>
        <v/>
      </c>
      <c r="J613">
        <f>Raw_Data!G613</f>
        <v/>
      </c>
      <c r="K613">
        <f>Raw_Data!H613</f>
        <v/>
      </c>
      <c r="L613" s="30">
        <f>Raw_Data!I613</f>
        <v/>
      </c>
      <c r="M613" s="31">
        <f>Raw_Data!J613</f>
        <v/>
      </c>
      <c r="N613" s="17">
        <f>K613*L613</f>
        <v/>
      </c>
      <c r="O613" s="17">
        <f>N613*(1-M613)</f>
        <v/>
      </c>
      <c r="P613" s="17">
        <f>Raw_Data!L613</f>
        <v/>
      </c>
      <c r="Q613" s="17">
        <f>O613-P613</f>
        <v/>
      </c>
      <c r="R613" s="31">
        <f>IF(O613=0,0,Q613/O613)</f>
        <v/>
      </c>
      <c r="S613">
        <f>XLOOKUP(F613,Lookups!$B$7:$B$11,Lookups!$C$7:$C$11,"Unknown")</f>
        <v/>
      </c>
      <c r="T613" s="31">
        <f>XLOOKUP(G613,Lookups!$E$7:$E$11,Lookups!$F$7:$F$11,0)</f>
        <v/>
      </c>
      <c r="U613" s="32">
        <f>R613-T613</f>
        <v/>
      </c>
      <c r="V613">
        <f>XLOOKUP(I613,Lookups!$H$7:$H$10,Lookups!$I$7:$I$10,"")</f>
        <v/>
      </c>
      <c r="W613">
        <f>IF(O613&gt;=50000,"HIGH VALUE","")</f>
        <v/>
      </c>
      <c r="X613">
        <f>IF(Q613&lt;0,"LOSS","")</f>
        <v/>
      </c>
      <c r="Y613">
        <f>IFS(M613&gt;=0.15,"Deep Discount",M613&gt;=0.1,"Moderate",TRUE,"Standard")</f>
        <v/>
      </c>
    </row>
    <row r="614">
      <c r="A614">
        <f>Raw_Data!A614</f>
        <v/>
      </c>
      <c r="B614" s="29">
        <f>Raw_Data!B614</f>
        <v/>
      </c>
      <c r="C614">
        <f>YEAR(B614)</f>
        <v/>
      </c>
      <c r="D614">
        <f>MONTH(B614)</f>
        <v/>
      </c>
      <c r="E614">
        <f>TEXT(B614,"MMM-YYYY")</f>
        <v/>
      </c>
      <c r="F614">
        <f>Raw_Data!C614</f>
        <v/>
      </c>
      <c r="G614">
        <f>Raw_Data!D614</f>
        <v/>
      </c>
      <c r="H614">
        <f>Raw_Data!E614</f>
        <v/>
      </c>
      <c r="I614">
        <f>Raw_Data!F614</f>
        <v/>
      </c>
      <c r="J614">
        <f>Raw_Data!G614</f>
        <v/>
      </c>
      <c r="K614">
        <f>Raw_Data!H614</f>
        <v/>
      </c>
      <c r="L614" s="30">
        <f>Raw_Data!I614</f>
        <v/>
      </c>
      <c r="M614" s="31">
        <f>Raw_Data!J614</f>
        <v/>
      </c>
      <c r="N614" s="17">
        <f>K614*L614</f>
        <v/>
      </c>
      <c r="O614" s="17">
        <f>N614*(1-M614)</f>
        <v/>
      </c>
      <c r="P614" s="17">
        <f>Raw_Data!L614</f>
        <v/>
      </c>
      <c r="Q614" s="17">
        <f>O614-P614</f>
        <v/>
      </c>
      <c r="R614" s="31">
        <f>IF(O614=0,0,Q614/O614)</f>
        <v/>
      </c>
      <c r="S614">
        <f>XLOOKUP(F614,Lookups!$B$7:$B$11,Lookups!$C$7:$C$11,"Unknown")</f>
        <v/>
      </c>
      <c r="T614" s="31">
        <f>XLOOKUP(G614,Lookups!$E$7:$E$11,Lookups!$F$7:$F$11,0)</f>
        <v/>
      </c>
      <c r="U614" s="32">
        <f>R614-T614</f>
        <v/>
      </c>
      <c r="V614">
        <f>XLOOKUP(I614,Lookups!$H$7:$H$10,Lookups!$I$7:$I$10,"")</f>
        <v/>
      </c>
      <c r="W614">
        <f>IF(O614&gt;=50000,"HIGH VALUE","")</f>
        <v/>
      </c>
      <c r="X614">
        <f>IF(Q614&lt;0,"LOSS","")</f>
        <v/>
      </c>
      <c r="Y614">
        <f>IFS(M614&gt;=0.15,"Deep Discount",M614&gt;=0.1,"Moderate",TRUE,"Standard")</f>
        <v/>
      </c>
    </row>
    <row r="615">
      <c r="A615">
        <f>Raw_Data!A615</f>
        <v/>
      </c>
      <c r="B615" s="29">
        <f>Raw_Data!B615</f>
        <v/>
      </c>
      <c r="C615">
        <f>YEAR(B615)</f>
        <v/>
      </c>
      <c r="D615">
        <f>MONTH(B615)</f>
        <v/>
      </c>
      <c r="E615">
        <f>TEXT(B615,"MMM-YYYY")</f>
        <v/>
      </c>
      <c r="F615">
        <f>Raw_Data!C615</f>
        <v/>
      </c>
      <c r="G615">
        <f>Raw_Data!D615</f>
        <v/>
      </c>
      <c r="H615">
        <f>Raw_Data!E615</f>
        <v/>
      </c>
      <c r="I615">
        <f>Raw_Data!F615</f>
        <v/>
      </c>
      <c r="J615">
        <f>Raw_Data!G615</f>
        <v/>
      </c>
      <c r="K615">
        <f>Raw_Data!H615</f>
        <v/>
      </c>
      <c r="L615" s="30">
        <f>Raw_Data!I615</f>
        <v/>
      </c>
      <c r="M615" s="31">
        <f>Raw_Data!J615</f>
        <v/>
      </c>
      <c r="N615" s="17">
        <f>K615*L615</f>
        <v/>
      </c>
      <c r="O615" s="17">
        <f>N615*(1-M615)</f>
        <v/>
      </c>
      <c r="P615" s="17">
        <f>Raw_Data!L615</f>
        <v/>
      </c>
      <c r="Q615" s="17">
        <f>O615-P615</f>
        <v/>
      </c>
      <c r="R615" s="31">
        <f>IF(O615=0,0,Q615/O615)</f>
        <v/>
      </c>
      <c r="S615">
        <f>XLOOKUP(F615,Lookups!$B$7:$B$11,Lookups!$C$7:$C$11,"Unknown")</f>
        <v/>
      </c>
      <c r="T615" s="31">
        <f>XLOOKUP(G615,Lookups!$E$7:$E$11,Lookups!$F$7:$F$11,0)</f>
        <v/>
      </c>
      <c r="U615" s="32">
        <f>R615-T615</f>
        <v/>
      </c>
      <c r="V615">
        <f>XLOOKUP(I615,Lookups!$H$7:$H$10,Lookups!$I$7:$I$10,"")</f>
        <v/>
      </c>
      <c r="W615">
        <f>IF(O615&gt;=50000,"HIGH VALUE","")</f>
        <v/>
      </c>
      <c r="X615">
        <f>IF(Q615&lt;0,"LOSS","")</f>
        <v/>
      </c>
      <c r="Y615">
        <f>IFS(M615&gt;=0.15,"Deep Discount",M615&gt;=0.1,"Moderate",TRUE,"Standard")</f>
        <v/>
      </c>
    </row>
    <row r="616">
      <c r="A616">
        <f>Raw_Data!A616</f>
        <v/>
      </c>
      <c r="B616" s="29">
        <f>Raw_Data!B616</f>
        <v/>
      </c>
      <c r="C616">
        <f>YEAR(B616)</f>
        <v/>
      </c>
      <c r="D616">
        <f>MONTH(B616)</f>
        <v/>
      </c>
      <c r="E616">
        <f>TEXT(B616,"MMM-YYYY")</f>
        <v/>
      </c>
      <c r="F616">
        <f>Raw_Data!C616</f>
        <v/>
      </c>
      <c r="G616">
        <f>Raw_Data!D616</f>
        <v/>
      </c>
      <c r="H616">
        <f>Raw_Data!E616</f>
        <v/>
      </c>
      <c r="I616">
        <f>Raw_Data!F616</f>
        <v/>
      </c>
      <c r="J616">
        <f>Raw_Data!G616</f>
        <v/>
      </c>
      <c r="K616">
        <f>Raw_Data!H616</f>
        <v/>
      </c>
      <c r="L616" s="30">
        <f>Raw_Data!I616</f>
        <v/>
      </c>
      <c r="M616" s="31">
        <f>Raw_Data!J616</f>
        <v/>
      </c>
      <c r="N616" s="17">
        <f>K616*L616</f>
        <v/>
      </c>
      <c r="O616" s="17">
        <f>N616*(1-M616)</f>
        <v/>
      </c>
      <c r="P616" s="17">
        <f>Raw_Data!L616</f>
        <v/>
      </c>
      <c r="Q616" s="17">
        <f>O616-P616</f>
        <v/>
      </c>
      <c r="R616" s="31">
        <f>IF(O616=0,0,Q616/O616)</f>
        <v/>
      </c>
      <c r="S616">
        <f>XLOOKUP(F616,Lookups!$B$7:$B$11,Lookups!$C$7:$C$11,"Unknown")</f>
        <v/>
      </c>
      <c r="T616" s="31">
        <f>XLOOKUP(G616,Lookups!$E$7:$E$11,Lookups!$F$7:$F$11,0)</f>
        <v/>
      </c>
      <c r="U616" s="32">
        <f>R616-T616</f>
        <v/>
      </c>
      <c r="V616">
        <f>XLOOKUP(I616,Lookups!$H$7:$H$10,Lookups!$I$7:$I$10,"")</f>
        <v/>
      </c>
      <c r="W616">
        <f>IF(O616&gt;=50000,"HIGH VALUE","")</f>
        <v/>
      </c>
      <c r="X616">
        <f>IF(Q616&lt;0,"LOSS","")</f>
        <v/>
      </c>
      <c r="Y616">
        <f>IFS(M616&gt;=0.15,"Deep Discount",M616&gt;=0.1,"Moderate",TRUE,"Standard")</f>
        <v/>
      </c>
    </row>
    <row r="617">
      <c r="A617">
        <f>Raw_Data!A617</f>
        <v/>
      </c>
      <c r="B617" s="29">
        <f>Raw_Data!B617</f>
        <v/>
      </c>
      <c r="C617">
        <f>YEAR(B617)</f>
        <v/>
      </c>
      <c r="D617">
        <f>MONTH(B617)</f>
        <v/>
      </c>
      <c r="E617">
        <f>TEXT(B617,"MMM-YYYY")</f>
        <v/>
      </c>
      <c r="F617">
        <f>Raw_Data!C617</f>
        <v/>
      </c>
      <c r="G617">
        <f>Raw_Data!D617</f>
        <v/>
      </c>
      <c r="H617">
        <f>Raw_Data!E617</f>
        <v/>
      </c>
      <c r="I617">
        <f>Raw_Data!F617</f>
        <v/>
      </c>
      <c r="J617">
        <f>Raw_Data!G617</f>
        <v/>
      </c>
      <c r="K617">
        <f>Raw_Data!H617</f>
        <v/>
      </c>
      <c r="L617" s="30">
        <f>Raw_Data!I617</f>
        <v/>
      </c>
      <c r="M617" s="31">
        <f>Raw_Data!J617</f>
        <v/>
      </c>
      <c r="N617" s="17">
        <f>K617*L617</f>
        <v/>
      </c>
      <c r="O617" s="17">
        <f>N617*(1-M617)</f>
        <v/>
      </c>
      <c r="P617" s="17">
        <f>Raw_Data!L617</f>
        <v/>
      </c>
      <c r="Q617" s="17">
        <f>O617-P617</f>
        <v/>
      </c>
      <c r="R617" s="31">
        <f>IF(O617=0,0,Q617/O617)</f>
        <v/>
      </c>
      <c r="S617">
        <f>XLOOKUP(F617,Lookups!$B$7:$B$11,Lookups!$C$7:$C$11,"Unknown")</f>
        <v/>
      </c>
      <c r="T617" s="31">
        <f>XLOOKUP(G617,Lookups!$E$7:$E$11,Lookups!$F$7:$F$11,0)</f>
        <v/>
      </c>
      <c r="U617" s="32">
        <f>R617-T617</f>
        <v/>
      </c>
      <c r="V617">
        <f>XLOOKUP(I617,Lookups!$H$7:$H$10,Lookups!$I$7:$I$10,"")</f>
        <v/>
      </c>
      <c r="W617">
        <f>IF(O617&gt;=50000,"HIGH VALUE","")</f>
        <v/>
      </c>
      <c r="X617">
        <f>IF(Q617&lt;0,"LOSS","")</f>
        <v/>
      </c>
      <c r="Y617">
        <f>IFS(M617&gt;=0.15,"Deep Discount",M617&gt;=0.1,"Moderate",TRUE,"Standard")</f>
        <v/>
      </c>
    </row>
    <row r="618">
      <c r="A618">
        <f>Raw_Data!A618</f>
        <v/>
      </c>
      <c r="B618" s="29">
        <f>Raw_Data!B618</f>
        <v/>
      </c>
      <c r="C618">
        <f>YEAR(B618)</f>
        <v/>
      </c>
      <c r="D618">
        <f>MONTH(B618)</f>
        <v/>
      </c>
      <c r="E618">
        <f>TEXT(B618,"MMM-YYYY")</f>
        <v/>
      </c>
      <c r="F618">
        <f>Raw_Data!C618</f>
        <v/>
      </c>
      <c r="G618">
        <f>Raw_Data!D618</f>
        <v/>
      </c>
      <c r="H618">
        <f>Raw_Data!E618</f>
        <v/>
      </c>
      <c r="I618">
        <f>Raw_Data!F618</f>
        <v/>
      </c>
      <c r="J618">
        <f>Raw_Data!G618</f>
        <v/>
      </c>
      <c r="K618">
        <f>Raw_Data!H618</f>
        <v/>
      </c>
      <c r="L618" s="30">
        <f>Raw_Data!I618</f>
        <v/>
      </c>
      <c r="M618" s="31">
        <f>Raw_Data!J618</f>
        <v/>
      </c>
      <c r="N618" s="17">
        <f>K618*L618</f>
        <v/>
      </c>
      <c r="O618" s="17">
        <f>N618*(1-M618)</f>
        <v/>
      </c>
      <c r="P618" s="17">
        <f>Raw_Data!L618</f>
        <v/>
      </c>
      <c r="Q618" s="17">
        <f>O618-P618</f>
        <v/>
      </c>
      <c r="R618" s="31">
        <f>IF(O618=0,0,Q618/O618)</f>
        <v/>
      </c>
      <c r="S618">
        <f>XLOOKUP(F618,Lookups!$B$7:$B$11,Lookups!$C$7:$C$11,"Unknown")</f>
        <v/>
      </c>
      <c r="T618" s="31">
        <f>XLOOKUP(G618,Lookups!$E$7:$E$11,Lookups!$F$7:$F$11,0)</f>
        <v/>
      </c>
      <c r="U618" s="32">
        <f>R618-T618</f>
        <v/>
      </c>
      <c r="V618">
        <f>XLOOKUP(I618,Lookups!$H$7:$H$10,Lookups!$I$7:$I$10,"")</f>
        <v/>
      </c>
      <c r="W618">
        <f>IF(O618&gt;=50000,"HIGH VALUE","")</f>
        <v/>
      </c>
      <c r="X618">
        <f>IF(Q618&lt;0,"LOSS","")</f>
        <v/>
      </c>
      <c r="Y618">
        <f>IFS(M618&gt;=0.15,"Deep Discount",M618&gt;=0.1,"Moderate",TRUE,"Standard")</f>
        <v/>
      </c>
    </row>
    <row r="619">
      <c r="A619">
        <f>Raw_Data!A619</f>
        <v/>
      </c>
      <c r="B619" s="29">
        <f>Raw_Data!B619</f>
        <v/>
      </c>
      <c r="C619">
        <f>YEAR(B619)</f>
        <v/>
      </c>
      <c r="D619">
        <f>MONTH(B619)</f>
        <v/>
      </c>
      <c r="E619">
        <f>TEXT(B619,"MMM-YYYY")</f>
        <v/>
      </c>
      <c r="F619">
        <f>Raw_Data!C619</f>
        <v/>
      </c>
      <c r="G619">
        <f>Raw_Data!D619</f>
        <v/>
      </c>
      <c r="H619">
        <f>Raw_Data!E619</f>
        <v/>
      </c>
      <c r="I619">
        <f>Raw_Data!F619</f>
        <v/>
      </c>
      <c r="J619">
        <f>Raw_Data!G619</f>
        <v/>
      </c>
      <c r="K619">
        <f>Raw_Data!H619</f>
        <v/>
      </c>
      <c r="L619" s="30">
        <f>Raw_Data!I619</f>
        <v/>
      </c>
      <c r="M619" s="31">
        <f>Raw_Data!J619</f>
        <v/>
      </c>
      <c r="N619" s="17">
        <f>K619*L619</f>
        <v/>
      </c>
      <c r="O619" s="17">
        <f>N619*(1-M619)</f>
        <v/>
      </c>
      <c r="P619" s="17">
        <f>Raw_Data!L619</f>
        <v/>
      </c>
      <c r="Q619" s="17">
        <f>O619-P619</f>
        <v/>
      </c>
      <c r="R619" s="31">
        <f>IF(O619=0,0,Q619/O619)</f>
        <v/>
      </c>
      <c r="S619">
        <f>XLOOKUP(F619,Lookups!$B$7:$B$11,Lookups!$C$7:$C$11,"Unknown")</f>
        <v/>
      </c>
      <c r="T619" s="31">
        <f>XLOOKUP(G619,Lookups!$E$7:$E$11,Lookups!$F$7:$F$11,0)</f>
        <v/>
      </c>
      <c r="U619" s="32">
        <f>R619-T619</f>
        <v/>
      </c>
      <c r="V619">
        <f>XLOOKUP(I619,Lookups!$H$7:$H$10,Lookups!$I$7:$I$10,"")</f>
        <v/>
      </c>
      <c r="W619">
        <f>IF(O619&gt;=50000,"HIGH VALUE","")</f>
        <v/>
      </c>
      <c r="X619">
        <f>IF(Q619&lt;0,"LOSS","")</f>
        <v/>
      </c>
      <c r="Y619">
        <f>IFS(M619&gt;=0.15,"Deep Discount",M619&gt;=0.1,"Moderate",TRUE,"Standard")</f>
        <v/>
      </c>
    </row>
    <row r="620">
      <c r="A620">
        <f>Raw_Data!A620</f>
        <v/>
      </c>
      <c r="B620" s="29">
        <f>Raw_Data!B620</f>
        <v/>
      </c>
      <c r="C620">
        <f>YEAR(B620)</f>
        <v/>
      </c>
      <c r="D620">
        <f>MONTH(B620)</f>
        <v/>
      </c>
      <c r="E620">
        <f>TEXT(B620,"MMM-YYYY")</f>
        <v/>
      </c>
      <c r="F620">
        <f>Raw_Data!C620</f>
        <v/>
      </c>
      <c r="G620">
        <f>Raw_Data!D620</f>
        <v/>
      </c>
      <c r="H620">
        <f>Raw_Data!E620</f>
        <v/>
      </c>
      <c r="I620">
        <f>Raw_Data!F620</f>
        <v/>
      </c>
      <c r="J620">
        <f>Raw_Data!G620</f>
        <v/>
      </c>
      <c r="K620">
        <f>Raw_Data!H620</f>
        <v/>
      </c>
      <c r="L620" s="30">
        <f>Raw_Data!I620</f>
        <v/>
      </c>
      <c r="M620" s="31">
        <f>Raw_Data!J620</f>
        <v/>
      </c>
      <c r="N620" s="17">
        <f>K620*L620</f>
        <v/>
      </c>
      <c r="O620" s="17">
        <f>N620*(1-M620)</f>
        <v/>
      </c>
      <c r="P620" s="17">
        <f>Raw_Data!L620</f>
        <v/>
      </c>
      <c r="Q620" s="17">
        <f>O620-P620</f>
        <v/>
      </c>
      <c r="R620" s="31">
        <f>IF(O620=0,0,Q620/O620)</f>
        <v/>
      </c>
      <c r="S620">
        <f>XLOOKUP(F620,Lookups!$B$7:$B$11,Lookups!$C$7:$C$11,"Unknown")</f>
        <v/>
      </c>
      <c r="T620" s="31">
        <f>XLOOKUP(G620,Lookups!$E$7:$E$11,Lookups!$F$7:$F$11,0)</f>
        <v/>
      </c>
      <c r="U620" s="32">
        <f>R620-T620</f>
        <v/>
      </c>
      <c r="V620">
        <f>XLOOKUP(I620,Lookups!$H$7:$H$10,Lookups!$I$7:$I$10,"")</f>
        <v/>
      </c>
      <c r="W620">
        <f>IF(O620&gt;=50000,"HIGH VALUE","")</f>
        <v/>
      </c>
      <c r="X620">
        <f>IF(Q620&lt;0,"LOSS","")</f>
        <v/>
      </c>
      <c r="Y620">
        <f>IFS(M620&gt;=0.15,"Deep Discount",M620&gt;=0.1,"Moderate",TRUE,"Standard")</f>
        <v/>
      </c>
    </row>
    <row r="621">
      <c r="A621">
        <f>Raw_Data!A621</f>
        <v/>
      </c>
      <c r="B621" s="29">
        <f>Raw_Data!B621</f>
        <v/>
      </c>
      <c r="C621">
        <f>YEAR(B621)</f>
        <v/>
      </c>
      <c r="D621">
        <f>MONTH(B621)</f>
        <v/>
      </c>
      <c r="E621">
        <f>TEXT(B621,"MMM-YYYY")</f>
        <v/>
      </c>
      <c r="F621">
        <f>Raw_Data!C621</f>
        <v/>
      </c>
      <c r="G621">
        <f>Raw_Data!D621</f>
        <v/>
      </c>
      <c r="H621">
        <f>Raw_Data!E621</f>
        <v/>
      </c>
      <c r="I621">
        <f>Raw_Data!F621</f>
        <v/>
      </c>
      <c r="J621">
        <f>Raw_Data!G621</f>
        <v/>
      </c>
      <c r="K621">
        <f>Raw_Data!H621</f>
        <v/>
      </c>
      <c r="L621" s="30">
        <f>Raw_Data!I621</f>
        <v/>
      </c>
      <c r="M621" s="31">
        <f>Raw_Data!J621</f>
        <v/>
      </c>
      <c r="N621" s="17">
        <f>K621*L621</f>
        <v/>
      </c>
      <c r="O621" s="17">
        <f>N621*(1-M621)</f>
        <v/>
      </c>
      <c r="P621" s="17">
        <f>Raw_Data!L621</f>
        <v/>
      </c>
      <c r="Q621" s="17">
        <f>O621-P621</f>
        <v/>
      </c>
      <c r="R621" s="31">
        <f>IF(O621=0,0,Q621/O621)</f>
        <v/>
      </c>
      <c r="S621">
        <f>XLOOKUP(F621,Lookups!$B$7:$B$11,Lookups!$C$7:$C$11,"Unknown")</f>
        <v/>
      </c>
      <c r="T621" s="31">
        <f>XLOOKUP(G621,Lookups!$E$7:$E$11,Lookups!$F$7:$F$11,0)</f>
        <v/>
      </c>
      <c r="U621" s="32">
        <f>R621-T621</f>
        <v/>
      </c>
      <c r="V621">
        <f>XLOOKUP(I621,Lookups!$H$7:$H$10,Lookups!$I$7:$I$10,"")</f>
        <v/>
      </c>
      <c r="W621">
        <f>IF(O621&gt;=50000,"HIGH VALUE","")</f>
        <v/>
      </c>
      <c r="X621">
        <f>IF(Q621&lt;0,"LOSS","")</f>
        <v/>
      </c>
      <c r="Y621">
        <f>IFS(M621&gt;=0.15,"Deep Discount",M621&gt;=0.1,"Moderate",TRUE,"Standard")</f>
        <v/>
      </c>
    </row>
    <row r="622">
      <c r="A622">
        <f>Raw_Data!A622</f>
        <v/>
      </c>
      <c r="B622" s="29">
        <f>Raw_Data!B622</f>
        <v/>
      </c>
      <c r="C622">
        <f>YEAR(B622)</f>
        <v/>
      </c>
      <c r="D622">
        <f>MONTH(B622)</f>
        <v/>
      </c>
      <c r="E622">
        <f>TEXT(B622,"MMM-YYYY")</f>
        <v/>
      </c>
      <c r="F622">
        <f>Raw_Data!C622</f>
        <v/>
      </c>
      <c r="G622">
        <f>Raw_Data!D622</f>
        <v/>
      </c>
      <c r="H622">
        <f>Raw_Data!E622</f>
        <v/>
      </c>
      <c r="I622">
        <f>Raw_Data!F622</f>
        <v/>
      </c>
      <c r="J622">
        <f>Raw_Data!G622</f>
        <v/>
      </c>
      <c r="K622">
        <f>Raw_Data!H622</f>
        <v/>
      </c>
      <c r="L622" s="30">
        <f>Raw_Data!I622</f>
        <v/>
      </c>
      <c r="M622" s="31">
        <f>Raw_Data!J622</f>
        <v/>
      </c>
      <c r="N622" s="17">
        <f>K622*L622</f>
        <v/>
      </c>
      <c r="O622" s="17">
        <f>N622*(1-M622)</f>
        <v/>
      </c>
      <c r="P622" s="17">
        <f>Raw_Data!L622</f>
        <v/>
      </c>
      <c r="Q622" s="17">
        <f>O622-P622</f>
        <v/>
      </c>
      <c r="R622" s="31">
        <f>IF(O622=0,0,Q622/O622)</f>
        <v/>
      </c>
      <c r="S622">
        <f>XLOOKUP(F622,Lookups!$B$7:$B$11,Lookups!$C$7:$C$11,"Unknown")</f>
        <v/>
      </c>
      <c r="T622" s="31">
        <f>XLOOKUP(G622,Lookups!$E$7:$E$11,Lookups!$F$7:$F$11,0)</f>
        <v/>
      </c>
      <c r="U622" s="32">
        <f>R622-T622</f>
        <v/>
      </c>
      <c r="V622">
        <f>XLOOKUP(I622,Lookups!$H$7:$H$10,Lookups!$I$7:$I$10,"")</f>
        <v/>
      </c>
      <c r="W622">
        <f>IF(O622&gt;=50000,"HIGH VALUE","")</f>
        <v/>
      </c>
      <c r="X622">
        <f>IF(Q622&lt;0,"LOSS","")</f>
        <v/>
      </c>
      <c r="Y622">
        <f>IFS(M622&gt;=0.15,"Deep Discount",M622&gt;=0.1,"Moderate",TRUE,"Standard")</f>
        <v/>
      </c>
    </row>
    <row r="623">
      <c r="A623">
        <f>Raw_Data!A623</f>
        <v/>
      </c>
      <c r="B623" s="29">
        <f>Raw_Data!B623</f>
        <v/>
      </c>
      <c r="C623">
        <f>YEAR(B623)</f>
        <v/>
      </c>
      <c r="D623">
        <f>MONTH(B623)</f>
        <v/>
      </c>
      <c r="E623">
        <f>TEXT(B623,"MMM-YYYY")</f>
        <v/>
      </c>
      <c r="F623">
        <f>Raw_Data!C623</f>
        <v/>
      </c>
      <c r="G623">
        <f>Raw_Data!D623</f>
        <v/>
      </c>
      <c r="H623">
        <f>Raw_Data!E623</f>
        <v/>
      </c>
      <c r="I623">
        <f>Raw_Data!F623</f>
        <v/>
      </c>
      <c r="J623">
        <f>Raw_Data!G623</f>
        <v/>
      </c>
      <c r="K623">
        <f>Raw_Data!H623</f>
        <v/>
      </c>
      <c r="L623" s="30">
        <f>Raw_Data!I623</f>
        <v/>
      </c>
      <c r="M623" s="31">
        <f>Raw_Data!J623</f>
        <v/>
      </c>
      <c r="N623" s="17">
        <f>K623*L623</f>
        <v/>
      </c>
      <c r="O623" s="17">
        <f>N623*(1-M623)</f>
        <v/>
      </c>
      <c r="P623" s="17">
        <f>Raw_Data!L623</f>
        <v/>
      </c>
      <c r="Q623" s="17">
        <f>O623-P623</f>
        <v/>
      </c>
      <c r="R623" s="31">
        <f>IF(O623=0,0,Q623/O623)</f>
        <v/>
      </c>
      <c r="S623">
        <f>XLOOKUP(F623,Lookups!$B$7:$B$11,Lookups!$C$7:$C$11,"Unknown")</f>
        <v/>
      </c>
      <c r="T623" s="31">
        <f>XLOOKUP(G623,Lookups!$E$7:$E$11,Lookups!$F$7:$F$11,0)</f>
        <v/>
      </c>
      <c r="U623" s="32">
        <f>R623-T623</f>
        <v/>
      </c>
      <c r="V623">
        <f>XLOOKUP(I623,Lookups!$H$7:$H$10,Lookups!$I$7:$I$10,"")</f>
        <v/>
      </c>
      <c r="W623">
        <f>IF(O623&gt;=50000,"HIGH VALUE","")</f>
        <v/>
      </c>
      <c r="X623">
        <f>IF(Q623&lt;0,"LOSS","")</f>
        <v/>
      </c>
      <c r="Y623">
        <f>IFS(M623&gt;=0.15,"Deep Discount",M623&gt;=0.1,"Moderate",TRUE,"Standard")</f>
        <v/>
      </c>
    </row>
    <row r="624">
      <c r="A624">
        <f>Raw_Data!A624</f>
        <v/>
      </c>
      <c r="B624" s="29">
        <f>Raw_Data!B624</f>
        <v/>
      </c>
      <c r="C624">
        <f>YEAR(B624)</f>
        <v/>
      </c>
      <c r="D624">
        <f>MONTH(B624)</f>
        <v/>
      </c>
      <c r="E624">
        <f>TEXT(B624,"MMM-YYYY")</f>
        <v/>
      </c>
      <c r="F624">
        <f>Raw_Data!C624</f>
        <v/>
      </c>
      <c r="G624">
        <f>Raw_Data!D624</f>
        <v/>
      </c>
      <c r="H624">
        <f>Raw_Data!E624</f>
        <v/>
      </c>
      <c r="I624">
        <f>Raw_Data!F624</f>
        <v/>
      </c>
      <c r="J624">
        <f>Raw_Data!G624</f>
        <v/>
      </c>
      <c r="K624">
        <f>Raw_Data!H624</f>
        <v/>
      </c>
      <c r="L624" s="30">
        <f>Raw_Data!I624</f>
        <v/>
      </c>
      <c r="M624" s="31">
        <f>Raw_Data!J624</f>
        <v/>
      </c>
      <c r="N624" s="17">
        <f>K624*L624</f>
        <v/>
      </c>
      <c r="O624" s="17">
        <f>N624*(1-M624)</f>
        <v/>
      </c>
      <c r="P624" s="17">
        <f>Raw_Data!L624</f>
        <v/>
      </c>
      <c r="Q624" s="17">
        <f>O624-P624</f>
        <v/>
      </c>
      <c r="R624" s="31">
        <f>IF(O624=0,0,Q624/O624)</f>
        <v/>
      </c>
      <c r="S624">
        <f>XLOOKUP(F624,Lookups!$B$7:$B$11,Lookups!$C$7:$C$11,"Unknown")</f>
        <v/>
      </c>
      <c r="T624" s="31">
        <f>XLOOKUP(G624,Lookups!$E$7:$E$11,Lookups!$F$7:$F$11,0)</f>
        <v/>
      </c>
      <c r="U624" s="32">
        <f>R624-T624</f>
        <v/>
      </c>
      <c r="V624">
        <f>XLOOKUP(I624,Lookups!$H$7:$H$10,Lookups!$I$7:$I$10,"")</f>
        <v/>
      </c>
      <c r="W624">
        <f>IF(O624&gt;=50000,"HIGH VALUE","")</f>
        <v/>
      </c>
      <c r="X624">
        <f>IF(Q624&lt;0,"LOSS","")</f>
        <v/>
      </c>
      <c r="Y624">
        <f>IFS(M624&gt;=0.15,"Deep Discount",M624&gt;=0.1,"Moderate",TRUE,"Standard")</f>
        <v/>
      </c>
    </row>
    <row r="625">
      <c r="A625">
        <f>Raw_Data!A625</f>
        <v/>
      </c>
      <c r="B625" s="29">
        <f>Raw_Data!B625</f>
        <v/>
      </c>
      <c r="C625">
        <f>YEAR(B625)</f>
        <v/>
      </c>
      <c r="D625">
        <f>MONTH(B625)</f>
        <v/>
      </c>
      <c r="E625">
        <f>TEXT(B625,"MMM-YYYY")</f>
        <v/>
      </c>
      <c r="F625">
        <f>Raw_Data!C625</f>
        <v/>
      </c>
      <c r="G625">
        <f>Raw_Data!D625</f>
        <v/>
      </c>
      <c r="H625">
        <f>Raw_Data!E625</f>
        <v/>
      </c>
      <c r="I625">
        <f>Raw_Data!F625</f>
        <v/>
      </c>
      <c r="J625">
        <f>Raw_Data!G625</f>
        <v/>
      </c>
      <c r="K625">
        <f>Raw_Data!H625</f>
        <v/>
      </c>
      <c r="L625" s="30">
        <f>Raw_Data!I625</f>
        <v/>
      </c>
      <c r="M625" s="31">
        <f>Raw_Data!J625</f>
        <v/>
      </c>
      <c r="N625" s="17">
        <f>K625*L625</f>
        <v/>
      </c>
      <c r="O625" s="17">
        <f>N625*(1-M625)</f>
        <v/>
      </c>
      <c r="P625" s="17">
        <f>Raw_Data!L625</f>
        <v/>
      </c>
      <c r="Q625" s="17">
        <f>O625-P625</f>
        <v/>
      </c>
      <c r="R625" s="31">
        <f>IF(O625=0,0,Q625/O625)</f>
        <v/>
      </c>
      <c r="S625">
        <f>XLOOKUP(F625,Lookups!$B$7:$B$11,Lookups!$C$7:$C$11,"Unknown")</f>
        <v/>
      </c>
      <c r="T625" s="31">
        <f>XLOOKUP(G625,Lookups!$E$7:$E$11,Lookups!$F$7:$F$11,0)</f>
        <v/>
      </c>
      <c r="U625" s="32">
        <f>R625-T625</f>
        <v/>
      </c>
      <c r="V625">
        <f>XLOOKUP(I625,Lookups!$H$7:$H$10,Lookups!$I$7:$I$10,"")</f>
        <v/>
      </c>
      <c r="W625">
        <f>IF(O625&gt;=50000,"HIGH VALUE","")</f>
        <v/>
      </c>
      <c r="X625">
        <f>IF(Q625&lt;0,"LOSS","")</f>
        <v/>
      </c>
      <c r="Y625">
        <f>IFS(M625&gt;=0.15,"Deep Discount",M625&gt;=0.1,"Moderate",TRUE,"Standard")</f>
        <v/>
      </c>
    </row>
    <row r="626">
      <c r="A626">
        <f>Raw_Data!A626</f>
        <v/>
      </c>
      <c r="B626" s="29">
        <f>Raw_Data!B626</f>
        <v/>
      </c>
      <c r="C626">
        <f>YEAR(B626)</f>
        <v/>
      </c>
      <c r="D626">
        <f>MONTH(B626)</f>
        <v/>
      </c>
      <c r="E626">
        <f>TEXT(B626,"MMM-YYYY")</f>
        <v/>
      </c>
      <c r="F626">
        <f>Raw_Data!C626</f>
        <v/>
      </c>
      <c r="G626">
        <f>Raw_Data!D626</f>
        <v/>
      </c>
      <c r="H626">
        <f>Raw_Data!E626</f>
        <v/>
      </c>
      <c r="I626">
        <f>Raw_Data!F626</f>
        <v/>
      </c>
      <c r="J626">
        <f>Raw_Data!G626</f>
        <v/>
      </c>
      <c r="K626">
        <f>Raw_Data!H626</f>
        <v/>
      </c>
      <c r="L626" s="30">
        <f>Raw_Data!I626</f>
        <v/>
      </c>
      <c r="M626" s="31">
        <f>Raw_Data!J626</f>
        <v/>
      </c>
      <c r="N626" s="17">
        <f>K626*L626</f>
        <v/>
      </c>
      <c r="O626" s="17">
        <f>N626*(1-M626)</f>
        <v/>
      </c>
      <c r="P626" s="17">
        <f>Raw_Data!L626</f>
        <v/>
      </c>
      <c r="Q626" s="17">
        <f>O626-P626</f>
        <v/>
      </c>
      <c r="R626" s="31">
        <f>IF(O626=0,0,Q626/O626)</f>
        <v/>
      </c>
      <c r="S626">
        <f>XLOOKUP(F626,Lookups!$B$7:$B$11,Lookups!$C$7:$C$11,"Unknown")</f>
        <v/>
      </c>
      <c r="T626" s="31">
        <f>XLOOKUP(G626,Lookups!$E$7:$E$11,Lookups!$F$7:$F$11,0)</f>
        <v/>
      </c>
      <c r="U626" s="32">
        <f>R626-T626</f>
        <v/>
      </c>
      <c r="V626">
        <f>XLOOKUP(I626,Lookups!$H$7:$H$10,Lookups!$I$7:$I$10,"")</f>
        <v/>
      </c>
      <c r="W626">
        <f>IF(O626&gt;=50000,"HIGH VALUE","")</f>
        <v/>
      </c>
      <c r="X626">
        <f>IF(Q626&lt;0,"LOSS","")</f>
        <v/>
      </c>
      <c r="Y626">
        <f>IFS(M626&gt;=0.15,"Deep Discount",M626&gt;=0.1,"Moderate",TRUE,"Standard")</f>
        <v/>
      </c>
    </row>
    <row r="627">
      <c r="A627">
        <f>Raw_Data!A627</f>
        <v/>
      </c>
      <c r="B627" s="29">
        <f>Raw_Data!B627</f>
        <v/>
      </c>
      <c r="C627">
        <f>YEAR(B627)</f>
        <v/>
      </c>
      <c r="D627">
        <f>MONTH(B627)</f>
        <v/>
      </c>
      <c r="E627">
        <f>TEXT(B627,"MMM-YYYY")</f>
        <v/>
      </c>
      <c r="F627">
        <f>Raw_Data!C627</f>
        <v/>
      </c>
      <c r="G627">
        <f>Raw_Data!D627</f>
        <v/>
      </c>
      <c r="H627">
        <f>Raw_Data!E627</f>
        <v/>
      </c>
      <c r="I627">
        <f>Raw_Data!F627</f>
        <v/>
      </c>
      <c r="J627">
        <f>Raw_Data!G627</f>
        <v/>
      </c>
      <c r="K627">
        <f>Raw_Data!H627</f>
        <v/>
      </c>
      <c r="L627" s="30">
        <f>Raw_Data!I627</f>
        <v/>
      </c>
      <c r="M627" s="31">
        <f>Raw_Data!J627</f>
        <v/>
      </c>
      <c r="N627" s="17">
        <f>K627*L627</f>
        <v/>
      </c>
      <c r="O627" s="17">
        <f>N627*(1-M627)</f>
        <v/>
      </c>
      <c r="P627" s="17">
        <f>Raw_Data!L627</f>
        <v/>
      </c>
      <c r="Q627" s="17">
        <f>O627-P627</f>
        <v/>
      </c>
      <c r="R627" s="31">
        <f>IF(O627=0,0,Q627/O627)</f>
        <v/>
      </c>
      <c r="S627">
        <f>XLOOKUP(F627,Lookups!$B$7:$B$11,Lookups!$C$7:$C$11,"Unknown")</f>
        <v/>
      </c>
      <c r="T627" s="31">
        <f>XLOOKUP(G627,Lookups!$E$7:$E$11,Lookups!$F$7:$F$11,0)</f>
        <v/>
      </c>
      <c r="U627" s="32">
        <f>R627-T627</f>
        <v/>
      </c>
      <c r="V627">
        <f>XLOOKUP(I627,Lookups!$H$7:$H$10,Lookups!$I$7:$I$10,"")</f>
        <v/>
      </c>
      <c r="W627">
        <f>IF(O627&gt;=50000,"HIGH VALUE","")</f>
        <v/>
      </c>
      <c r="X627">
        <f>IF(Q627&lt;0,"LOSS","")</f>
        <v/>
      </c>
      <c r="Y627">
        <f>IFS(M627&gt;=0.15,"Deep Discount",M627&gt;=0.1,"Moderate",TRUE,"Standard")</f>
        <v/>
      </c>
    </row>
    <row r="628">
      <c r="A628">
        <f>Raw_Data!A628</f>
        <v/>
      </c>
      <c r="B628" s="29">
        <f>Raw_Data!B628</f>
        <v/>
      </c>
      <c r="C628">
        <f>YEAR(B628)</f>
        <v/>
      </c>
      <c r="D628">
        <f>MONTH(B628)</f>
        <v/>
      </c>
      <c r="E628">
        <f>TEXT(B628,"MMM-YYYY")</f>
        <v/>
      </c>
      <c r="F628">
        <f>Raw_Data!C628</f>
        <v/>
      </c>
      <c r="G628">
        <f>Raw_Data!D628</f>
        <v/>
      </c>
      <c r="H628">
        <f>Raw_Data!E628</f>
        <v/>
      </c>
      <c r="I628">
        <f>Raw_Data!F628</f>
        <v/>
      </c>
      <c r="J628">
        <f>Raw_Data!G628</f>
        <v/>
      </c>
      <c r="K628">
        <f>Raw_Data!H628</f>
        <v/>
      </c>
      <c r="L628" s="30">
        <f>Raw_Data!I628</f>
        <v/>
      </c>
      <c r="M628" s="31">
        <f>Raw_Data!J628</f>
        <v/>
      </c>
      <c r="N628" s="17">
        <f>K628*L628</f>
        <v/>
      </c>
      <c r="O628" s="17">
        <f>N628*(1-M628)</f>
        <v/>
      </c>
      <c r="P628" s="17">
        <f>Raw_Data!L628</f>
        <v/>
      </c>
      <c r="Q628" s="17">
        <f>O628-P628</f>
        <v/>
      </c>
      <c r="R628" s="31">
        <f>IF(O628=0,0,Q628/O628)</f>
        <v/>
      </c>
      <c r="S628">
        <f>XLOOKUP(F628,Lookups!$B$7:$B$11,Lookups!$C$7:$C$11,"Unknown")</f>
        <v/>
      </c>
      <c r="T628" s="31">
        <f>XLOOKUP(G628,Lookups!$E$7:$E$11,Lookups!$F$7:$F$11,0)</f>
        <v/>
      </c>
      <c r="U628" s="32">
        <f>R628-T628</f>
        <v/>
      </c>
      <c r="V628">
        <f>XLOOKUP(I628,Lookups!$H$7:$H$10,Lookups!$I$7:$I$10,"")</f>
        <v/>
      </c>
      <c r="W628">
        <f>IF(O628&gt;=50000,"HIGH VALUE","")</f>
        <v/>
      </c>
      <c r="X628">
        <f>IF(Q628&lt;0,"LOSS","")</f>
        <v/>
      </c>
      <c r="Y628">
        <f>IFS(M628&gt;=0.15,"Deep Discount",M628&gt;=0.1,"Moderate",TRUE,"Standard")</f>
        <v/>
      </c>
    </row>
    <row r="629">
      <c r="A629">
        <f>Raw_Data!A629</f>
        <v/>
      </c>
      <c r="B629" s="29">
        <f>Raw_Data!B629</f>
        <v/>
      </c>
      <c r="C629">
        <f>YEAR(B629)</f>
        <v/>
      </c>
      <c r="D629">
        <f>MONTH(B629)</f>
        <v/>
      </c>
      <c r="E629">
        <f>TEXT(B629,"MMM-YYYY")</f>
        <v/>
      </c>
      <c r="F629">
        <f>Raw_Data!C629</f>
        <v/>
      </c>
      <c r="G629">
        <f>Raw_Data!D629</f>
        <v/>
      </c>
      <c r="H629">
        <f>Raw_Data!E629</f>
        <v/>
      </c>
      <c r="I629">
        <f>Raw_Data!F629</f>
        <v/>
      </c>
      <c r="J629">
        <f>Raw_Data!G629</f>
        <v/>
      </c>
      <c r="K629">
        <f>Raw_Data!H629</f>
        <v/>
      </c>
      <c r="L629" s="30">
        <f>Raw_Data!I629</f>
        <v/>
      </c>
      <c r="M629" s="31">
        <f>Raw_Data!J629</f>
        <v/>
      </c>
      <c r="N629" s="17">
        <f>K629*L629</f>
        <v/>
      </c>
      <c r="O629" s="17">
        <f>N629*(1-M629)</f>
        <v/>
      </c>
      <c r="P629" s="17">
        <f>Raw_Data!L629</f>
        <v/>
      </c>
      <c r="Q629" s="17">
        <f>O629-P629</f>
        <v/>
      </c>
      <c r="R629" s="31">
        <f>IF(O629=0,0,Q629/O629)</f>
        <v/>
      </c>
      <c r="S629">
        <f>XLOOKUP(F629,Lookups!$B$7:$B$11,Lookups!$C$7:$C$11,"Unknown")</f>
        <v/>
      </c>
      <c r="T629" s="31">
        <f>XLOOKUP(G629,Lookups!$E$7:$E$11,Lookups!$F$7:$F$11,0)</f>
        <v/>
      </c>
      <c r="U629" s="32">
        <f>R629-T629</f>
        <v/>
      </c>
      <c r="V629">
        <f>XLOOKUP(I629,Lookups!$H$7:$H$10,Lookups!$I$7:$I$10,"")</f>
        <v/>
      </c>
      <c r="W629">
        <f>IF(O629&gt;=50000,"HIGH VALUE","")</f>
        <v/>
      </c>
      <c r="X629">
        <f>IF(Q629&lt;0,"LOSS","")</f>
        <v/>
      </c>
      <c r="Y629">
        <f>IFS(M629&gt;=0.15,"Deep Discount",M629&gt;=0.1,"Moderate",TRUE,"Standard")</f>
        <v/>
      </c>
    </row>
    <row r="630">
      <c r="A630">
        <f>Raw_Data!A630</f>
        <v/>
      </c>
      <c r="B630" s="29">
        <f>Raw_Data!B630</f>
        <v/>
      </c>
      <c r="C630">
        <f>YEAR(B630)</f>
        <v/>
      </c>
      <c r="D630">
        <f>MONTH(B630)</f>
        <v/>
      </c>
      <c r="E630">
        <f>TEXT(B630,"MMM-YYYY")</f>
        <v/>
      </c>
      <c r="F630">
        <f>Raw_Data!C630</f>
        <v/>
      </c>
      <c r="G630">
        <f>Raw_Data!D630</f>
        <v/>
      </c>
      <c r="H630">
        <f>Raw_Data!E630</f>
        <v/>
      </c>
      <c r="I630">
        <f>Raw_Data!F630</f>
        <v/>
      </c>
      <c r="J630">
        <f>Raw_Data!G630</f>
        <v/>
      </c>
      <c r="K630">
        <f>Raw_Data!H630</f>
        <v/>
      </c>
      <c r="L630" s="30">
        <f>Raw_Data!I630</f>
        <v/>
      </c>
      <c r="M630" s="31">
        <f>Raw_Data!J630</f>
        <v/>
      </c>
      <c r="N630" s="17">
        <f>K630*L630</f>
        <v/>
      </c>
      <c r="O630" s="17">
        <f>N630*(1-M630)</f>
        <v/>
      </c>
      <c r="P630" s="17">
        <f>Raw_Data!L630</f>
        <v/>
      </c>
      <c r="Q630" s="17">
        <f>O630-P630</f>
        <v/>
      </c>
      <c r="R630" s="31">
        <f>IF(O630=0,0,Q630/O630)</f>
        <v/>
      </c>
      <c r="S630">
        <f>XLOOKUP(F630,Lookups!$B$7:$B$11,Lookups!$C$7:$C$11,"Unknown")</f>
        <v/>
      </c>
      <c r="T630" s="31">
        <f>XLOOKUP(G630,Lookups!$E$7:$E$11,Lookups!$F$7:$F$11,0)</f>
        <v/>
      </c>
      <c r="U630" s="32">
        <f>R630-T630</f>
        <v/>
      </c>
      <c r="V630">
        <f>XLOOKUP(I630,Lookups!$H$7:$H$10,Lookups!$I$7:$I$10,"")</f>
        <v/>
      </c>
      <c r="W630">
        <f>IF(O630&gt;=50000,"HIGH VALUE","")</f>
        <v/>
      </c>
      <c r="X630">
        <f>IF(Q630&lt;0,"LOSS","")</f>
        <v/>
      </c>
      <c r="Y630">
        <f>IFS(M630&gt;=0.15,"Deep Discount",M630&gt;=0.1,"Moderate",TRUE,"Standard")</f>
        <v/>
      </c>
    </row>
    <row r="631">
      <c r="A631">
        <f>Raw_Data!A631</f>
        <v/>
      </c>
      <c r="B631" s="29">
        <f>Raw_Data!B631</f>
        <v/>
      </c>
      <c r="C631">
        <f>YEAR(B631)</f>
        <v/>
      </c>
      <c r="D631">
        <f>MONTH(B631)</f>
        <v/>
      </c>
      <c r="E631">
        <f>TEXT(B631,"MMM-YYYY")</f>
        <v/>
      </c>
      <c r="F631">
        <f>Raw_Data!C631</f>
        <v/>
      </c>
      <c r="G631">
        <f>Raw_Data!D631</f>
        <v/>
      </c>
      <c r="H631">
        <f>Raw_Data!E631</f>
        <v/>
      </c>
      <c r="I631">
        <f>Raw_Data!F631</f>
        <v/>
      </c>
      <c r="J631">
        <f>Raw_Data!G631</f>
        <v/>
      </c>
      <c r="K631">
        <f>Raw_Data!H631</f>
        <v/>
      </c>
      <c r="L631" s="30">
        <f>Raw_Data!I631</f>
        <v/>
      </c>
      <c r="M631" s="31">
        <f>Raw_Data!J631</f>
        <v/>
      </c>
      <c r="N631" s="17">
        <f>K631*L631</f>
        <v/>
      </c>
      <c r="O631" s="17">
        <f>N631*(1-M631)</f>
        <v/>
      </c>
      <c r="P631" s="17">
        <f>Raw_Data!L631</f>
        <v/>
      </c>
      <c r="Q631" s="17">
        <f>O631-P631</f>
        <v/>
      </c>
      <c r="R631" s="31">
        <f>IF(O631=0,0,Q631/O631)</f>
        <v/>
      </c>
      <c r="S631">
        <f>XLOOKUP(F631,Lookups!$B$7:$B$11,Lookups!$C$7:$C$11,"Unknown")</f>
        <v/>
      </c>
      <c r="T631" s="31">
        <f>XLOOKUP(G631,Lookups!$E$7:$E$11,Lookups!$F$7:$F$11,0)</f>
        <v/>
      </c>
      <c r="U631" s="32">
        <f>R631-T631</f>
        <v/>
      </c>
      <c r="V631">
        <f>XLOOKUP(I631,Lookups!$H$7:$H$10,Lookups!$I$7:$I$10,"")</f>
        <v/>
      </c>
      <c r="W631">
        <f>IF(O631&gt;=50000,"HIGH VALUE","")</f>
        <v/>
      </c>
      <c r="X631">
        <f>IF(Q631&lt;0,"LOSS","")</f>
        <v/>
      </c>
      <c r="Y631">
        <f>IFS(M631&gt;=0.15,"Deep Discount",M631&gt;=0.1,"Moderate",TRUE,"Standard")</f>
        <v/>
      </c>
    </row>
    <row r="632">
      <c r="A632">
        <f>Raw_Data!A632</f>
        <v/>
      </c>
      <c r="B632" s="29">
        <f>Raw_Data!B632</f>
        <v/>
      </c>
      <c r="C632">
        <f>YEAR(B632)</f>
        <v/>
      </c>
      <c r="D632">
        <f>MONTH(B632)</f>
        <v/>
      </c>
      <c r="E632">
        <f>TEXT(B632,"MMM-YYYY")</f>
        <v/>
      </c>
      <c r="F632">
        <f>Raw_Data!C632</f>
        <v/>
      </c>
      <c r="G632">
        <f>Raw_Data!D632</f>
        <v/>
      </c>
      <c r="H632">
        <f>Raw_Data!E632</f>
        <v/>
      </c>
      <c r="I632">
        <f>Raw_Data!F632</f>
        <v/>
      </c>
      <c r="J632">
        <f>Raw_Data!G632</f>
        <v/>
      </c>
      <c r="K632">
        <f>Raw_Data!H632</f>
        <v/>
      </c>
      <c r="L632" s="30">
        <f>Raw_Data!I632</f>
        <v/>
      </c>
      <c r="M632" s="31">
        <f>Raw_Data!J632</f>
        <v/>
      </c>
      <c r="N632" s="17">
        <f>K632*L632</f>
        <v/>
      </c>
      <c r="O632" s="17">
        <f>N632*(1-M632)</f>
        <v/>
      </c>
      <c r="P632" s="17">
        <f>Raw_Data!L632</f>
        <v/>
      </c>
      <c r="Q632" s="17">
        <f>O632-P632</f>
        <v/>
      </c>
      <c r="R632" s="31">
        <f>IF(O632=0,0,Q632/O632)</f>
        <v/>
      </c>
      <c r="S632">
        <f>XLOOKUP(F632,Lookups!$B$7:$B$11,Lookups!$C$7:$C$11,"Unknown")</f>
        <v/>
      </c>
      <c r="T632" s="31">
        <f>XLOOKUP(G632,Lookups!$E$7:$E$11,Lookups!$F$7:$F$11,0)</f>
        <v/>
      </c>
      <c r="U632" s="32">
        <f>R632-T632</f>
        <v/>
      </c>
      <c r="V632">
        <f>XLOOKUP(I632,Lookups!$H$7:$H$10,Lookups!$I$7:$I$10,"")</f>
        <v/>
      </c>
      <c r="W632">
        <f>IF(O632&gt;=50000,"HIGH VALUE","")</f>
        <v/>
      </c>
      <c r="X632">
        <f>IF(Q632&lt;0,"LOSS","")</f>
        <v/>
      </c>
      <c r="Y632">
        <f>IFS(M632&gt;=0.15,"Deep Discount",M632&gt;=0.1,"Moderate",TRUE,"Standard")</f>
        <v/>
      </c>
    </row>
    <row r="633">
      <c r="A633">
        <f>Raw_Data!A633</f>
        <v/>
      </c>
      <c r="B633" s="29">
        <f>Raw_Data!B633</f>
        <v/>
      </c>
      <c r="C633">
        <f>YEAR(B633)</f>
        <v/>
      </c>
      <c r="D633">
        <f>MONTH(B633)</f>
        <v/>
      </c>
      <c r="E633">
        <f>TEXT(B633,"MMM-YYYY")</f>
        <v/>
      </c>
      <c r="F633">
        <f>Raw_Data!C633</f>
        <v/>
      </c>
      <c r="G633">
        <f>Raw_Data!D633</f>
        <v/>
      </c>
      <c r="H633">
        <f>Raw_Data!E633</f>
        <v/>
      </c>
      <c r="I633">
        <f>Raw_Data!F633</f>
        <v/>
      </c>
      <c r="J633">
        <f>Raw_Data!G633</f>
        <v/>
      </c>
      <c r="K633">
        <f>Raw_Data!H633</f>
        <v/>
      </c>
      <c r="L633" s="30">
        <f>Raw_Data!I633</f>
        <v/>
      </c>
      <c r="M633" s="31">
        <f>Raw_Data!J633</f>
        <v/>
      </c>
      <c r="N633" s="17">
        <f>K633*L633</f>
        <v/>
      </c>
      <c r="O633" s="17">
        <f>N633*(1-M633)</f>
        <v/>
      </c>
      <c r="P633" s="17">
        <f>Raw_Data!L633</f>
        <v/>
      </c>
      <c r="Q633" s="17">
        <f>O633-P633</f>
        <v/>
      </c>
      <c r="R633" s="31">
        <f>IF(O633=0,0,Q633/O633)</f>
        <v/>
      </c>
      <c r="S633">
        <f>XLOOKUP(F633,Lookups!$B$7:$B$11,Lookups!$C$7:$C$11,"Unknown")</f>
        <v/>
      </c>
      <c r="T633" s="31">
        <f>XLOOKUP(G633,Lookups!$E$7:$E$11,Lookups!$F$7:$F$11,0)</f>
        <v/>
      </c>
      <c r="U633" s="32">
        <f>R633-T633</f>
        <v/>
      </c>
      <c r="V633">
        <f>XLOOKUP(I633,Lookups!$H$7:$H$10,Lookups!$I$7:$I$10,"")</f>
        <v/>
      </c>
      <c r="W633">
        <f>IF(O633&gt;=50000,"HIGH VALUE","")</f>
        <v/>
      </c>
      <c r="X633">
        <f>IF(Q633&lt;0,"LOSS","")</f>
        <v/>
      </c>
      <c r="Y633">
        <f>IFS(M633&gt;=0.15,"Deep Discount",M633&gt;=0.1,"Moderate",TRUE,"Standard")</f>
        <v/>
      </c>
    </row>
    <row r="634">
      <c r="A634">
        <f>Raw_Data!A634</f>
        <v/>
      </c>
      <c r="B634" s="29">
        <f>Raw_Data!B634</f>
        <v/>
      </c>
      <c r="C634">
        <f>YEAR(B634)</f>
        <v/>
      </c>
      <c r="D634">
        <f>MONTH(B634)</f>
        <v/>
      </c>
      <c r="E634">
        <f>TEXT(B634,"MMM-YYYY")</f>
        <v/>
      </c>
      <c r="F634">
        <f>Raw_Data!C634</f>
        <v/>
      </c>
      <c r="G634">
        <f>Raw_Data!D634</f>
        <v/>
      </c>
      <c r="H634">
        <f>Raw_Data!E634</f>
        <v/>
      </c>
      <c r="I634">
        <f>Raw_Data!F634</f>
        <v/>
      </c>
      <c r="J634">
        <f>Raw_Data!G634</f>
        <v/>
      </c>
      <c r="K634">
        <f>Raw_Data!H634</f>
        <v/>
      </c>
      <c r="L634" s="30">
        <f>Raw_Data!I634</f>
        <v/>
      </c>
      <c r="M634" s="31">
        <f>Raw_Data!J634</f>
        <v/>
      </c>
      <c r="N634" s="17">
        <f>K634*L634</f>
        <v/>
      </c>
      <c r="O634" s="17">
        <f>N634*(1-M634)</f>
        <v/>
      </c>
      <c r="P634" s="17">
        <f>Raw_Data!L634</f>
        <v/>
      </c>
      <c r="Q634" s="17">
        <f>O634-P634</f>
        <v/>
      </c>
      <c r="R634" s="31">
        <f>IF(O634=0,0,Q634/O634)</f>
        <v/>
      </c>
      <c r="S634">
        <f>XLOOKUP(F634,Lookups!$B$7:$B$11,Lookups!$C$7:$C$11,"Unknown")</f>
        <v/>
      </c>
      <c r="T634" s="31">
        <f>XLOOKUP(G634,Lookups!$E$7:$E$11,Lookups!$F$7:$F$11,0)</f>
        <v/>
      </c>
      <c r="U634" s="32">
        <f>R634-T634</f>
        <v/>
      </c>
      <c r="V634">
        <f>XLOOKUP(I634,Lookups!$H$7:$H$10,Lookups!$I$7:$I$10,"")</f>
        <v/>
      </c>
      <c r="W634">
        <f>IF(O634&gt;=50000,"HIGH VALUE","")</f>
        <v/>
      </c>
      <c r="X634">
        <f>IF(Q634&lt;0,"LOSS","")</f>
        <v/>
      </c>
      <c r="Y634">
        <f>IFS(M634&gt;=0.15,"Deep Discount",M634&gt;=0.1,"Moderate",TRUE,"Standard")</f>
        <v/>
      </c>
    </row>
    <row r="635">
      <c r="A635">
        <f>Raw_Data!A635</f>
        <v/>
      </c>
      <c r="B635" s="29">
        <f>Raw_Data!B635</f>
        <v/>
      </c>
      <c r="C635">
        <f>YEAR(B635)</f>
        <v/>
      </c>
      <c r="D635">
        <f>MONTH(B635)</f>
        <v/>
      </c>
      <c r="E635">
        <f>TEXT(B635,"MMM-YYYY")</f>
        <v/>
      </c>
      <c r="F635">
        <f>Raw_Data!C635</f>
        <v/>
      </c>
      <c r="G635">
        <f>Raw_Data!D635</f>
        <v/>
      </c>
      <c r="H635">
        <f>Raw_Data!E635</f>
        <v/>
      </c>
      <c r="I635">
        <f>Raw_Data!F635</f>
        <v/>
      </c>
      <c r="J635">
        <f>Raw_Data!G635</f>
        <v/>
      </c>
      <c r="K635">
        <f>Raw_Data!H635</f>
        <v/>
      </c>
      <c r="L635" s="30">
        <f>Raw_Data!I635</f>
        <v/>
      </c>
      <c r="M635" s="31">
        <f>Raw_Data!J635</f>
        <v/>
      </c>
      <c r="N635" s="17">
        <f>K635*L635</f>
        <v/>
      </c>
      <c r="O635" s="17">
        <f>N635*(1-M635)</f>
        <v/>
      </c>
      <c r="P635" s="17">
        <f>Raw_Data!L635</f>
        <v/>
      </c>
      <c r="Q635" s="17">
        <f>O635-P635</f>
        <v/>
      </c>
      <c r="R635" s="31">
        <f>IF(O635=0,0,Q635/O635)</f>
        <v/>
      </c>
      <c r="S635">
        <f>XLOOKUP(F635,Lookups!$B$7:$B$11,Lookups!$C$7:$C$11,"Unknown")</f>
        <v/>
      </c>
      <c r="T635" s="31">
        <f>XLOOKUP(G635,Lookups!$E$7:$E$11,Lookups!$F$7:$F$11,0)</f>
        <v/>
      </c>
      <c r="U635" s="32">
        <f>R635-T635</f>
        <v/>
      </c>
      <c r="V635">
        <f>XLOOKUP(I635,Lookups!$H$7:$H$10,Lookups!$I$7:$I$10,"")</f>
        <v/>
      </c>
      <c r="W635">
        <f>IF(O635&gt;=50000,"HIGH VALUE","")</f>
        <v/>
      </c>
      <c r="X635">
        <f>IF(Q635&lt;0,"LOSS","")</f>
        <v/>
      </c>
      <c r="Y635">
        <f>IFS(M635&gt;=0.15,"Deep Discount",M635&gt;=0.1,"Moderate",TRUE,"Standard")</f>
        <v/>
      </c>
    </row>
    <row r="636">
      <c r="A636">
        <f>Raw_Data!A636</f>
        <v/>
      </c>
      <c r="B636" s="29">
        <f>Raw_Data!B636</f>
        <v/>
      </c>
      <c r="C636">
        <f>YEAR(B636)</f>
        <v/>
      </c>
      <c r="D636">
        <f>MONTH(B636)</f>
        <v/>
      </c>
      <c r="E636">
        <f>TEXT(B636,"MMM-YYYY")</f>
        <v/>
      </c>
      <c r="F636">
        <f>Raw_Data!C636</f>
        <v/>
      </c>
      <c r="G636">
        <f>Raw_Data!D636</f>
        <v/>
      </c>
      <c r="H636">
        <f>Raw_Data!E636</f>
        <v/>
      </c>
      <c r="I636">
        <f>Raw_Data!F636</f>
        <v/>
      </c>
      <c r="J636">
        <f>Raw_Data!G636</f>
        <v/>
      </c>
      <c r="K636">
        <f>Raw_Data!H636</f>
        <v/>
      </c>
      <c r="L636" s="30">
        <f>Raw_Data!I636</f>
        <v/>
      </c>
      <c r="M636" s="31">
        <f>Raw_Data!J636</f>
        <v/>
      </c>
      <c r="N636" s="17">
        <f>K636*L636</f>
        <v/>
      </c>
      <c r="O636" s="17">
        <f>N636*(1-M636)</f>
        <v/>
      </c>
      <c r="P636" s="17">
        <f>Raw_Data!L636</f>
        <v/>
      </c>
      <c r="Q636" s="17">
        <f>O636-P636</f>
        <v/>
      </c>
      <c r="R636" s="31">
        <f>IF(O636=0,0,Q636/O636)</f>
        <v/>
      </c>
      <c r="S636">
        <f>XLOOKUP(F636,Lookups!$B$7:$B$11,Lookups!$C$7:$C$11,"Unknown")</f>
        <v/>
      </c>
      <c r="T636" s="31">
        <f>XLOOKUP(G636,Lookups!$E$7:$E$11,Lookups!$F$7:$F$11,0)</f>
        <v/>
      </c>
      <c r="U636" s="32">
        <f>R636-T636</f>
        <v/>
      </c>
      <c r="V636">
        <f>XLOOKUP(I636,Lookups!$H$7:$H$10,Lookups!$I$7:$I$10,"")</f>
        <v/>
      </c>
      <c r="W636">
        <f>IF(O636&gt;=50000,"HIGH VALUE","")</f>
        <v/>
      </c>
      <c r="X636">
        <f>IF(Q636&lt;0,"LOSS","")</f>
        <v/>
      </c>
      <c r="Y636">
        <f>IFS(M636&gt;=0.15,"Deep Discount",M636&gt;=0.1,"Moderate",TRUE,"Standard")</f>
        <v/>
      </c>
    </row>
    <row r="637">
      <c r="A637">
        <f>Raw_Data!A637</f>
        <v/>
      </c>
      <c r="B637" s="29">
        <f>Raw_Data!B637</f>
        <v/>
      </c>
      <c r="C637">
        <f>YEAR(B637)</f>
        <v/>
      </c>
      <c r="D637">
        <f>MONTH(B637)</f>
        <v/>
      </c>
      <c r="E637">
        <f>TEXT(B637,"MMM-YYYY")</f>
        <v/>
      </c>
      <c r="F637">
        <f>Raw_Data!C637</f>
        <v/>
      </c>
      <c r="G637">
        <f>Raw_Data!D637</f>
        <v/>
      </c>
      <c r="H637">
        <f>Raw_Data!E637</f>
        <v/>
      </c>
      <c r="I637">
        <f>Raw_Data!F637</f>
        <v/>
      </c>
      <c r="J637">
        <f>Raw_Data!G637</f>
        <v/>
      </c>
      <c r="K637">
        <f>Raw_Data!H637</f>
        <v/>
      </c>
      <c r="L637" s="30">
        <f>Raw_Data!I637</f>
        <v/>
      </c>
      <c r="M637" s="31">
        <f>Raw_Data!J637</f>
        <v/>
      </c>
      <c r="N637" s="17">
        <f>K637*L637</f>
        <v/>
      </c>
      <c r="O637" s="17">
        <f>N637*(1-M637)</f>
        <v/>
      </c>
      <c r="P637" s="17">
        <f>Raw_Data!L637</f>
        <v/>
      </c>
      <c r="Q637" s="17">
        <f>O637-P637</f>
        <v/>
      </c>
      <c r="R637" s="31">
        <f>IF(O637=0,0,Q637/O637)</f>
        <v/>
      </c>
      <c r="S637">
        <f>XLOOKUP(F637,Lookups!$B$7:$B$11,Lookups!$C$7:$C$11,"Unknown")</f>
        <v/>
      </c>
      <c r="T637" s="31">
        <f>XLOOKUP(G637,Lookups!$E$7:$E$11,Lookups!$F$7:$F$11,0)</f>
        <v/>
      </c>
      <c r="U637" s="32">
        <f>R637-T637</f>
        <v/>
      </c>
      <c r="V637">
        <f>XLOOKUP(I637,Lookups!$H$7:$H$10,Lookups!$I$7:$I$10,"")</f>
        <v/>
      </c>
      <c r="W637">
        <f>IF(O637&gt;=50000,"HIGH VALUE","")</f>
        <v/>
      </c>
      <c r="X637">
        <f>IF(Q637&lt;0,"LOSS","")</f>
        <v/>
      </c>
      <c r="Y637">
        <f>IFS(M637&gt;=0.15,"Deep Discount",M637&gt;=0.1,"Moderate",TRUE,"Standard")</f>
        <v/>
      </c>
    </row>
    <row r="638">
      <c r="A638">
        <f>Raw_Data!A638</f>
        <v/>
      </c>
      <c r="B638" s="29">
        <f>Raw_Data!B638</f>
        <v/>
      </c>
      <c r="C638">
        <f>YEAR(B638)</f>
        <v/>
      </c>
      <c r="D638">
        <f>MONTH(B638)</f>
        <v/>
      </c>
      <c r="E638">
        <f>TEXT(B638,"MMM-YYYY")</f>
        <v/>
      </c>
      <c r="F638">
        <f>Raw_Data!C638</f>
        <v/>
      </c>
      <c r="G638">
        <f>Raw_Data!D638</f>
        <v/>
      </c>
      <c r="H638">
        <f>Raw_Data!E638</f>
        <v/>
      </c>
      <c r="I638">
        <f>Raw_Data!F638</f>
        <v/>
      </c>
      <c r="J638">
        <f>Raw_Data!G638</f>
        <v/>
      </c>
      <c r="K638">
        <f>Raw_Data!H638</f>
        <v/>
      </c>
      <c r="L638" s="30">
        <f>Raw_Data!I638</f>
        <v/>
      </c>
      <c r="M638" s="31">
        <f>Raw_Data!J638</f>
        <v/>
      </c>
      <c r="N638" s="17">
        <f>K638*L638</f>
        <v/>
      </c>
      <c r="O638" s="17">
        <f>N638*(1-M638)</f>
        <v/>
      </c>
      <c r="P638" s="17">
        <f>Raw_Data!L638</f>
        <v/>
      </c>
      <c r="Q638" s="17">
        <f>O638-P638</f>
        <v/>
      </c>
      <c r="R638" s="31">
        <f>IF(O638=0,0,Q638/O638)</f>
        <v/>
      </c>
      <c r="S638">
        <f>XLOOKUP(F638,Lookups!$B$7:$B$11,Lookups!$C$7:$C$11,"Unknown")</f>
        <v/>
      </c>
      <c r="T638" s="31">
        <f>XLOOKUP(G638,Lookups!$E$7:$E$11,Lookups!$F$7:$F$11,0)</f>
        <v/>
      </c>
      <c r="U638" s="32">
        <f>R638-T638</f>
        <v/>
      </c>
      <c r="V638">
        <f>XLOOKUP(I638,Lookups!$H$7:$H$10,Lookups!$I$7:$I$10,"")</f>
        <v/>
      </c>
      <c r="W638">
        <f>IF(O638&gt;=50000,"HIGH VALUE","")</f>
        <v/>
      </c>
      <c r="X638">
        <f>IF(Q638&lt;0,"LOSS","")</f>
        <v/>
      </c>
      <c r="Y638">
        <f>IFS(M638&gt;=0.15,"Deep Discount",M638&gt;=0.1,"Moderate",TRUE,"Standard")</f>
        <v/>
      </c>
    </row>
    <row r="639">
      <c r="A639">
        <f>Raw_Data!A639</f>
        <v/>
      </c>
      <c r="B639" s="29">
        <f>Raw_Data!B639</f>
        <v/>
      </c>
      <c r="C639">
        <f>YEAR(B639)</f>
        <v/>
      </c>
      <c r="D639">
        <f>MONTH(B639)</f>
        <v/>
      </c>
      <c r="E639">
        <f>TEXT(B639,"MMM-YYYY")</f>
        <v/>
      </c>
      <c r="F639">
        <f>Raw_Data!C639</f>
        <v/>
      </c>
      <c r="G639">
        <f>Raw_Data!D639</f>
        <v/>
      </c>
      <c r="H639">
        <f>Raw_Data!E639</f>
        <v/>
      </c>
      <c r="I639">
        <f>Raw_Data!F639</f>
        <v/>
      </c>
      <c r="J639">
        <f>Raw_Data!G639</f>
        <v/>
      </c>
      <c r="K639">
        <f>Raw_Data!H639</f>
        <v/>
      </c>
      <c r="L639" s="30">
        <f>Raw_Data!I639</f>
        <v/>
      </c>
      <c r="M639" s="31">
        <f>Raw_Data!J639</f>
        <v/>
      </c>
      <c r="N639" s="17">
        <f>K639*L639</f>
        <v/>
      </c>
      <c r="O639" s="17">
        <f>N639*(1-M639)</f>
        <v/>
      </c>
      <c r="P639" s="17">
        <f>Raw_Data!L639</f>
        <v/>
      </c>
      <c r="Q639" s="17">
        <f>O639-P639</f>
        <v/>
      </c>
      <c r="R639" s="31">
        <f>IF(O639=0,0,Q639/O639)</f>
        <v/>
      </c>
      <c r="S639">
        <f>XLOOKUP(F639,Lookups!$B$7:$B$11,Lookups!$C$7:$C$11,"Unknown")</f>
        <v/>
      </c>
      <c r="T639" s="31">
        <f>XLOOKUP(G639,Lookups!$E$7:$E$11,Lookups!$F$7:$F$11,0)</f>
        <v/>
      </c>
      <c r="U639" s="32">
        <f>R639-T639</f>
        <v/>
      </c>
      <c r="V639">
        <f>XLOOKUP(I639,Lookups!$H$7:$H$10,Lookups!$I$7:$I$10,"")</f>
        <v/>
      </c>
      <c r="W639">
        <f>IF(O639&gt;=50000,"HIGH VALUE","")</f>
        <v/>
      </c>
      <c r="X639">
        <f>IF(Q639&lt;0,"LOSS","")</f>
        <v/>
      </c>
      <c r="Y639">
        <f>IFS(M639&gt;=0.15,"Deep Discount",M639&gt;=0.1,"Moderate",TRUE,"Standard")</f>
        <v/>
      </c>
    </row>
    <row r="640">
      <c r="A640">
        <f>Raw_Data!A640</f>
        <v/>
      </c>
      <c r="B640" s="29">
        <f>Raw_Data!B640</f>
        <v/>
      </c>
      <c r="C640">
        <f>YEAR(B640)</f>
        <v/>
      </c>
      <c r="D640">
        <f>MONTH(B640)</f>
        <v/>
      </c>
      <c r="E640">
        <f>TEXT(B640,"MMM-YYYY")</f>
        <v/>
      </c>
      <c r="F640">
        <f>Raw_Data!C640</f>
        <v/>
      </c>
      <c r="G640">
        <f>Raw_Data!D640</f>
        <v/>
      </c>
      <c r="H640">
        <f>Raw_Data!E640</f>
        <v/>
      </c>
      <c r="I640">
        <f>Raw_Data!F640</f>
        <v/>
      </c>
      <c r="J640">
        <f>Raw_Data!G640</f>
        <v/>
      </c>
      <c r="K640">
        <f>Raw_Data!H640</f>
        <v/>
      </c>
      <c r="L640" s="30">
        <f>Raw_Data!I640</f>
        <v/>
      </c>
      <c r="M640" s="31">
        <f>Raw_Data!J640</f>
        <v/>
      </c>
      <c r="N640" s="17">
        <f>K640*L640</f>
        <v/>
      </c>
      <c r="O640" s="17">
        <f>N640*(1-M640)</f>
        <v/>
      </c>
      <c r="P640" s="17">
        <f>Raw_Data!L640</f>
        <v/>
      </c>
      <c r="Q640" s="17">
        <f>O640-P640</f>
        <v/>
      </c>
      <c r="R640" s="31">
        <f>IF(O640=0,0,Q640/O640)</f>
        <v/>
      </c>
      <c r="S640">
        <f>XLOOKUP(F640,Lookups!$B$7:$B$11,Lookups!$C$7:$C$11,"Unknown")</f>
        <v/>
      </c>
      <c r="T640" s="31">
        <f>XLOOKUP(G640,Lookups!$E$7:$E$11,Lookups!$F$7:$F$11,0)</f>
        <v/>
      </c>
      <c r="U640" s="32">
        <f>R640-T640</f>
        <v/>
      </c>
      <c r="V640">
        <f>XLOOKUP(I640,Lookups!$H$7:$H$10,Lookups!$I$7:$I$10,"")</f>
        <v/>
      </c>
      <c r="W640">
        <f>IF(O640&gt;=50000,"HIGH VALUE","")</f>
        <v/>
      </c>
      <c r="X640">
        <f>IF(Q640&lt;0,"LOSS","")</f>
        <v/>
      </c>
      <c r="Y640">
        <f>IFS(M640&gt;=0.15,"Deep Discount",M640&gt;=0.1,"Moderate",TRUE,"Standard")</f>
        <v/>
      </c>
    </row>
    <row r="641">
      <c r="A641">
        <f>Raw_Data!A641</f>
        <v/>
      </c>
      <c r="B641" s="29">
        <f>Raw_Data!B641</f>
        <v/>
      </c>
      <c r="C641">
        <f>YEAR(B641)</f>
        <v/>
      </c>
      <c r="D641">
        <f>MONTH(B641)</f>
        <v/>
      </c>
      <c r="E641">
        <f>TEXT(B641,"MMM-YYYY")</f>
        <v/>
      </c>
      <c r="F641">
        <f>Raw_Data!C641</f>
        <v/>
      </c>
      <c r="G641">
        <f>Raw_Data!D641</f>
        <v/>
      </c>
      <c r="H641">
        <f>Raw_Data!E641</f>
        <v/>
      </c>
      <c r="I641">
        <f>Raw_Data!F641</f>
        <v/>
      </c>
      <c r="J641">
        <f>Raw_Data!G641</f>
        <v/>
      </c>
      <c r="K641">
        <f>Raw_Data!H641</f>
        <v/>
      </c>
      <c r="L641" s="30">
        <f>Raw_Data!I641</f>
        <v/>
      </c>
      <c r="M641" s="31">
        <f>Raw_Data!J641</f>
        <v/>
      </c>
      <c r="N641" s="17">
        <f>K641*L641</f>
        <v/>
      </c>
      <c r="O641" s="17">
        <f>N641*(1-M641)</f>
        <v/>
      </c>
      <c r="P641" s="17">
        <f>Raw_Data!L641</f>
        <v/>
      </c>
      <c r="Q641" s="17">
        <f>O641-P641</f>
        <v/>
      </c>
      <c r="R641" s="31">
        <f>IF(O641=0,0,Q641/O641)</f>
        <v/>
      </c>
      <c r="S641">
        <f>XLOOKUP(F641,Lookups!$B$7:$B$11,Lookups!$C$7:$C$11,"Unknown")</f>
        <v/>
      </c>
      <c r="T641" s="31">
        <f>XLOOKUP(G641,Lookups!$E$7:$E$11,Lookups!$F$7:$F$11,0)</f>
        <v/>
      </c>
      <c r="U641" s="32">
        <f>R641-T641</f>
        <v/>
      </c>
      <c r="V641">
        <f>XLOOKUP(I641,Lookups!$H$7:$H$10,Lookups!$I$7:$I$10,"")</f>
        <v/>
      </c>
      <c r="W641">
        <f>IF(O641&gt;=50000,"HIGH VALUE","")</f>
        <v/>
      </c>
      <c r="X641">
        <f>IF(Q641&lt;0,"LOSS","")</f>
        <v/>
      </c>
      <c r="Y641">
        <f>IFS(M641&gt;=0.15,"Deep Discount",M641&gt;=0.1,"Moderate",TRUE,"Standard")</f>
        <v/>
      </c>
    </row>
    <row r="642">
      <c r="A642">
        <f>Raw_Data!A642</f>
        <v/>
      </c>
      <c r="B642" s="29">
        <f>Raw_Data!B642</f>
        <v/>
      </c>
      <c r="C642">
        <f>YEAR(B642)</f>
        <v/>
      </c>
      <c r="D642">
        <f>MONTH(B642)</f>
        <v/>
      </c>
      <c r="E642">
        <f>TEXT(B642,"MMM-YYYY")</f>
        <v/>
      </c>
      <c r="F642">
        <f>Raw_Data!C642</f>
        <v/>
      </c>
      <c r="G642">
        <f>Raw_Data!D642</f>
        <v/>
      </c>
      <c r="H642">
        <f>Raw_Data!E642</f>
        <v/>
      </c>
      <c r="I642">
        <f>Raw_Data!F642</f>
        <v/>
      </c>
      <c r="J642">
        <f>Raw_Data!G642</f>
        <v/>
      </c>
      <c r="K642">
        <f>Raw_Data!H642</f>
        <v/>
      </c>
      <c r="L642" s="30">
        <f>Raw_Data!I642</f>
        <v/>
      </c>
      <c r="M642" s="31">
        <f>Raw_Data!J642</f>
        <v/>
      </c>
      <c r="N642" s="17">
        <f>K642*L642</f>
        <v/>
      </c>
      <c r="O642" s="17">
        <f>N642*(1-M642)</f>
        <v/>
      </c>
      <c r="P642" s="17">
        <f>Raw_Data!L642</f>
        <v/>
      </c>
      <c r="Q642" s="17">
        <f>O642-P642</f>
        <v/>
      </c>
      <c r="R642" s="31">
        <f>IF(O642=0,0,Q642/O642)</f>
        <v/>
      </c>
      <c r="S642">
        <f>XLOOKUP(F642,Lookups!$B$7:$B$11,Lookups!$C$7:$C$11,"Unknown")</f>
        <v/>
      </c>
      <c r="T642" s="31">
        <f>XLOOKUP(G642,Lookups!$E$7:$E$11,Lookups!$F$7:$F$11,0)</f>
        <v/>
      </c>
      <c r="U642" s="32">
        <f>R642-T642</f>
        <v/>
      </c>
      <c r="V642">
        <f>XLOOKUP(I642,Lookups!$H$7:$H$10,Lookups!$I$7:$I$10,"")</f>
        <v/>
      </c>
      <c r="W642">
        <f>IF(O642&gt;=50000,"HIGH VALUE","")</f>
        <v/>
      </c>
      <c r="X642">
        <f>IF(Q642&lt;0,"LOSS","")</f>
        <v/>
      </c>
      <c r="Y642">
        <f>IFS(M642&gt;=0.15,"Deep Discount",M642&gt;=0.1,"Moderate",TRUE,"Standard")</f>
        <v/>
      </c>
    </row>
    <row r="643">
      <c r="A643">
        <f>Raw_Data!A643</f>
        <v/>
      </c>
      <c r="B643" s="29">
        <f>Raw_Data!B643</f>
        <v/>
      </c>
      <c r="C643">
        <f>YEAR(B643)</f>
        <v/>
      </c>
      <c r="D643">
        <f>MONTH(B643)</f>
        <v/>
      </c>
      <c r="E643">
        <f>TEXT(B643,"MMM-YYYY")</f>
        <v/>
      </c>
      <c r="F643">
        <f>Raw_Data!C643</f>
        <v/>
      </c>
      <c r="G643">
        <f>Raw_Data!D643</f>
        <v/>
      </c>
      <c r="H643">
        <f>Raw_Data!E643</f>
        <v/>
      </c>
      <c r="I643">
        <f>Raw_Data!F643</f>
        <v/>
      </c>
      <c r="J643">
        <f>Raw_Data!G643</f>
        <v/>
      </c>
      <c r="K643">
        <f>Raw_Data!H643</f>
        <v/>
      </c>
      <c r="L643" s="30">
        <f>Raw_Data!I643</f>
        <v/>
      </c>
      <c r="M643" s="31">
        <f>Raw_Data!J643</f>
        <v/>
      </c>
      <c r="N643" s="17">
        <f>K643*L643</f>
        <v/>
      </c>
      <c r="O643" s="17">
        <f>N643*(1-M643)</f>
        <v/>
      </c>
      <c r="P643" s="17">
        <f>Raw_Data!L643</f>
        <v/>
      </c>
      <c r="Q643" s="17">
        <f>O643-P643</f>
        <v/>
      </c>
      <c r="R643" s="31">
        <f>IF(O643=0,0,Q643/O643)</f>
        <v/>
      </c>
      <c r="S643">
        <f>XLOOKUP(F643,Lookups!$B$7:$B$11,Lookups!$C$7:$C$11,"Unknown")</f>
        <v/>
      </c>
      <c r="T643" s="31">
        <f>XLOOKUP(G643,Lookups!$E$7:$E$11,Lookups!$F$7:$F$11,0)</f>
        <v/>
      </c>
      <c r="U643" s="32">
        <f>R643-T643</f>
        <v/>
      </c>
      <c r="V643">
        <f>XLOOKUP(I643,Lookups!$H$7:$H$10,Lookups!$I$7:$I$10,"")</f>
        <v/>
      </c>
      <c r="W643">
        <f>IF(O643&gt;=50000,"HIGH VALUE","")</f>
        <v/>
      </c>
      <c r="X643">
        <f>IF(Q643&lt;0,"LOSS","")</f>
        <v/>
      </c>
      <c r="Y643">
        <f>IFS(M643&gt;=0.15,"Deep Discount",M643&gt;=0.1,"Moderate",TRUE,"Standard")</f>
        <v/>
      </c>
    </row>
    <row r="644">
      <c r="A644">
        <f>Raw_Data!A644</f>
        <v/>
      </c>
      <c r="B644" s="29">
        <f>Raw_Data!B644</f>
        <v/>
      </c>
      <c r="C644">
        <f>YEAR(B644)</f>
        <v/>
      </c>
      <c r="D644">
        <f>MONTH(B644)</f>
        <v/>
      </c>
      <c r="E644">
        <f>TEXT(B644,"MMM-YYYY")</f>
        <v/>
      </c>
      <c r="F644">
        <f>Raw_Data!C644</f>
        <v/>
      </c>
      <c r="G644">
        <f>Raw_Data!D644</f>
        <v/>
      </c>
      <c r="H644">
        <f>Raw_Data!E644</f>
        <v/>
      </c>
      <c r="I644">
        <f>Raw_Data!F644</f>
        <v/>
      </c>
      <c r="J644">
        <f>Raw_Data!G644</f>
        <v/>
      </c>
      <c r="K644">
        <f>Raw_Data!H644</f>
        <v/>
      </c>
      <c r="L644" s="30">
        <f>Raw_Data!I644</f>
        <v/>
      </c>
      <c r="M644" s="31">
        <f>Raw_Data!J644</f>
        <v/>
      </c>
      <c r="N644" s="17">
        <f>K644*L644</f>
        <v/>
      </c>
      <c r="O644" s="17">
        <f>N644*(1-M644)</f>
        <v/>
      </c>
      <c r="P644" s="17">
        <f>Raw_Data!L644</f>
        <v/>
      </c>
      <c r="Q644" s="17">
        <f>O644-P644</f>
        <v/>
      </c>
      <c r="R644" s="31">
        <f>IF(O644=0,0,Q644/O644)</f>
        <v/>
      </c>
      <c r="S644">
        <f>XLOOKUP(F644,Lookups!$B$7:$B$11,Lookups!$C$7:$C$11,"Unknown")</f>
        <v/>
      </c>
      <c r="T644" s="31">
        <f>XLOOKUP(G644,Lookups!$E$7:$E$11,Lookups!$F$7:$F$11,0)</f>
        <v/>
      </c>
      <c r="U644" s="32">
        <f>R644-T644</f>
        <v/>
      </c>
      <c r="V644">
        <f>XLOOKUP(I644,Lookups!$H$7:$H$10,Lookups!$I$7:$I$10,"")</f>
        <v/>
      </c>
      <c r="W644">
        <f>IF(O644&gt;=50000,"HIGH VALUE","")</f>
        <v/>
      </c>
      <c r="X644">
        <f>IF(Q644&lt;0,"LOSS","")</f>
        <v/>
      </c>
      <c r="Y644">
        <f>IFS(M644&gt;=0.15,"Deep Discount",M644&gt;=0.1,"Moderate",TRUE,"Standard")</f>
        <v/>
      </c>
    </row>
    <row r="645">
      <c r="A645">
        <f>Raw_Data!A645</f>
        <v/>
      </c>
      <c r="B645" s="29">
        <f>Raw_Data!B645</f>
        <v/>
      </c>
      <c r="C645">
        <f>YEAR(B645)</f>
        <v/>
      </c>
      <c r="D645">
        <f>MONTH(B645)</f>
        <v/>
      </c>
      <c r="E645">
        <f>TEXT(B645,"MMM-YYYY")</f>
        <v/>
      </c>
      <c r="F645">
        <f>Raw_Data!C645</f>
        <v/>
      </c>
      <c r="G645">
        <f>Raw_Data!D645</f>
        <v/>
      </c>
      <c r="H645">
        <f>Raw_Data!E645</f>
        <v/>
      </c>
      <c r="I645">
        <f>Raw_Data!F645</f>
        <v/>
      </c>
      <c r="J645">
        <f>Raw_Data!G645</f>
        <v/>
      </c>
      <c r="K645">
        <f>Raw_Data!H645</f>
        <v/>
      </c>
      <c r="L645" s="30">
        <f>Raw_Data!I645</f>
        <v/>
      </c>
      <c r="M645" s="31">
        <f>Raw_Data!J645</f>
        <v/>
      </c>
      <c r="N645" s="17">
        <f>K645*L645</f>
        <v/>
      </c>
      <c r="O645" s="17">
        <f>N645*(1-M645)</f>
        <v/>
      </c>
      <c r="P645" s="17">
        <f>Raw_Data!L645</f>
        <v/>
      </c>
      <c r="Q645" s="17">
        <f>O645-P645</f>
        <v/>
      </c>
      <c r="R645" s="31">
        <f>IF(O645=0,0,Q645/O645)</f>
        <v/>
      </c>
      <c r="S645">
        <f>XLOOKUP(F645,Lookups!$B$7:$B$11,Lookups!$C$7:$C$11,"Unknown")</f>
        <v/>
      </c>
      <c r="T645" s="31">
        <f>XLOOKUP(G645,Lookups!$E$7:$E$11,Lookups!$F$7:$F$11,0)</f>
        <v/>
      </c>
      <c r="U645" s="32">
        <f>R645-T645</f>
        <v/>
      </c>
      <c r="V645">
        <f>XLOOKUP(I645,Lookups!$H$7:$H$10,Lookups!$I$7:$I$10,"")</f>
        <v/>
      </c>
      <c r="W645">
        <f>IF(O645&gt;=50000,"HIGH VALUE","")</f>
        <v/>
      </c>
      <c r="X645">
        <f>IF(Q645&lt;0,"LOSS","")</f>
        <v/>
      </c>
      <c r="Y645">
        <f>IFS(M645&gt;=0.15,"Deep Discount",M645&gt;=0.1,"Moderate",TRUE,"Standard")</f>
        <v/>
      </c>
    </row>
    <row r="646">
      <c r="A646">
        <f>Raw_Data!A646</f>
        <v/>
      </c>
      <c r="B646" s="29">
        <f>Raw_Data!B646</f>
        <v/>
      </c>
      <c r="C646">
        <f>YEAR(B646)</f>
        <v/>
      </c>
      <c r="D646">
        <f>MONTH(B646)</f>
        <v/>
      </c>
      <c r="E646">
        <f>TEXT(B646,"MMM-YYYY")</f>
        <v/>
      </c>
      <c r="F646">
        <f>Raw_Data!C646</f>
        <v/>
      </c>
      <c r="G646">
        <f>Raw_Data!D646</f>
        <v/>
      </c>
      <c r="H646">
        <f>Raw_Data!E646</f>
        <v/>
      </c>
      <c r="I646">
        <f>Raw_Data!F646</f>
        <v/>
      </c>
      <c r="J646">
        <f>Raw_Data!G646</f>
        <v/>
      </c>
      <c r="K646">
        <f>Raw_Data!H646</f>
        <v/>
      </c>
      <c r="L646" s="30">
        <f>Raw_Data!I646</f>
        <v/>
      </c>
      <c r="M646" s="31">
        <f>Raw_Data!J646</f>
        <v/>
      </c>
      <c r="N646" s="17">
        <f>K646*L646</f>
        <v/>
      </c>
      <c r="O646" s="17">
        <f>N646*(1-M646)</f>
        <v/>
      </c>
      <c r="P646" s="17">
        <f>Raw_Data!L646</f>
        <v/>
      </c>
      <c r="Q646" s="17">
        <f>O646-P646</f>
        <v/>
      </c>
      <c r="R646" s="31">
        <f>IF(O646=0,0,Q646/O646)</f>
        <v/>
      </c>
      <c r="S646">
        <f>XLOOKUP(F646,Lookups!$B$7:$B$11,Lookups!$C$7:$C$11,"Unknown")</f>
        <v/>
      </c>
      <c r="T646" s="31">
        <f>XLOOKUP(G646,Lookups!$E$7:$E$11,Lookups!$F$7:$F$11,0)</f>
        <v/>
      </c>
      <c r="U646" s="32">
        <f>R646-T646</f>
        <v/>
      </c>
      <c r="V646">
        <f>XLOOKUP(I646,Lookups!$H$7:$H$10,Lookups!$I$7:$I$10,"")</f>
        <v/>
      </c>
      <c r="W646">
        <f>IF(O646&gt;=50000,"HIGH VALUE","")</f>
        <v/>
      </c>
      <c r="X646">
        <f>IF(Q646&lt;0,"LOSS","")</f>
        <v/>
      </c>
      <c r="Y646">
        <f>IFS(M646&gt;=0.15,"Deep Discount",M646&gt;=0.1,"Moderate",TRUE,"Standard")</f>
        <v/>
      </c>
    </row>
    <row r="647">
      <c r="A647">
        <f>Raw_Data!A647</f>
        <v/>
      </c>
      <c r="B647" s="29">
        <f>Raw_Data!B647</f>
        <v/>
      </c>
      <c r="C647">
        <f>YEAR(B647)</f>
        <v/>
      </c>
      <c r="D647">
        <f>MONTH(B647)</f>
        <v/>
      </c>
      <c r="E647">
        <f>TEXT(B647,"MMM-YYYY")</f>
        <v/>
      </c>
      <c r="F647">
        <f>Raw_Data!C647</f>
        <v/>
      </c>
      <c r="G647">
        <f>Raw_Data!D647</f>
        <v/>
      </c>
      <c r="H647">
        <f>Raw_Data!E647</f>
        <v/>
      </c>
      <c r="I647">
        <f>Raw_Data!F647</f>
        <v/>
      </c>
      <c r="J647">
        <f>Raw_Data!G647</f>
        <v/>
      </c>
      <c r="K647">
        <f>Raw_Data!H647</f>
        <v/>
      </c>
      <c r="L647" s="30">
        <f>Raw_Data!I647</f>
        <v/>
      </c>
      <c r="M647" s="31">
        <f>Raw_Data!J647</f>
        <v/>
      </c>
      <c r="N647" s="17">
        <f>K647*L647</f>
        <v/>
      </c>
      <c r="O647" s="17">
        <f>N647*(1-M647)</f>
        <v/>
      </c>
      <c r="P647" s="17">
        <f>Raw_Data!L647</f>
        <v/>
      </c>
      <c r="Q647" s="17">
        <f>O647-P647</f>
        <v/>
      </c>
      <c r="R647" s="31">
        <f>IF(O647=0,0,Q647/O647)</f>
        <v/>
      </c>
      <c r="S647">
        <f>XLOOKUP(F647,Lookups!$B$7:$B$11,Lookups!$C$7:$C$11,"Unknown")</f>
        <v/>
      </c>
      <c r="T647" s="31">
        <f>XLOOKUP(G647,Lookups!$E$7:$E$11,Lookups!$F$7:$F$11,0)</f>
        <v/>
      </c>
      <c r="U647" s="32">
        <f>R647-T647</f>
        <v/>
      </c>
      <c r="V647">
        <f>XLOOKUP(I647,Lookups!$H$7:$H$10,Lookups!$I$7:$I$10,"")</f>
        <v/>
      </c>
      <c r="W647">
        <f>IF(O647&gt;=50000,"HIGH VALUE","")</f>
        <v/>
      </c>
      <c r="X647">
        <f>IF(Q647&lt;0,"LOSS","")</f>
        <v/>
      </c>
      <c r="Y647">
        <f>IFS(M647&gt;=0.15,"Deep Discount",M647&gt;=0.1,"Moderate",TRUE,"Standard")</f>
        <v/>
      </c>
    </row>
    <row r="648">
      <c r="A648">
        <f>Raw_Data!A648</f>
        <v/>
      </c>
      <c r="B648" s="29">
        <f>Raw_Data!B648</f>
        <v/>
      </c>
      <c r="C648">
        <f>YEAR(B648)</f>
        <v/>
      </c>
      <c r="D648">
        <f>MONTH(B648)</f>
        <v/>
      </c>
      <c r="E648">
        <f>TEXT(B648,"MMM-YYYY")</f>
        <v/>
      </c>
      <c r="F648">
        <f>Raw_Data!C648</f>
        <v/>
      </c>
      <c r="G648">
        <f>Raw_Data!D648</f>
        <v/>
      </c>
      <c r="H648">
        <f>Raw_Data!E648</f>
        <v/>
      </c>
      <c r="I648">
        <f>Raw_Data!F648</f>
        <v/>
      </c>
      <c r="J648">
        <f>Raw_Data!G648</f>
        <v/>
      </c>
      <c r="K648">
        <f>Raw_Data!H648</f>
        <v/>
      </c>
      <c r="L648" s="30">
        <f>Raw_Data!I648</f>
        <v/>
      </c>
      <c r="M648" s="31">
        <f>Raw_Data!J648</f>
        <v/>
      </c>
      <c r="N648" s="17">
        <f>K648*L648</f>
        <v/>
      </c>
      <c r="O648" s="17">
        <f>N648*(1-M648)</f>
        <v/>
      </c>
      <c r="P648" s="17">
        <f>Raw_Data!L648</f>
        <v/>
      </c>
      <c r="Q648" s="17">
        <f>O648-P648</f>
        <v/>
      </c>
      <c r="R648" s="31">
        <f>IF(O648=0,0,Q648/O648)</f>
        <v/>
      </c>
      <c r="S648">
        <f>XLOOKUP(F648,Lookups!$B$7:$B$11,Lookups!$C$7:$C$11,"Unknown")</f>
        <v/>
      </c>
      <c r="T648" s="31">
        <f>XLOOKUP(G648,Lookups!$E$7:$E$11,Lookups!$F$7:$F$11,0)</f>
        <v/>
      </c>
      <c r="U648" s="32">
        <f>R648-T648</f>
        <v/>
      </c>
      <c r="V648">
        <f>XLOOKUP(I648,Lookups!$H$7:$H$10,Lookups!$I$7:$I$10,"")</f>
        <v/>
      </c>
      <c r="W648">
        <f>IF(O648&gt;=50000,"HIGH VALUE","")</f>
        <v/>
      </c>
      <c r="X648">
        <f>IF(Q648&lt;0,"LOSS","")</f>
        <v/>
      </c>
      <c r="Y648">
        <f>IFS(M648&gt;=0.15,"Deep Discount",M648&gt;=0.1,"Moderate",TRUE,"Standard")</f>
        <v/>
      </c>
    </row>
    <row r="649">
      <c r="A649">
        <f>Raw_Data!A649</f>
        <v/>
      </c>
      <c r="B649" s="29">
        <f>Raw_Data!B649</f>
        <v/>
      </c>
      <c r="C649">
        <f>YEAR(B649)</f>
        <v/>
      </c>
      <c r="D649">
        <f>MONTH(B649)</f>
        <v/>
      </c>
      <c r="E649">
        <f>TEXT(B649,"MMM-YYYY")</f>
        <v/>
      </c>
      <c r="F649">
        <f>Raw_Data!C649</f>
        <v/>
      </c>
      <c r="G649">
        <f>Raw_Data!D649</f>
        <v/>
      </c>
      <c r="H649">
        <f>Raw_Data!E649</f>
        <v/>
      </c>
      <c r="I649">
        <f>Raw_Data!F649</f>
        <v/>
      </c>
      <c r="J649">
        <f>Raw_Data!G649</f>
        <v/>
      </c>
      <c r="K649">
        <f>Raw_Data!H649</f>
        <v/>
      </c>
      <c r="L649" s="30">
        <f>Raw_Data!I649</f>
        <v/>
      </c>
      <c r="M649" s="31">
        <f>Raw_Data!J649</f>
        <v/>
      </c>
      <c r="N649" s="17">
        <f>K649*L649</f>
        <v/>
      </c>
      <c r="O649" s="17">
        <f>N649*(1-M649)</f>
        <v/>
      </c>
      <c r="P649" s="17">
        <f>Raw_Data!L649</f>
        <v/>
      </c>
      <c r="Q649" s="17">
        <f>O649-P649</f>
        <v/>
      </c>
      <c r="R649" s="31">
        <f>IF(O649=0,0,Q649/O649)</f>
        <v/>
      </c>
      <c r="S649">
        <f>XLOOKUP(F649,Lookups!$B$7:$B$11,Lookups!$C$7:$C$11,"Unknown")</f>
        <v/>
      </c>
      <c r="T649" s="31">
        <f>XLOOKUP(G649,Lookups!$E$7:$E$11,Lookups!$F$7:$F$11,0)</f>
        <v/>
      </c>
      <c r="U649" s="32">
        <f>R649-T649</f>
        <v/>
      </c>
      <c r="V649">
        <f>XLOOKUP(I649,Lookups!$H$7:$H$10,Lookups!$I$7:$I$10,"")</f>
        <v/>
      </c>
      <c r="W649">
        <f>IF(O649&gt;=50000,"HIGH VALUE","")</f>
        <v/>
      </c>
      <c r="X649">
        <f>IF(Q649&lt;0,"LOSS","")</f>
        <v/>
      </c>
      <c r="Y649">
        <f>IFS(M649&gt;=0.15,"Deep Discount",M649&gt;=0.1,"Moderate",TRUE,"Standard")</f>
        <v/>
      </c>
    </row>
    <row r="650">
      <c r="A650">
        <f>Raw_Data!A650</f>
        <v/>
      </c>
      <c r="B650" s="29">
        <f>Raw_Data!B650</f>
        <v/>
      </c>
      <c r="C650">
        <f>YEAR(B650)</f>
        <v/>
      </c>
      <c r="D650">
        <f>MONTH(B650)</f>
        <v/>
      </c>
      <c r="E650">
        <f>TEXT(B650,"MMM-YYYY")</f>
        <v/>
      </c>
      <c r="F650">
        <f>Raw_Data!C650</f>
        <v/>
      </c>
      <c r="G650">
        <f>Raw_Data!D650</f>
        <v/>
      </c>
      <c r="H650">
        <f>Raw_Data!E650</f>
        <v/>
      </c>
      <c r="I650">
        <f>Raw_Data!F650</f>
        <v/>
      </c>
      <c r="J650">
        <f>Raw_Data!G650</f>
        <v/>
      </c>
      <c r="K650">
        <f>Raw_Data!H650</f>
        <v/>
      </c>
      <c r="L650" s="30">
        <f>Raw_Data!I650</f>
        <v/>
      </c>
      <c r="M650" s="31">
        <f>Raw_Data!J650</f>
        <v/>
      </c>
      <c r="N650" s="17">
        <f>K650*L650</f>
        <v/>
      </c>
      <c r="O650" s="17">
        <f>N650*(1-M650)</f>
        <v/>
      </c>
      <c r="P650" s="17">
        <f>Raw_Data!L650</f>
        <v/>
      </c>
      <c r="Q650" s="17">
        <f>O650-P650</f>
        <v/>
      </c>
      <c r="R650" s="31">
        <f>IF(O650=0,0,Q650/O650)</f>
        <v/>
      </c>
      <c r="S650">
        <f>XLOOKUP(F650,Lookups!$B$7:$B$11,Lookups!$C$7:$C$11,"Unknown")</f>
        <v/>
      </c>
      <c r="T650" s="31">
        <f>XLOOKUP(G650,Lookups!$E$7:$E$11,Lookups!$F$7:$F$11,0)</f>
        <v/>
      </c>
      <c r="U650" s="32">
        <f>R650-T650</f>
        <v/>
      </c>
      <c r="V650">
        <f>XLOOKUP(I650,Lookups!$H$7:$H$10,Lookups!$I$7:$I$10,"")</f>
        <v/>
      </c>
      <c r="W650">
        <f>IF(O650&gt;=50000,"HIGH VALUE","")</f>
        <v/>
      </c>
      <c r="X650">
        <f>IF(Q650&lt;0,"LOSS","")</f>
        <v/>
      </c>
      <c r="Y650">
        <f>IFS(M650&gt;=0.15,"Deep Discount",M650&gt;=0.1,"Moderate",TRUE,"Standard")</f>
        <v/>
      </c>
    </row>
    <row r="651">
      <c r="A651">
        <f>Raw_Data!A651</f>
        <v/>
      </c>
      <c r="B651" s="29">
        <f>Raw_Data!B651</f>
        <v/>
      </c>
      <c r="C651">
        <f>YEAR(B651)</f>
        <v/>
      </c>
      <c r="D651">
        <f>MONTH(B651)</f>
        <v/>
      </c>
      <c r="E651">
        <f>TEXT(B651,"MMM-YYYY")</f>
        <v/>
      </c>
      <c r="F651">
        <f>Raw_Data!C651</f>
        <v/>
      </c>
      <c r="G651">
        <f>Raw_Data!D651</f>
        <v/>
      </c>
      <c r="H651">
        <f>Raw_Data!E651</f>
        <v/>
      </c>
      <c r="I651">
        <f>Raw_Data!F651</f>
        <v/>
      </c>
      <c r="J651">
        <f>Raw_Data!G651</f>
        <v/>
      </c>
      <c r="K651">
        <f>Raw_Data!H651</f>
        <v/>
      </c>
      <c r="L651" s="30">
        <f>Raw_Data!I651</f>
        <v/>
      </c>
      <c r="M651" s="31">
        <f>Raw_Data!J651</f>
        <v/>
      </c>
      <c r="N651" s="17">
        <f>K651*L651</f>
        <v/>
      </c>
      <c r="O651" s="17">
        <f>N651*(1-M651)</f>
        <v/>
      </c>
      <c r="P651" s="17">
        <f>Raw_Data!L651</f>
        <v/>
      </c>
      <c r="Q651" s="17">
        <f>O651-P651</f>
        <v/>
      </c>
      <c r="R651" s="31">
        <f>IF(O651=0,0,Q651/O651)</f>
        <v/>
      </c>
      <c r="S651">
        <f>XLOOKUP(F651,Lookups!$B$7:$B$11,Lookups!$C$7:$C$11,"Unknown")</f>
        <v/>
      </c>
      <c r="T651" s="31">
        <f>XLOOKUP(G651,Lookups!$E$7:$E$11,Lookups!$F$7:$F$11,0)</f>
        <v/>
      </c>
      <c r="U651" s="32">
        <f>R651-T651</f>
        <v/>
      </c>
      <c r="V651">
        <f>XLOOKUP(I651,Lookups!$H$7:$H$10,Lookups!$I$7:$I$10,"")</f>
        <v/>
      </c>
      <c r="W651">
        <f>IF(O651&gt;=50000,"HIGH VALUE","")</f>
        <v/>
      </c>
      <c r="X651">
        <f>IF(Q651&lt;0,"LOSS","")</f>
        <v/>
      </c>
      <c r="Y651">
        <f>IFS(M651&gt;=0.15,"Deep Discount",M651&gt;=0.1,"Moderate",TRUE,"Standard")</f>
        <v/>
      </c>
    </row>
    <row r="652">
      <c r="A652">
        <f>Raw_Data!A652</f>
        <v/>
      </c>
      <c r="B652" s="29">
        <f>Raw_Data!B652</f>
        <v/>
      </c>
      <c r="C652">
        <f>YEAR(B652)</f>
        <v/>
      </c>
      <c r="D652">
        <f>MONTH(B652)</f>
        <v/>
      </c>
      <c r="E652">
        <f>TEXT(B652,"MMM-YYYY")</f>
        <v/>
      </c>
      <c r="F652">
        <f>Raw_Data!C652</f>
        <v/>
      </c>
      <c r="G652">
        <f>Raw_Data!D652</f>
        <v/>
      </c>
      <c r="H652">
        <f>Raw_Data!E652</f>
        <v/>
      </c>
      <c r="I652">
        <f>Raw_Data!F652</f>
        <v/>
      </c>
      <c r="J652">
        <f>Raw_Data!G652</f>
        <v/>
      </c>
      <c r="K652">
        <f>Raw_Data!H652</f>
        <v/>
      </c>
      <c r="L652" s="30">
        <f>Raw_Data!I652</f>
        <v/>
      </c>
      <c r="M652" s="31">
        <f>Raw_Data!J652</f>
        <v/>
      </c>
      <c r="N652" s="17">
        <f>K652*L652</f>
        <v/>
      </c>
      <c r="O652" s="17">
        <f>N652*(1-M652)</f>
        <v/>
      </c>
      <c r="P652" s="17">
        <f>Raw_Data!L652</f>
        <v/>
      </c>
      <c r="Q652" s="17">
        <f>O652-P652</f>
        <v/>
      </c>
      <c r="R652" s="31">
        <f>IF(O652=0,0,Q652/O652)</f>
        <v/>
      </c>
      <c r="S652">
        <f>XLOOKUP(F652,Lookups!$B$7:$B$11,Lookups!$C$7:$C$11,"Unknown")</f>
        <v/>
      </c>
      <c r="T652" s="31">
        <f>XLOOKUP(G652,Lookups!$E$7:$E$11,Lookups!$F$7:$F$11,0)</f>
        <v/>
      </c>
      <c r="U652" s="32">
        <f>R652-T652</f>
        <v/>
      </c>
      <c r="V652">
        <f>XLOOKUP(I652,Lookups!$H$7:$H$10,Lookups!$I$7:$I$10,"")</f>
        <v/>
      </c>
      <c r="W652">
        <f>IF(O652&gt;=50000,"HIGH VALUE","")</f>
        <v/>
      </c>
      <c r="X652">
        <f>IF(Q652&lt;0,"LOSS","")</f>
        <v/>
      </c>
      <c r="Y652">
        <f>IFS(M652&gt;=0.15,"Deep Discount",M652&gt;=0.1,"Moderate",TRUE,"Standard")</f>
        <v/>
      </c>
    </row>
    <row r="653">
      <c r="A653">
        <f>Raw_Data!A653</f>
        <v/>
      </c>
      <c r="B653" s="29">
        <f>Raw_Data!B653</f>
        <v/>
      </c>
      <c r="C653">
        <f>YEAR(B653)</f>
        <v/>
      </c>
      <c r="D653">
        <f>MONTH(B653)</f>
        <v/>
      </c>
      <c r="E653">
        <f>TEXT(B653,"MMM-YYYY")</f>
        <v/>
      </c>
      <c r="F653">
        <f>Raw_Data!C653</f>
        <v/>
      </c>
      <c r="G653">
        <f>Raw_Data!D653</f>
        <v/>
      </c>
      <c r="H653">
        <f>Raw_Data!E653</f>
        <v/>
      </c>
      <c r="I653">
        <f>Raw_Data!F653</f>
        <v/>
      </c>
      <c r="J653">
        <f>Raw_Data!G653</f>
        <v/>
      </c>
      <c r="K653">
        <f>Raw_Data!H653</f>
        <v/>
      </c>
      <c r="L653" s="30">
        <f>Raw_Data!I653</f>
        <v/>
      </c>
      <c r="M653" s="31">
        <f>Raw_Data!J653</f>
        <v/>
      </c>
      <c r="N653" s="17">
        <f>K653*L653</f>
        <v/>
      </c>
      <c r="O653" s="17">
        <f>N653*(1-M653)</f>
        <v/>
      </c>
      <c r="P653" s="17">
        <f>Raw_Data!L653</f>
        <v/>
      </c>
      <c r="Q653" s="17">
        <f>O653-P653</f>
        <v/>
      </c>
      <c r="R653" s="31">
        <f>IF(O653=0,0,Q653/O653)</f>
        <v/>
      </c>
      <c r="S653">
        <f>XLOOKUP(F653,Lookups!$B$7:$B$11,Lookups!$C$7:$C$11,"Unknown")</f>
        <v/>
      </c>
      <c r="T653" s="31">
        <f>XLOOKUP(G653,Lookups!$E$7:$E$11,Lookups!$F$7:$F$11,0)</f>
        <v/>
      </c>
      <c r="U653" s="32">
        <f>R653-T653</f>
        <v/>
      </c>
      <c r="V653">
        <f>XLOOKUP(I653,Lookups!$H$7:$H$10,Lookups!$I$7:$I$10,"")</f>
        <v/>
      </c>
      <c r="W653">
        <f>IF(O653&gt;=50000,"HIGH VALUE","")</f>
        <v/>
      </c>
      <c r="X653">
        <f>IF(Q653&lt;0,"LOSS","")</f>
        <v/>
      </c>
      <c r="Y653">
        <f>IFS(M653&gt;=0.15,"Deep Discount",M653&gt;=0.1,"Moderate",TRUE,"Standard")</f>
        <v/>
      </c>
    </row>
    <row r="654">
      <c r="A654">
        <f>Raw_Data!A654</f>
        <v/>
      </c>
      <c r="B654" s="29">
        <f>Raw_Data!B654</f>
        <v/>
      </c>
      <c r="C654">
        <f>YEAR(B654)</f>
        <v/>
      </c>
      <c r="D654">
        <f>MONTH(B654)</f>
        <v/>
      </c>
      <c r="E654">
        <f>TEXT(B654,"MMM-YYYY")</f>
        <v/>
      </c>
      <c r="F654">
        <f>Raw_Data!C654</f>
        <v/>
      </c>
      <c r="G654">
        <f>Raw_Data!D654</f>
        <v/>
      </c>
      <c r="H654">
        <f>Raw_Data!E654</f>
        <v/>
      </c>
      <c r="I654">
        <f>Raw_Data!F654</f>
        <v/>
      </c>
      <c r="J654">
        <f>Raw_Data!G654</f>
        <v/>
      </c>
      <c r="K654">
        <f>Raw_Data!H654</f>
        <v/>
      </c>
      <c r="L654" s="30">
        <f>Raw_Data!I654</f>
        <v/>
      </c>
      <c r="M654" s="31">
        <f>Raw_Data!J654</f>
        <v/>
      </c>
      <c r="N654" s="17">
        <f>K654*L654</f>
        <v/>
      </c>
      <c r="O654" s="17">
        <f>N654*(1-M654)</f>
        <v/>
      </c>
      <c r="P654" s="17">
        <f>Raw_Data!L654</f>
        <v/>
      </c>
      <c r="Q654" s="17">
        <f>O654-P654</f>
        <v/>
      </c>
      <c r="R654" s="31">
        <f>IF(O654=0,0,Q654/O654)</f>
        <v/>
      </c>
      <c r="S654">
        <f>XLOOKUP(F654,Lookups!$B$7:$B$11,Lookups!$C$7:$C$11,"Unknown")</f>
        <v/>
      </c>
      <c r="T654" s="31">
        <f>XLOOKUP(G654,Lookups!$E$7:$E$11,Lookups!$F$7:$F$11,0)</f>
        <v/>
      </c>
      <c r="U654" s="32">
        <f>R654-T654</f>
        <v/>
      </c>
      <c r="V654">
        <f>XLOOKUP(I654,Lookups!$H$7:$H$10,Lookups!$I$7:$I$10,"")</f>
        <v/>
      </c>
      <c r="W654">
        <f>IF(O654&gt;=50000,"HIGH VALUE","")</f>
        <v/>
      </c>
      <c r="X654">
        <f>IF(Q654&lt;0,"LOSS","")</f>
        <v/>
      </c>
      <c r="Y654">
        <f>IFS(M654&gt;=0.15,"Deep Discount",M654&gt;=0.1,"Moderate",TRUE,"Standard")</f>
        <v/>
      </c>
    </row>
    <row r="655">
      <c r="A655">
        <f>Raw_Data!A655</f>
        <v/>
      </c>
      <c r="B655" s="29">
        <f>Raw_Data!B655</f>
        <v/>
      </c>
      <c r="C655">
        <f>YEAR(B655)</f>
        <v/>
      </c>
      <c r="D655">
        <f>MONTH(B655)</f>
        <v/>
      </c>
      <c r="E655">
        <f>TEXT(B655,"MMM-YYYY")</f>
        <v/>
      </c>
      <c r="F655">
        <f>Raw_Data!C655</f>
        <v/>
      </c>
      <c r="G655">
        <f>Raw_Data!D655</f>
        <v/>
      </c>
      <c r="H655">
        <f>Raw_Data!E655</f>
        <v/>
      </c>
      <c r="I655">
        <f>Raw_Data!F655</f>
        <v/>
      </c>
      <c r="J655">
        <f>Raw_Data!G655</f>
        <v/>
      </c>
      <c r="K655">
        <f>Raw_Data!H655</f>
        <v/>
      </c>
      <c r="L655" s="30">
        <f>Raw_Data!I655</f>
        <v/>
      </c>
      <c r="M655" s="31">
        <f>Raw_Data!J655</f>
        <v/>
      </c>
      <c r="N655" s="17">
        <f>K655*L655</f>
        <v/>
      </c>
      <c r="O655" s="17">
        <f>N655*(1-M655)</f>
        <v/>
      </c>
      <c r="P655" s="17">
        <f>Raw_Data!L655</f>
        <v/>
      </c>
      <c r="Q655" s="17">
        <f>O655-P655</f>
        <v/>
      </c>
      <c r="R655" s="31">
        <f>IF(O655=0,0,Q655/O655)</f>
        <v/>
      </c>
      <c r="S655">
        <f>XLOOKUP(F655,Lookups!$B$7:$B$11,Lookups!$C$7:$C$11,"Unknown")</f>
        <v/>
      </c>
      <c r="T655" s="31">
        <f>XLOOKUP(G655,Lookups!$E$7:$E$11,Lookups!$F$7:$F$11,0)</f>
        <v/>
      </c>
      <c r="U655" s="32">
        <f>R655-T655</f>
        <v/>
      </c>
      <c r="V655">
        <f>XLOOKUP(I655,Lookups!$H$7:$H$10,Lookups!$I$7:$I$10,"")</f>
        <v/>
      </c>
      <c r="W655">
        <f>IF(O655&gt;=50000,"HIGH VALUE","")</f>
        <v/>
      </c>
      <c r="X655">
        <f>IF(Q655&lt;0,"LOSS","")</f>
        <v/>
      </c>
      <c r="Y655">
        <f>IFS(M655&gt;=0.15,"Deep Discount",M655&gt;=0.1,"Moderate",TRUE,"Standard")</f>
        <v/>
      </c>
    </row>
    <row r="656">
      <c r="A656">
        <f>Raw_Data!A656</f>
        <v/>
      </c>
      <c r="B656" s="29">
        <f>Raw_Data!B656</f>
        <v/>
      </c>
      <c r="C656">
        <f>YEAR(B656)</f>
        <v/>
      </c>
      <c r="D656">
        <f>MONTH(B656)</f>
        <v/>
      </c>
      <c r="E656">
        <f>TEXT(B656,"MMM-YYYY")</f>
        <v/>
      </c>
      <c r="F656">
        <f>Raw_Data!C656</f>
        <v/>
      </c>
      <c r="G656">
        <f>Raw_Data!D656</f>
        <v/>
      </c>
      <c r="H656">
        <f>Raw_Data!E656</f>
        <v/>
      </c>
      <c r="I656">
        <f>Raw_Data!F656</f>
        <v/>
      </c>
      <c r="J656">
        <f>Raw_Data!G656</f>
        <v/>
      </c>
      <c r="K656">
        <f>Raw_Data!H656</f>
        <v/>
      </c>
      <c r="L656" s="30">
        <f>Raw_Data!I656</f>
        <v/>
      </c>
      <c r="M656" s="31">
        <f>Raw_Data!J656</f>
        <v/>
      </c>
      <c r="N656" s="17">
        <f>K656*L656</f>
        <v/>
      </c>
      <c r="O656" s="17">
        <f>N656*(1-M656)</f>
        <v/>
      </c>
      <c r="P656" s="17">
        <f>Raw_Data!L656</f>
        <v/>
      </c>
      <c r="Q656" s="17">
        <f>O656-P656</f>
        <v/>
      </c>
      <c r="R656" s="31">
        <f>IF(O656=0,0,Q656/O656)</f>
        <v/>
      </c>
      <c r="S656">
        <f>XLOOKUP(F656,Lookups!$B$7:$B$11,Lookups!$C$7:$C$11,"Unknown")</f>
        <v/>
      </c>
      <c r="T656" s="31">
        <f>XLOOKUP(G656,Lookups!$E$7:$E$11,Lookups!$F$7:$F$11,0)</f>
        <v/>
      </c>
      <c r="U656" s="32">
        <f>R656-T656</f>
        <v/>
      </c>
      <c r="V656">
        <f>XLOOKUP(I656,Lookups!$H$7:$H$10,Lookups!$I$7:$I$10,"")</f>
        <v/>
      </c>
      <c r="W656">
        <f>IF(O656&gt;=50000,"HIGH VALUE","")</f>
        <v/>
      </c>
      <c r="X656">
        <f>IF(Q656&lt;0,"LOSS","")</f>
        <v/>
      </c>
      <c r="Y656">
        <f>IFS(M656&gt;=0.15,"Deep Discount",M656&gt;=0.1,"Moderate",TRUE,"Standard")</f>
        <v/>
      </c>
    </row>
    <row r="657">
      <c r="A657">
        <f>Raw_Data!A657</f>
        <v/>
      </c>
      <c r="B657" s="29">
        <f>Raw_Data!B657</f>
        <v/>
      </c>
      <c r="C657">
        <f>YEAR(B657)</f>
        <v/>
      </c>
      <c r="D657">
        <f>MONTH(B657)</f>
        <v/>
      </c>
      <c r="E657">
        <f>TEXT(B657,"MMM-YYYY")</f>
        <v/>
      </c>
      <c r="F657">
        <f>Raw_Data!C657</f>
        <v/>
      </c>
      <c r="G657">
        <f>Raw_Data!D657</f>
        <v/>
      </c>
      <c r="H657">
        <f>Raw_Data!E657</f>
        <v/>
      </c>
      <c r="I657">
        <f>Raw_Data!F657</f>
        <v/>
      </c>
      <c r="J657">
        <f>Raw_Data!G657</f>
        <v/>
      </c>
      <c r="K657">
        <f>Raw_Data!H657</f>
        <v/>
      </c>
      <c r="L657" s="30">
        <f>Raw_Data!I657</f>
        <v/>
      </c>
      <c r="M657" s="31">
        <f>Raw_Data!J657</f>
        <v/>
      </c>
      <c r="N657" s="17">
        <f>K657*L657</f>
        <v/>
      </c>
      <c r="O657" s="17">
        <f>N657*(1-M657)</f>
        <v/>
      </c>
      <c r="P657" s="17">
        <f>Raw_Data!L657</f>
        <v/>
      </c>
      <c r="Q657" s="17">
        <f>O657-P657</f>
        <v/>
      </c>
      <c r="R657" s="31">
        <f>IF(O657=0,0,Q657/O657)</f>
        <v/>
      </c>
      <c r="S657">
        <f>XLOOKUP(F657,Lookups!$B$7:$B$11,Lookups!$C$7:$C$11,"Unknown")</f>
        <v/>
      </c>
      <c r="T657" s="31">
        <f>XLOOKUP(G657,Lookups!$E$7:$E$11,Lookups!$F$7:$F$11,0)</f>
        <v/>
      </c>
      <c r="U657" s="32">
        <f>R657-T657</f>
        <v/>
      </c>
      <c r="V657">
        <f>XLOOKUP(I657,Lookups!$H$7:$H$10,Lookups!$I$7:$I$10,"")</f>
        <v/>
      </c>
      <c r="W657">
        <f>IF(O657&gt;=50000,"HIGH VALUE","")</f>
        <v/>
      </c>
      <c r="X657">
        <f>IF(Q657&lt;0,"LOSS","")</f>
        <v/>
      </c>
      <c r="Y657">
        <f>IFS(M657&gt;=0.15,"Deep Discount",M657&gt;=0.1,"Moderate",TRUE,"Standard")</f>
        <v/>
      </c>
    </row>
    <row r="658">
      <c r="A658">
        <f>Raw_Data!A658</f>
        <v/>
      </c>
      <c r="B658" s="29">
        <f>Raw_Data!B658</f>
        <v/>
      </c>
      <c r="C658">
        <f>YEAR(B658)</f>
        <v/>
      </c>
      <c r="D658">
        <f>MONTH(B658)</f>
        <v/>
      </c>
      <c r="E658">
        <f>TEXT(B658,"MMM-YYYY")</f>
        <v/>
      </c>
      <c r="F658">
        <f>Raw_Data!C658</f>
        <v/>
      </c>
      <c r="G658">
        <f>Raw_Data!D658</f>
        <v/>
      </c>
      <c r="H658">
        <f>Raw_Data!E658</f>
        <v/>
      </c>
      <c r="I658">
        <f>Raw_Data!F658</f>
        <v/>
      </c>
      <c r="J658">
        <f>Raw_Data!G658</f>
        <v/>
      </c>
      <c r="K658">
        <f>Raw_Data!H658</f>
        <v/>
      </c>
      <c r="L658" s="30">
        <f>Raw_Data!I658</f>
        <v/>
      </c>
      <c r="M658" s="31">
        <f>Raw_Data!J658</f>
        <v/>
      </c>
      <c r="N658" s="17">
        <f>K658*L658</f>
        <v/>
      </c>
      <c r="O658" s="17">
        <f>N658*(1-M658)</f>
        <v/>
      </c>
      <c r="P658" s="17">
        <f>Raw_Data!L658</f>
        <v/>
      </c>
      <c r="Q658" s="17">
        <f>O658-P658</f>
        <v/>
      </c>
      <c r="R658" s="31">
        <f>IF(O658=0,0,Q658/O658)</f>
        <v/>
      </c>
      <c r="S658">
        <f>XLOOKUP(F658,Lookups!$B$7:$B$11,Lookups!$C$7:$C$11,"Unknown")</f>
        <v/>
      </c>
      <c r="T658" s="31">
        <f>XLOOKUP(G658,Lookups!$E$7:$E$11,Lookups!$F$7:$F$11,0)</f>
        <v/>
      </c>
      <c r="U658" s="32">
        <f>R658-T658</f>
        <v/>
      </c>
      <c r="V658">
        <f>XLOOKUP(I658,Lookups!$H$7:$H$10,Lookups!$I$7:$I$10,"")</f>
        <v/>
      </c>
      <c r="W658">
        <f>IF(O658&gt;=50000,"HIGH VALUE","")</f>
        <v/>
      </c>
      <c r="X658">
        <f>IF(Q658&lt;0,"LOSS","")</f>
        <v/>
      </c>
      <c r="Y658">
        <f>IFS(M658&gt;=0.15,"Deep Discount",M658&gt;=0.1,"Moderate",TRUE,"Standard")</f>
        <v/>
      </c>
    </row>
    <row r="659">
      <c r="A659">
        <f>Raw_Data!A659</f>
        <v/>
      </c>
      <c r="B659" s="29">
        <f>Raw_Data!B659</f>
        <v/>
      </c>
      <c r="C659">
        <f>YEAR(B659)</f>
        <v/>
      </c>
      <c r="D659">
        <f>MONTH(B659)</f>
        <v/>
      </c>
      <c r="E659">
        <f>TEXT(B659,"MMM-YYYY")</f>
        <v/>
      </c>
      <c r="F659">
        <f>Raw_Data!C659</f>
        <v/>
      </c>
      <c r="G659">
        <f>Raw_Data!D659</f>
        <v/>
      </c>
      <c r="H659">
        <f>Raw_Data!E659</f>
        <v/>
      </c>
      <c r="I659">
        <f>Raw_Data!F659</f>
        <v/>
      </c>
      <c r="J659">
        <f>Raw_Data!G659</f>
        <v/>
      </c>
      <c r="K659">
        <f>Raw_Data!H659</f>
        <v/>
      </c>
      <c r="L659" s="30">
        <f>Raw_Data!I659</f>
        <v/>
      </c>
      <c r="M659" s="31">
        <f>Raw_Data!J659</f>
        <v/>
      </c>
      <c r="N659" s="17">
        <f>K659*L659</f>
        <v/>
      </c>
      <c r="O659" s="17">
        <f>N659*(1-M659)</f>
        <v/>
      </c>
      <c r="P659" s="17">
        <f>Raw_Data!L659</f>
        <v/>
      </c>
      <c r="Q659" s="17">
        <f>O659-P659</f>
        <v/>
      </c>
      <c r="R659" s="31">
        <f>IF(O659=0,0,Q659/O659)</f>
        <v/>
      </c>
      <c r="S659">
        <f>XLOOKUP(F659,Lookups!$B$7:$B$11,Lookups!$C$7:$C$11,"Unknown")</f>
        <v/>
      </c>
      <c r="T659" s="31">
        <f>XLOOKUP(G659,Lookups!$E$7:$E$11,Lookups!$F$7:$F$11,0)</f>
        <v/>
      </c>
      <c r="U659" s="32">
        <f>R659-T659</f>
        <v/>
      </c>
      <c r="V659">
        <f>XLOOKUP(I659,Lookups!$H$7:$H$10,Lookups!$I$7:$I$10,"")</f>
        <v/>
      </c>
      <c r="W659">
        <f>IF(O659&gt;=50000,"HIGH VALUE","")</f>
        <v/>
      </c>
      <c r="X659">
        <f>IF(Q659&lt;0,"LOSS","")</f>
        <v/>
      </c>
      <c r="Y659">
        <f>IFS(M659&gt;=0.15,"Deep Discount",M659&gt;=0.1,"Moderate",TRUE,"Standard")</f>
        <v/>
      </c>
    </row>
    <row r="660">
      <c r="A660">
        <f>Raw_Data!A660</f>
        <v/>
      </c>
      <c r="B660" s="29">
        <f>Raw_Data!B660</f>
        <v/>
      </c>
      <c r="C660">
        <f>YEAR(B660)</f>
        <v/>
      </c>
      <c r="D660">
        <f>MONTH(B660)</f>
        <v/>
      </c>
      <c r="E660">
        <f>TEXT(B660,"MMM-YYYY")</f>
        <v/>
      </c>
      <c r="F660">
        <f>Raw_Data!C660</f>
        <v/>
      </c>
      <c r="G660">
        <f>Raw_Data!D660</f>
        <v/>
      </c>
      <c r="H660">
        <f>Raw_Data!E660</f>
        <v/>
      </c>
      <c r="I660">
        <f>Raw_Data!F660</f>
        <v/>
      </c>
      <c r="J660">
        <f>Raw_Data!G660</f>
        <v/>
      </c>
      <c r="K660">
        <f>Raw_Data!H660</f>
        <v/>
      </c>
      <c r="L660" s="30">
        <f>Raw_Data!I660</f>
        <v/>
      </c>
      <c r="M660" s="31">
        <f>Raw_Data!J660</f>
        <v/>
      </c>
      <c r="N660" s="17">
        <f>K660*L660</f>
        <v/>
      </c>
      <c r="O660" s="17">
        <f>N660*(1-M660)</f>
        <v/>
      </c>
      <c r="P660" s="17">
        <f>Raw_Data!L660</f>
        <v/>
      </c>
      <c r="Q660" s="17">
        <f>O660-P660</f>
        <v/>
      </c>
      <c r="R660" s="31">
        <f>IF(O660=0,0,Q660/O660)</f>
        <v/>
      </c>
      <c r="S660">
        <f>XLOOKUP(F660,Lookups!$B$7:$B$11,Lookups!$C$7:$C$11,"Unknown")</f>
        <v/>
      </c>
      <c r="T660" s="31">
        <f>XLOOKUP(G660,Lookups!$E$7:$E$11,Lookups!$F$7:$F$11,0)</f>
        <v/>
      </c>
      <c r="U660" s="32">
        <f>R660-T660</f>
        <v/>
      </c>
      <c r="V660">
        <f>XLOOKUP(I660,Lookups!$H$7:$H$10,Lookups!$I$7:$I$10,"")</f>
        <v/>
      </c>
      <c r="W660">
        <f>IF(O660&gt;=50000,"HIGH VALUE","")</f>
        <v/>
      </c>
      <c r="X660">
        <f>IF(Q660&lt;0,"LOSS","")</f>
        <v/>
      </c>
      <c r="Y660">
        <f>IFS(M660&gt;=0.15,"Deep Discount",M660&gt;=0.1,"Moderate",TRUE,"Standard")</f>
        <v/>
      </c>
    </row>
    <row r="661">
      <c r="A661">
        <f>Raw_Data!A661</f>
        <v/>
      </c>
      <c r="B661" s="29">
        <f>Raw_Data!B661</f>
        <v/>
      </c>
      <c r="C661">
        <f>YEAR(B661)</f>
        <v/>
      </c>
      <c r="D661">
        <f>MONTH(B661)</f>
        <v/>
      </c>
      <c r="E661">
        <f>TEXT(B661,"MMM-YYYY")</f>
        <v/>
      </c>
      <c r="F661">
        <f>Raw_Data!C661</f>
        <v/>
      </c>
      <c r="G661">
        <f>Raw_Data!D661</f>
        <v/>
      </c>
      <c r="H661">
        <f>Raw_Data!E661</f>
        <v/>
      </c>
      <c r="I661">
        <f>Raw_Data!F661</f>
        <v/>
      </c>
      <c r="J661">
        <f>Raw_Data!G661</f>
        <v/>
      </c>
      <c r="K661">
        <f>Raw_Data!H661</f>
        <v/>
      </c>
      <c r="L661" s="30">
        <f>Raw_Data!I661</f>
        <v/>
      </c>
      <c r="M661" s="31">
        <f>Raw_Data!J661</f>
        <v/>
      </c>
      <c r="N661" s="17">
        <f>K661*L661</f>
        <v/>
      </c>
      <c r="O661" s="17">
        <f>N661*(1-M661)</f>
        <v/>
      </c>
      <c r="P661" s="17">
        <f>Raw_Data!L661</f>
        <v/>
      </c>
      <c r="Q661" s="17">
        <f>O661-P661</f>
        <v/>
      </c>
      <c r="R661" s="31">
        <f>IF(O661=0,0,Q661/O661)</f>
        <v/>
      </c>
      <c r="S661">
        <f>XLOOKUP(F661,Lookups!$B$7:$B$11,Lookups!$C$7:$C$11,"Unknown")</f>
        <v/>
      </c>
      <c r="T661" s="31">
        <f>XLOOKUP(G661,Lookups!$E$7:$E$11,Lookups!$F$7:$F$11,0)</f>
        <v/>
      </c>
      <c r="U661" s="32">
        <f>R661-T661</f>
        <v/>
      </c>
      <c r="V661">
        <f>XLOOKUP(I661,Lookups!$H$7:$H$10,Lookups!$I$7:$I$10,"")</f>
        <v/>
      </c>
      <c r="W661">
        <f>IF(O661&gt;=50000,"HIGH VALUE","")</f>
        <v/>
      </c>
      <c r="X661">
        <f>IF(Q661&lt;0,"LOSS","")</f>
        <v/>
      </c>
      <c r="Y661">
        <f>IFS(M661&gt;=0.15,"Deep Discount",M661&gt;=0.1,"Moderate",TRUE,"Standard")</f>
        <v/>
      </c>
    </row>
    <row r="662">
      <c r="A662">
        <f>Raw_Data!A662</f>
        <v/>
      </c>
      <c r="B662" s="29">
        <f>Raw_Data!B662</f>
        <v/>
      </c>
      <c r="C662">
        <f>YEAR(B662)</f>
        <v/>
      </c>
      <c r="D662">
        <f>MONTH(B662)</f>
        <v/>
      </c>
      <c r="E662">
        <f>TEXT(B662,"MMM-YYYY")</f>
        <v/>
      </c>
      <c r="F662">
        <f>Raw_Data!C662</f>
        <v/>
      </c>
      <c r="G662">
        <f>Raw_Data!D662</f>
        <v/>
      </c>
      <c r="H662">
        <f>Raw_Data!E662</f>
        <v/>
      </c>
      <c r="I662">
        <f>Raw_Data!F662</f>
        <v/>
      </c>
      <c r="J662">
        <f>Raw_Data!G662</f>
        <v/>
      </c>
      <c r="K662">
        <f>Raw_Data!H662</f>
        <v/>
      </c>
      <c r="L662" s="30">
        <f>Raw_Data!I662</f>
        <v/>
      </c>
      <c r="M662" s="31">
        <f>Raw_Data!J662</f>
        <v/>
      </c>
      <c r="N662" s="17">
        <f>K662*L662</f>
        <v/>
      </c>
      <c r="O662" s="17">
        <f>N662*(1-M662)</f>
        <v/>
      </c>
      <c r="P662" s="17">
        <f>Raw_Data!L662</f>
        <v/>
      </c>
      <c r="Q662" s="17">
        <f>O662-P662</f>
        <v/>
      </c>
      <c r="R662" s="31">
        <f>IF(O662=0,0,Q662/O662)</f>
        <v/>
      </c>
      <c r="S662">
        <f>XLOOKUP(F662,Lookups!$B$7:$B$11,Lookups!$C$7:$C$11,"Unknown")</f>
        <v/>
      </c>
      <c r="T662" s="31">
        <f>XLOOKUP(G662,Lookups!$E$7:$E$11,Lookups!$F$7:$F$11,0)</f>
        <v/>
      </c>
      <c r="U662" s="32">
        <f>R662-T662</f>
        <v/>
      </c>
      <c r="V662">
        <f>XLOOKUP(I662,Lookups!$H$7:$H$10,Lookups!$I$7:$I$10,"")</f>
        <v/>
      </c>
      <c r="W662">
        <f>IF(O662&gt;=50000,"HIGH VALUE","")</f>
        <v/>
      </c>
      <c r="X662">
        <f>IF(Q662&lt;0,"LOSS","")</f>
        <v/>
      </c>
      <c r="Y662">
        <f>IFS(M662&gt;=0.15,"Deep Discount",M662&gt;=0.1,"Moderate",TRUE,"Standard")</f>
        <v/>
      </c>
    </row>
    <row r="663">
      <c r="A663">
        <f>Raw_Data!A663</f>
        <v/>
      </c>
      <c r="B663" s="29">
        <f>Raw_Data!B663</f>
        <v/>
      </c>
      <c r="C663">
        <f>YEAR(B663)</f>
        <v/>
      </c>
      <c r="D663">
        <f>MONTH(B663)</f>
        <v/>
      </c>
      <c r="E663">
        <f>TEXT(B663,"MMM-YYYY")</f>
        <v/>
      </c>
      <c r="F663">
        <f>Raw_Data!C663</f>
        <v/>
      </c>
      <c r="G663">
        <f>Raw_Data!D663</f>
        <v/>
      </c>
      <c r="H663">
        <f>Raw_Data!E663</f>
        <v/>
      </c>
      <c r="I663">
        <f>Raw_Data!F663</f>
        <v/>
      </c>
      <c r="J663">
        <f>Raw_Data!G663</f>
        <v/>
      </c>
      <c r="K663">
        <f>Raw_Data!H663</f>
        <v/>
      </c>
      <c r="L663" s="30">
        <f>Raw_Data!I663</f>
        <v/>
      </c>
      <c r="M663" s="31">
        <f>Raw_Data!J663</f>
        <v/>
      </c>
      <c r="N663" s="17">
        <f>K663*L663</f>
        <v/>
      </c>
      <c r="O663" s="17">
        <f>N663*(1-M663)</f>
        <v/>
      </c>
      <c r="P663" s="17">
        <f>Raw_Data!L663</f>
        <v/>
      </c>
      <c r="Q663" s="17">
        <f>O663-P663</f>
        <v/>
      </c>
      <c r="R663" s="31">
        <f>IF(O663=0,0,Q663/O663)</f>
        <v/>
      </c>
      <c r="S663">
        <f>XLOOKUP(F663,Lookups!$B$7:$B$11,Lookups!$C$7:$C$11,"Unknown")</f>
        <v/>
      </c>
      <c r="T663" s="31">
        <f>XLOOKUP(G663,Lookups!$E$7:$E$11,Lookups!$F$7:$F$11,0)</f>
        <v/>
      </c>
      <c r="U663" s="32">
        <f>R663-T663</f>
        <v/>
      </c>
      <c r="V663">
        <f>XLOOKUP(I663,Lookups!$H$7:$H$10,Lookups!$I$7:$I$10,"")</f>
        <v/>
      </c>
      <c r="W663">
        <f>IF(O663&gt;=50000,"HIGH VALUE","")</f>
        <v/>
      </c>
      <c r="X663">
        <f>IF(Q663&lt;0,"LOSS","")</f>
        <v/>
      </c>
      <c r="Y663">
        <f>IFS(M663&gt;=0.15,"Deep Discount",M663&gt;=0.1,"Moderate",TRUE,"Standard")</f>
        <v/>
      </c>
    </row>
    <row r="664">
      <c r="A664">
        <f>Raw_Data!A664</f>
        <v/>
      </c>
      <c r="B664" s="29">
        <f>Raw_Data!B664</f>
        <v/>
      </c>
      <c r="C664">
        <f>YEAR(B664)</f>
        <v/>
      </c>
      <c r="D664">
        <f>MONTH(B664)</f>
        <v/>
      </c>
      <c r="E664">
        <f>TEXT(B664,"MMM-YYYY")</f>
        <v/>
      </c>
      <c r="F664">
        <f>Raw_Data!C664</f>
        <v/>
      </c>
      <c r="G664">
        <f>Raw_Data!D664</f>
        <v/>
      </c>
      <c r="H664">
        <f>Raw_Data!E664</f>
        <v/>
      </c>
      <c r="I664">
        <f>Raw_Data!F664</f>
        <v/>
      </c>
      <c r="J664">
        <f>Raw_Data!G664</f>
        <v/>
      </c>
      <c r="K664">
        <f>Raw_Data!H664</f>
        <v/>
      </c>
      <c r="L664" s="30">
        <f>Raw_Data!I664</f>
        <v/>
      </c>
      <c r="M664" s="31">
        <f>Raw_Data!J664</f>
        <v/>
      </c>
      <c r="N664" s="17">
        <f>K664*L664</f>
        <v/>
      </c>
      <c r="O664" s="17">
        <f>N664*(1-M664)</f>
        <v/>
      </c>
      <c r="P664" s="17">
        <f>Raw_Data!L664</f>
        <v/>
      </c>
      <c r="Q664" s="17">
        <f>O664-P664</f>
        <v/>
      </c>
      <c r="R664" s="31">
        <f>IF(O664=0,0,Q664/O664)</f>
        <v/>
      </c>
      <c r="S664">
        <f>XLOOKUP(F664,Lookups!$B$7:$B$11,Lookups!$C$7:$C$11,"Unknown")</f>
        <v/>
      </c>
      <c r="T664" s="31">
        <f>XLOOKUP(G664,Lookups!$E$7:$E$11,Lookups!$F$7:$F$11,0)</f>
        <v/>
      </c>
      <c r="U664" s="32">
        <f>R664-T664</f>
        <v/>
      </c>
      <c r="V664">
        <f>XLOOKUP(I664,Lookups!$H$7:$H$10,Lookups!$I$7:$I$10,"")</f>
        <v/>
      </c>
      <c r="W664">
        <f>IF(O664&gt;=50000,"HIGH VALUE","")</f>
        <v/>
      </c>
      <c r="X664">
        <f>IF(Q664&lt;0,"LOSS","")</f>
        <v/>
      </c>
      <c r="Y664">
        <f>IFS(M664&gt;=0.15,"Deep Discount",M664&gt;=0.1,"Moderate",TRUE,"Standard")</f>
        <v/>
      </c>
    </row>
    <row r="665">
      <c r="A665">
        <f>Raw_Data!A665</f>
        <v/>
      </c>
      <c r="B665" s="29">
        <f>Raw_Data!B665</f>
        <v/>
      </c>
      <c r="C665">
        <f>YEAR(B665)</f>
        <v/>
      </c>
      <c r="D665">
        <f>MONTH(B665)</f>
        <v/>
      </c>
      <c r="E665">
        <f>TEXT(B665,"MMM-YYYY")</f>
        <v/>
      </c>
      <c r="F665">
        <f>Raw_Data!C665</f>
        <v/>
      </c>
      <c r="G665">
        <f>Raw_Data!D665</f>
        <v/>
      </c>
      <c r="H665">
        <f>Raw_Data!E665</f>
        <v/>
      </c>
      <c r="I665">
        <f>Raw_Data!F665</f>
        <v/>
      </c>
      <c r="J665">
        <f>Raw_Data!G665</f>
        <v/>
      </c>
      <c r="K665">
        <f>Raw_Data!H665</f>
        <v/>
      </c>
      <c r="L665" s="30">
        <f>Raw_Data!I665</f>
        <v/>
      </c>
      <c r="M665" s="31">
        <f>Raw_Data!J665</f>
        <v/>
      </c>
      <c r="N665" s="17">
        <f>K665*L665</f>
        <v/>
      </c>
      <c r="O665" s="17">
        <f>N665*(1-M665)</f>
        <v/>
      </c>
      <c r="P665" s="17">
        <f>Raw_Data!L665</f>
        <v/>
      </c>
      <c r="Q665" s="17">
        <f>O665-P665</f>
        <v/>
      </c>
      <c r="R665" s="31">
        <f>IF(O665=0,0,Q665/O665)</f>
        <v/>
      </c>
      <c r="S665">
        <f>XLOOKUP(F665,Lookups!$B$7:$B$11,Lookups!$C$7:$C$11,"Unknown")</f>
        <v/>
      </c>
      <c r="T665" s="31">
        <f>XLOOKUP(G665,Lookups!$E$7:$E$11,Lookups!$F$7:$F$11,0)</f>
        <v/>
      </c>
      <c r="U665" s="32">
        <f>R665-T665</f>
        <v/>
      </c>
      <c r="V665">
        <f>XLOOKUP(I665,Lookups!$H$7:$H$10,Lookups!$I$7:$I$10,"")</f>
        <v/>
      </c>
      <c r="W665">
        <f>IF(O665&gt;=50000,"HIGH VALUE","")</f>
        <v/>
      </c>
      <c r="X665">
        <f>IF(Q665&lt;0,"LOSS","")</f>
        <v/>
      </c>
      <c r="Y665">
        <f>IFS(M665&gt;=0.15,"Deep Discount",M665&gt;=0.1,"Moderate",TRUE,"Standard")</f>
        <v/>
      </c>
    </row>
    <row r="666">
      <c r="A666">
        <f>Raw_Data!A666</f>
        <v/>
      </c>
      <c r="B666" s="29">
        <f>Raw_Data!B666</f>
        <v/>
      </c>
      <c r="C666">
        <f>YEAR(B666)</f>
        <v/>
      </c>
      <c r="D666">
        <f>MONTH(B666)</f>
        <v/>
      </c>
      <c r="E666">
        <f>TEXT(B666,"MMM-YYYY")</f>
        <v/>
      </c>
      <c r="F666">
        <f>Raw_Data!C666</f>
        <v/>
      </c>
      <c r="G666">
        <f>Raw_Data!D666</f>
        <v/>
      </c>
      <c r="H666">
        <f>Raw_Data!E666</f>
        <v/>
      </c>
      <c r="I666">
        <f>Raw_Data!F666</f>
        <v/>
      </c>
      <c r="J666">
        <f>Raw_Data!G666</f>
        <v/>
      </c>
      <c r="K666">
        <f>Raw_Data!H666</f>
        <v/>
      </c>
      <c r="L666" s="30">
        <f>Raw_Data!I666</f>
        <v/>
      </c>
      <c r="M666" s="31">
        <f>Raw_Data!J666</f>
        <v/>
      </c>
      <c r="N666" s="17">
        <f>K666*L666</f>
        <v/>
      </c>
      <c r="O666" s="17">
        <f>N666*(1-M666)</f>
        <v/>
      </c>
      <c r="P666" s="17">
        <f>Raw_Data!L666</f>
        <v/>
      </c>
      <c r="Q666" s="17">
        <f>O666-P666</f>
        <v/>
      </c>
      <c r="R666" s="31">
        <f>IF(O666=0,0,Q666/O666)</f>
        <v/>
      </c>
      <c r="S666">
        <f>XLOOKUP(F666,Lookups!$B$7:$B$11,Lookups!$C$7:$C$11,"Unknown")</f>
        <v/>
      </c>
      <c r="T666" s="31">
        <f>XLOOKUP(G666,Lookups!$E$7:$E$11,Lookups!$F$7:$F$11,0)</f>
        <v/>
      </c>
      <c r="U666" s="32">
        <f>R666-T666</f>
        <v/>
      </c>
      <c r="V666">
        <f>XLOOKUP(I666,Lookups!$H$7:$H$10,Lookups!$I$7:$I$10,"")</f>
        <v/>
      </c>
      <c r="W666">
        <f>IF(O666&gt;=50000,"HIGH VALUE","")</f>
        <v/>
      </c>
      <c r="X666">
        <f>IF(Q666&lt;0,"LOSS","")</f>
        <v/>
      </c>
      <c r="Y666">
        <f>IFS(M666&gt;=0.15,"Deep Discount",M666&gt;=0.1,"Moderate",TRUE,"Standard")</f>
        <v/>
      </c>
    </row>
    <row r="667">
      <c r="A667">
        <f>Raw_Data!A667</f>
        <v/>
      </c>
      <c r="B667" s="29">
        <f>Raw_Data!B667</f>
        <v/>
      </c>
      <c r="C667">
        <f>YEAR(B667)</f>
        <v/>
      </c>
      <c r="D667">
        <f>MONTH(B667)</f>
        <v/>
      </c>
      <c r="E667">
        <f>TEXT(B667,"MMM-YYYY")</f>
        <v/>
      </c>
      <c r="F667">
        <f>Raw_Data!C667</f>
        <v/>
      </c>
      <c r="G667">
        <f>Raw_Data!D667</f>
        <v/>
      </c>
      <c r="H667">
        <f>Raw_Data!E667</f>
        <v/>
      </c>
      <c r="I667">
        <f>Raw_Data!F667</f>
        <v/>
      </c>
      <c r="J667">
        <f>Raw_Data!G667</f>
        <v/>
      </c>
      <c r="K667">
        <f>Raw_Data!H667</f>
        <v/>
      </c>
      <c r="L667" s="30">
        <f>Raw_Data!I667</f>
        <v/>
      </c>
      <c r="M667" s="31">
        <f>Raw_Data!J667</f>
        <v/>
      </c>
      <c r="N667" s="17">
        <f>K667*L667</f>
        <v/>
      </c>
      <c r="O667" s="17">
        <f>N667*(1-M667)</f>
        <v/>
      </c>
      <c r="P667" s="17">
        <f>Raw_Data!L667</f>
        <v/>
      </c>
      <c r="Q667" s="17">
        <f>O667-P667</f>
        <v/>
      </c>
      <c r="R667" s="31">
        <f>IF(O667=0,0,Q667/O667)</f>
        <v/>
      </c>
      <c r="S667">
        <f>XLOOKUP(F667,Lookups!$B$7:$B$11,Lookups!$C$7:$C$11,"Unknown")</f>
        <v/>
      </c>
      <c r="T667" s="31">
        <f>XLOOKUP(G667,Lookups!$E$7:$E$11,Lookups!$F$7:$F$11,0)</f>
        <v/>
      </c>
      <c r="U667" s="32">
        <f>R667-T667</f>
        <v/>
      </c>
      <c r="V667">
        <f>XLOOKUP(I667,Lookups!$H$7:$H$10,Lookups!$I$7:$I$10,"")</f>
        <v/>
      </c>
      <c r="W667">
        <f>IF(O667&gt;=50000,"HIGH VALUE","")</f>
        <v/>
      </c>
      <c r="X667">
        <f>IF(Q667&lt;0,"LOSS","")</f>
        <v/>
      </c>
      <c r="Y667">
        <f>IFS(M667&gt;=0.15,"Deep Discount",M667&gt;=0.1,"Moderate",TRUE,"Standard")</f>
        <v/>
      </c>
    </row>
    <row r="668">
      <c r="A668">
        <f>Raw_Data!A668</f>
        <v/>
      </c>
      <c r="B668" s="29">
        <f>Raw_Data!B668</f>
        <v/>
      </c>
      <c r="C668">
        <f>YEAR(B668)</f>
        <v/>
      </c>
      <c r="D668">
        <f>MONTH(B668)</f>
        <v/>
      </c>
      <c r="E668">
        <f>TEXT(B668,"MMM-YYYY")</f>
        <v/>
      </c>
      <c r="F668">
        <f>Raw_Data!C668</f>
        <v/>
      </c>
      <c r="G668">
        <f>Raw_Data!D668</f>
        <v/>
      </c>
      <c r="H668">
        <f>Raw_Data!E668</f>
        <v/>
      </c>
      <c r="I668">
        <f>Raw_Data!F668</f>
        <v/>
      </c>
      <c r="J668">
        <f>Raw_Data!G668</f>
        <v/>
      </c>
      <c r="K668">
        <f>Raw_Data!H668</f>
        <v/>
      </c>
      <c r="L668" s="30">
        <f>Raw_Data!I668</f>
        <v/>
      </c>
      <c r="M668" s="31">
        <f>Raw_Data!J668</f>
        <v/>
      </c>
      <c r="N668" s="17">
        <f>K668*L668</f>
        <v/>
      </c>
      <c r="O668" s="17">
        <f>N668*(1-M668)</f>
        <v/>
      </c>
      <c r="P668" s="17">
        <f>Raw_Data!L668</f>
        <v/>
      </c>
      <c r="Q668" s="17">
        <f>O668-P668</f>
        <v/>
      </c>
      <c r="R668" s="31">
        <f>IF(O668=0,0,Q668/O668)</f>
        <v/>
      </c>
      <c r="S668">
        <f>XLOOKUP(F668,Lookups!$B$7:$B$11,Lookups!$C$7:$C$11,"Unknown")</f>
        <v/>
      </c>
      <c r="T668" s="31">
        <f>XLOOKUP(G668,Lookups!$E$7:$E$11,Lookups!$F$7:$F$11,0)</f>
        <v/>
      </c>
      <c r="U668" s="32">
        <f>R668-T668</f>
        <v/>
      </c>
      <c r="V668">
        <f>XLOOKUP(I668,Lookups!$H$7:$H$10,Lookups!$I$7:$I$10,"")</f>
        <v/>
      </c>
      <c r="W668">
        <f>IF(O668&gt;=50000,"HIGH VALUE","")</f>
        <v/>
      </c>
      <c r="X668">
        <f>IF(Q668&lt;0,"LOSS","")</f>
        <v/>
      </c>
      <c r="Y668">
        <f>IFS(M668&gt;=0.15,"Deep Discount",M668&gt;=0.1,"Moderate",TRUE,"Standard")</f>
        <v/>
      </c>
    </row>
    <row r="669">
      <c r="A669">
        <f>Raw_Data!A669</f>
        <v/>
      </c>
      <c r="B669" s="29">
        <f>Raw_Data!B669</f>
        <v/>
      </c>
      <c r="C669">
        <f>YEAR(B669)</f>
        <v/>
      </c>
      <c r="D669">
        <f>MONTH(B669)</f>
        <v/>
      </c>
      <c r="E669">
        <f>TEXT(B669,"MMM-YYYY")</f>
        <v/>
      </c>
      <c r="F669">
        <f>Raw_Data!C669</f>
        <v/>
      </c>
      <c r="G669">
        <f>Raw_Data!D669</f>
        <v/>
      </c>
      <c r="H669">
        <f>Raw_Data!E669</f>
        <v/>
      </c>
      <c r="I669">
        <f>Raw_Data!F669</f>
        <v/>
      </c>
      <c r="J669">
        <f>Raw_Data!G669</f>
        <v/>
      </c>
      <c r="K669">
        <f>Raw_Data!H669</f>
        <v/>
      </c>
      <c r="L669" s="30">
        <f>Raw_Data!I669</f>
        <v/>
      </c>
      <c r="M669" s="31">
        <f>Raw_Data!J669</f>
        <v/>
      </c>
      <c r="N669" s="17">
        <f>K669*L669</f>
        <v/>
      </c>
      <c r="O669" s="17">
        <f>N669*(1-M669)</f>
        <v/>
      </c>
      <c r="P669" s="17">
        <f>Raw_Data!L669</f>
        <v/>
      </c>
      <c r="Q669" s="17">
        <f>O669-P669</f>
        <v/>
      </c>
      <c r="R669" s="31">
        <f>IF(O669=0,0,Q669/O669)</f>
        <v/>
      </c>
      <c r="S669">
        <f>XLOOKUP(F669,Lookups!$B$7:$B$11,Lookups!$C$7:$C$11,"Unknown")</f>
        <v/>
      </c>
      <c r="T669" s="31">
        <f>XLOOKUP(G669,Lookups!$E$7:$E$11,Lookups!$F$7:$F$11,0)</f>
        <v/>
      </c>
      <c r="U669" s="32">
        <f>R669-T669</f>
        <v/>
      </c>
      <c r="V669">
        <f>XLOOKUP(I669,Lookups!$H$7:$H$10,Lookups!$I$7:$I$10,"")</f>
        <v/>
      </c>
      <c r="W669">
        <f>IF(O669&gt;=50000,"HIGH VALUE","")</f>
        <v/>
      </c>
      <c r="X669">
        <f>IF(Q669&lt;0,"LOSS","")</f>
        <v/>
      </c>
      <c r="Y669">
        <f>IFS(M669&gt;=0.15,"Deep Discount",M669&gt;=0.1,"Moderate",TRUE,"Standard")</f>
        <v/>
      </c>
    </row>
    <row r="670">
      <c r="A670">
        <f>Raw_Data!A670</f>
        <v/>
      </c>
      <c r="B670" s="29">
        <f>Raw_Data!B670</f>
        <v/>
      </c>
      <c r="C670">
        <f>YEAR(B670)</f>
        <v/>
      </c>
      <c r="D670">
        <f>MONTH(B670)</f>
        <v/>
      </c>
      <c r="E670">
        <f>TEXT(B670,"MMM-YYYY")</f>
        <v/>
      </c>
      <c r="F670">
        <f>Raw_Data!C670</f>
        <v/>
      </c>
      <c r="G670">
        <f>Raw_Data!D670</f>
        <v/>
      </c>
      <c r="H670">
        <f>Raw_Data!E670</f>
        <v/>
      </c>
      <c r="I670">
        <f>Raw_Data!F670</f>
        <v/>
      </c>
      <c r="J670">
        <f>Raw_Data!G670</f>
        <v/>
      </c>
      <c r="K670">
        <f>Raw_Data!H670</f>
        <v/>
      </c>
      <c r="L670" s="30">
        <f>Raw_Data!I670</f>
        <v/>
      </c>
      <c r="M670" s="31">
        <f>Raw_Data!J670</f>
        <v/>
      </c>
      <c r="N670" s="17">
        <f>K670*L670</f>
        <v/>
      </c>
      <c r="O670" s="17">
        <f>N670*(1-M670)</f>
        <v/>
      </c>
      <c r="P670" s="17">
        <f>Raw_Data!L670</f>
        <v/>
      </c>
      <c r="Q670" s="17">
        <f>O670-P670</f>
        <v/>
      </c>
      <c r="R670" s="31">
        <f>IF(O670=0,0,Q670/O670)</f>
        <v/>
      </c>
      <c r="S670">
        <f>XLOOKUP(F670,Lookups!$B$7:$B$11,Lookups!$C$7:$C$11,"Unknown")</f>
        <v/>
      </c>
      <c r="T670" s="31">
        <f>XLOOKUP(G670,Lookups!$E$7:$E$11,Lookups!$F$7:$F$11,0)</f>
        <v/>
      </c>
      <c r="U670" s="32">
        <f>R670-T670</f>
        <v/>
      </c>
      <c r="V670">
        <f>XLOOKUP(I670,Lookups!$H$7:$H$10,Lookups!$I$7:$I$10,"")</f>
        <v/>
      </c>
      <c r="W670">
        <f>IF(O670&gt;=50000,"HIGH VALUE","")</f>
        <v/>
      </c>
      <c r="X670">
        <f>IF(Q670&lt;0,"LOSS","")</f>
        <v/>
      </c>
      <c r="Y670">
        <f>IFS(M670&gt;=0.15,"Deep Discount",M670&gt;=0.1,"Moderate",TRUE,"Standard")</f>
        <v/>
      </c>
    </row>
    <row r="671">
      <c r="A671">
        <f>Raw_Data!A671</f>
        <v/>
      </c>
      <c r="B671" s="29">
        <f>Raw_Data!B671</f>
        <v/>
      </c>
      <c r="C671">
        <f>YEAR(B671)</f>
        <v/>
      </c>
      <c r="D671">
        <f>MONTH(B671)</f>
        <v/>
      </c>
      <c r="E671">
        <f>TEXT(B671,"MMM-YYYY")</f>
        <v/>
      </c>
      <c r="F671">
        <f>Raw_Data!C671</f>
        <v/>
      </c>
      <c r="G671">
        <f>Raw_Data!D671</f>
        <v/>
      </c>
      <c r="H671">
        <f>Raw_Data!E671</f>
        <v/>
      </c>
      <c r="I671">
        <f>Raw_Data!F671</f>
        <v/>
      </c>
      <c r="J671">
        <f>Raw_Data!G671</f>
        <v/>
      </c>
      <c r="K671">
        <f>Raw_Data!H671</f>
        <v/>
      </c>
      <c r="L671" s="30">
        <f>Raw_Data!I671</f>
        <v/>
      </c>
      <c r="M671" s="31">
        <f>Raw_Data!J671</f>
        <v/>
      </c>
      <c r="N671" s="17">
        <f>K671*L671</f>
        <v/>
      </c>
      <c r="O671" s="17">
        <f>N671*(1-M671)</f>
        <v/>
      </c>
      <c r="P671" s="17">
        <f>Raw_Data!L671</f>
        <v/>
      </c>
      <c r="Q671" s="17">
        <f>O671-P671</f>
        <v/>
      </c>
      <c r="R671" s="31">
        <f>IF(O671=0,0,Q671/O671)</f>
        <v/>
      </c>
      <c r="S671">
        <f>XLOOKUP(F671,Lookups!$B$7:$B$11,Lookups!$C$7:$C$11,"Unknown")</f>
        <v/>
      </c>
      <c r="T671" s="31">
        <f>XLOOKUP(G671,Lookups!$E$7:$E$11,Lookups!$F$7:$F$11,0)</f>
        <v/>
      </c>
      <c r="U671" s="32">
        <f>R671-T671</f>
        <v/>
      </c>
      <c r="V671">
        <f>XLOOKUP(I671,Lookups!$H$7:$H$10,Lookups!$I$7:$I$10,"")</f>
        <v/>
      </c>
      <c r="W671">
        <f>IF(O671&gt;=50000,"HIGH VALUE","")</f>
        <v/>
      </c>
      <c r="X671">
        <f>IF(Q671&lt;0,"LOSS","")</f>
        <v/>
      </c>
      <c r="Y671">
        <f>IFS(M671&gt;=0.15,"Deep Discount",M671&gt;=0.1,"Moderate",TRUE,"Standard")</f>
        <v/>
      </c>
    </row>
    <row r="672">
      <c r="A672">
        <f>Raw_Data!A672</f>
        <v/>
      </c>
      <c r="B672" s="29">
        <f>Raw_Data!B672</f>
        <v/>
      </c>
      <c r="C672">
        <f>YEAR(B672)</f>
        <v/>
      </c>
      <c r="D672">
        <f>MONTH(B672)</f>
        <v/>
      </c>
      <c r="E672">
        <f>TEXT(B672,"MMM-YYYY")</f>
        <v/>
      </c>
      <c r="F672">
        <f>Raw_Data!C672</f>
        <v/>
      </c>
      <c r="G672">
        <f>Raw_Data!D672</f>
        <v/>
      </c>
      <c r="H672">
        <f>Raw_Data!E672</f>
        <v/>
      </c>
      <c r="I672">
        <f>Raw_Data!F672</f>
        <v/>
      </c>
      <c r="J672">
        <f>Raw_Data!G672</f>
        <v/>
      </c>
      <c r="K672">
        <f>Raw_Data!H672</f>
        <v/>
      </c>
      <c r="L672" s="30">
        <f>Raw_Data!I672</f>
        <v/>
      </c>
      <c r="M672" s="31">
        <f>Raw_Data!J672</f>
        <v/>
      </c>
      <c r="N672" s="17">
        <f>K672*L672</f>
        <v/>
      </c>
      <c r="O672" s="17">
        <f>N672*(1-M672)</f>
        <v/>
      </c>
      <c r="P672" s="17">
        <f>Raw_Data!L672</f>
        <v/>
      </c>
      <c r="Q672" s="17">
        <f>O672-P672</f>
        <v/>
      </c>
      <c r="R672" s="31">
        <f>IF(O672=0,0,Q672/O672)</f>
        <v/>
      </c>
      <c r="S672">
        <f>XLOOKUP(F672,Lookups!$B$7:$B$11,Lookups!$C$7:$C$11,"Unknown")</f>
        <v/>
      </c>
      <c r="T672" s="31">
        <f>XLOOKUP(G672,Lookups!$E$7:$E$11,Lookups!$F$7:$F$11,0)</f>
        <v/>
      </c>
      <c r="U672" s="32">
        <f>R672-T672</f>
        <v/>
      </c>
      <c r="V672">
        <f>XLOOKUP(I672,Lookups!$H$7:$H$10,Lookups!$I$7:$I$10,"")</f>
        <v/>
      </c>
      <c r="W672">
        <f>IF(O672&gt;=50000,"HIGH VALUE","")</f>
        <v/>
      </c>
      <c r="X672">
        <f>IF(Q672&lt;0,"LOSS","")</f>
        <v/>
      </c>
      <c r="Y672">
        <f>IFS(M672&gt;=0.15,"Deep Discount",M672&gt;=0.1,"Moderate",TRUE,"Standard")</f>
        <v/>
      </c>
    </row>
    <row r="673">
      <c r="A673">
        <f>Raw_Data!A673</f>
        <v/>
      </c>
      <c r="B673" s="29">
        <f>Raw_Data!B673</f>
        <v/>
      </c>
      <c r="C673">
        <f>YEAR(B673)</f>
        <v/>
      </c>
      <c r="D673">
        <f>MONTH(B673)</f>
        <v/>
      </c>
      <c r="E673">
        <f>TEXT(B673,"MMM-YYYY")</f>
        <v/>
      </c>
      <c r="F673">
        <f>Raw_Data!C673</f>
        <v/>
      </c>
      <c r="G673">
        <f>Raw_Data!D673</f>
        <v/>
      </c>
      <c r="H673">
        <f>Raw_Data!E673</f>
        <v/>
      </c>
      <c r="I673">
        <f>Raw_Data!F673</f>
        <v/>
      </c>
      <c r="J673">
        <f>Raw_Data!G673</f>
        <v/>
      </c>
      <c r="K673">
        <f>Raw_Data!H673</f>
        <v/>
      </c>
      <c r="L673" s="30">
        <f>Raw_Data!I673</f>
        <v/>
      </c>
      <c r="M673" s="31">
        <f>Raw_Data!J673</f>
        <v/>
      </c>
      <c r="N673" s="17">
        <f>K673*L673</f>
        <v/>
      </c>
      <c r="O673" s="17">
        <f>N673*(1-M673)</f>
        <v/>
      </c>
      <c r="P673" s="17">
        <f>Raw_Data!L673</f>
        <v/>
      </c>
      <c r="Q673" s="17">
        <f>O673-P673</f>
        <v/>
      </c>
      <c r="R673" s="31">
        <f>IF(O673=0,0,Q673/O673)</f>
        <v/>
      </c>
      <c r="S673">
        <f>XLOOKUP(F673,Lookups!$B$7:$B$11,Lookups!$C$7:$C$11,"Unknown")</f>
        <v/>
      </c>
      <c r="T673" s="31">
        <f>XLOOKUP(G673,Lookups!$E$7:$E$11,Lookups!$F$7:$F$11,0)</f>
        <v/>
      </c>
      <c r="U673" s="32">
        <f>R673-T673</f>
        <v/>
      </c>
      <c r="V673">
        <f>XLOOKUP(I673,Lookups!$H$7:$H$10,Lookups!$I$7:$I$10,"")</f>
        <v/>
      </c>
      <c r="W673">
        <f>IF(O673&gt;=50000,"HIGH VALUE","")</f>
        <v/>
      </c>
      <c r="X673">
        <f>IF(Q673&lt;0,"LOSS","")</f>
        <v/>
      </c>
      <c r="Y673">
        <f>IFS(M673&gt;=0.15,"Deep Discount",M673&gt;=0.1,"Moderate",TRUE,"Standard")</f>
        <v/>
      </c>
    </row>
    <row r="674">
      <c r="A674">
        <f>Raw_Data!A674</f>
        <v/>
      </c>
      <c r="B674" s="29">
        <f>Raw_Data!B674</f>
        <v/>
      </c>
      <c r="C674">
        <f>YEAR(B674)</f>
        <v/>
      </c>
      <c r="D674">
        <f>MONTH(B674)</f>
        <v/>
      </c>
      <c r="E674">
        <f>TEXT(B674,"MMM-YYYY")</f>
        <v/>
      </c>
      <c r="F674">
        <f>Raw_Data!C674</f>
        <v/>
      </c>
      <c r="G674">
        <f>Raw_Data!D674</f>
        <v/>
      </c>
      <c r="H674">
        <f>Raw_Data!E674</f>
        <v/>
      </c>
      <c r="I674">
        <f>Raw_Data!F674</f>
        <v/>
      </c>
      <c r="J674">
        <f>Raw_Data!G674</f>
        <v/>
      </c>
      <c r="K674">
        <f>Raw_Data!H674</f>
        <v/>
      </c>
      <c r="L674" s="30">
        <f>Raw_Data!I674</f>
        <v/>
      </c>
      <c r="M674" s="31">
        <f>Raw_Data!J674</f>
        <v/>
      </c>
      <c r="N674" s="17">
        <f>K674*L674</f>
        <v/>
      </c>
      <c r="O674" s="17">
        <f>N674*(1-M674)</f>
        <v/>
      </c>
      <c r="P674" s="17">
        <f>Raw_Data!L674</f>
        <v/>
      </c>
      <c r="Q674" s="17">
        <f>O674-P674</f>
        <v/>
      </c>
      <c r="R674" s="31">
        <f>IF(O674=0,0,Q674/O674)</f>
        <v/>
      </c>
      <c r="S674">
        <f>XLOOKUP(F674,Lookups!$B$7:$B$11,Lookups!$C$7:$C$11,"Unknown")</f>
        <v/>
      </c>
      <c r="T674" s="31">
        <f>XLOOKUP(G674,Lookups!$E$7:$E$11,Lookups!$F$7:$F$11,0)</f>
        <v/>
      </c>
      <c r="U674" s="32">
        <f>R674-T674</f>
        <v/>
      </c>
      <c r="V674">
        <f>XLOOKUP(I674,Lookups!$H$7:$H$10,Lookups!$I$7:$I$10,"")</f>
        <v/>
      </c>
      <c r="W674">
        <f>IF(O674&gt;=50000,"HIGH VALUE","")</f>
        <v/>
      </c>
      <c r="X674">
        <f>IF(Q674&lt;0,"LOSS","")</f>
        <v/>
      </c>
      <c r="Y674">
        <f>IFS(M674&gt;=0.15,"Deep Discount",M674&gt;=0.1,"Moderate",TRUE,"Standard")</f>
        <v/>
      </c>
    </row>
    <row r="675">
      <c r="A675">
        <f>Raw_Data!A675</f>
        <v/>
      </c>
      <c r="B675" s="29">
        <f>Raw_Data!B675</f>
        <v/>
      </c>
      <c r="C675">
        <f>YEAR(B675)</f>
        <v/>
      </c>
      <c r="D675">
        <f>MONTH(B675)</f>
        <v/>
      </c>
      <c r="E675">
        <f>TEXT(B675,"MMM-YYYY")</f>
        <v/>
      </c>
      <c r="F675">
        <f>Raw_Data!C675</f>
        <v/>
      </c>
      <c r="G675">
        <f>Raw_Data!D675</f>
        <v/>
      </c>
      <c r="H675">
        <f>Raw_Data!E675</f>
        <v/>
      </c>
      <c r="I675">
        <f>Raw_Data!F675</f>
        <v/>
      </c>
      <c r="J675">
        <f>Raw_Data!G675</f>
        <v/>
      </c>
      <c r="K675">
        <f>Raw_Data!H675</f>
        <v/>
      </c>
      <c r="L675" s="30">
        <f>Raw_Data!I675</f>
        <v/>
      </c>
      <c r="M675" s="31">
        <f>Raw_Data!J675</f>
        <v/>
      </c>
      <c r="N675" s="17">
        <f>K675*L675</f>
        <v/>
      </c>
      <c r="O675" s="17">
        <f>N675*(1-M675)</f>
        <v/>
      </c>
      <c r="P675" s="17">
        <f>Raw_Data!L675</f>
        <v/>
      </c>
      <c r="Q675" s="17">
        <f>O675-P675</f>
        <v/>
      </c>
      <c r="R675" s="31">
        <f>IF(O675=0,0,Q675/O675)</f>
        <v/>
      </c>
      <c r="S675">
        <f>XLOOKUP(F675,Lookups!$B$7:$B$11,Lookups!$C$7:$C$11,"Unknown")</f>
        <v/>
      </c>
      <c r="T675" s="31">
        <f>XLOOKUP(G675,Lookups!$E$7:$E$11,Lookups!$F$7:$F$11,0)</f>
        <v/>
      </c>
      <c r="U675" s="32">
        <f>R675-T675</f>
        <v/>
      </c>
      <c r="V675">
        <f>XLOOKUP(I675,Lookups!$H$7:$H$10,Lookups!$I$7:$I$10,"")</f>
        <v/>
      </c>
      <c r="W675">
        <f>IF(O675&gt;=50000,"HIGH VALUE","")</f>
        <v/>
      </c>
      <c r="X675">
        <f>IF(Q675&lt;0,"LOSS","")</f>
        <v/>
      </c>
      <c r="Y675">
        <f>IFS(M675&gt;=0.15,"Deep Discount",M675&gt;=0.1,"Moderate",TRUE,"Standard")</f>
        <v/>
      </c>
    </row>
    <row r="676">
      <c r="A676">
        <f>Raw_Data!A676</f>
        <v/>
      </c>
      <c r="B676" s="29">
        <f>Raw_Data!B676</f>
        <v/>
      </c>
      <c r="C676">
        <f>YEAR(B676)</f>
        <v/>
      </c>
      <c r="D676">
        <f>MONTH(B676)</f>
        <v/>
      </c>
      <c r="E676">
        <f>TEXT(B676,"MMM-YYYY")</f>
        <v/>
      </c>
      <c r="F676">
        <f>Raw_Data!C676</f>
        <v/>
      </c>
      <c r="G676">
        <f>Raw_Data!D676</f>
        <v/>
      </c>
      <c r="H676">
        <f>Raw_Data!E676</f>
        <v/>
      </c>
      <c r="I676">
        <f>Raw_Data!F676</f>
        <v/>
      </c>
      <c r="J676">
        <f>Raw_Data!G676</f>
        <v/>
      </c>
      <c r="K676">
        <f>Raw_Data!H676</f>
        <v/>
      </c>
      <c r="L676" s="30">
        <f>Raw_Data!I676</f>
        <v/>
      </c>
      <c r="M676" s="31">
        <f>Raw_Data!J676</f>
        <v/>
      </c>
      <c r="N676" s="17">
        <f>K676*L676</f>
        <v/>
      </c>
      <c r="O676" s="17">
        <f>N676*(1-M676)</f>
        <v/>
      </c>
      <c r="P676" s="17">
        <f>Raw_Data!L676</f>
        <v/>
      </c>
      <c r="Q676" s="17">
        <f>O676-P676</f>
        <v/>
      </c>
      <c r="R676" s="31">
        <f>IF(O676=0,0,Q676/O676)</f>
        <v/>
      </c>
      <c r="S676">
        <f>XLOOKUP(F676,Lookups!$B$7:$B$11,Lookups!$C$7:$C$11,"Unknown")</f>
        <v/>
      </c>
      <c r="T676" s="31">
        <f>XLOOKUP(G676,Lookups!$E$7:$E$11,Lookups!$F$7:$F$11,0)</f>
        <v/>
      </c>
      <c r="U676" s="32">
        <f>R676-T676</f>
        <v/>
      </c>
      <c r="V676">
        <f>XLOOKUP(I676,Lookups!$H$7:$H$10,Lookups!$I$7:$I$10,"")</f>
        <v/>
      </c>
      <c r="W676">
        <f>IF(O676&gt;=50000,"HIGH VALUE","")</f>
        <v/>
      </c>
      <c r="X676">
        <f>IF(Q676&lt;0,"LOSS","")</f>
        <v/>
      </c>
      <c r="Y676">
        <f>IFS(M676&gt;=0.15,"Deep Discount",M676&gt;=0.1,"Moderate",TRUE,"Standard")</f>
        <v/>
      </c>
    </row>
    <row r="677">
      <c r="A677">
        <f>Raw_Data!A677</f>
        <v/>
      </c>
      <c r="B677" s="29">
        <f>Raw_Data!B677</f>
        <v/>
      </c>
      <c r="C677">
        <f>YEAR(B677)</f>
        <v/>
      </c>
      <c r="D677">
        <f>MONTH(B677)</f>
        <v/>
      </c>
      <c r="E677">
        <f>TEXT(B677,"MMM-YYYY")</f>
        <v/>
      </c>
      <c r="F677">
        <f>Raw_Data!C677</f>
        <v/>
      </c>
      <c r="G677">
        <f>Raw_Data!D677</f>
        <v/>
      </c>
      <c r="H677">
        <f>Raw_Data!E677</f>
        <v/>
      </c>
      <c r="I677">
        <f>Raw_Data!F677</f>
        <v/>
      </c>
      <c r="J677">
        <f>Raw_Data!G677</f>
        <v/>
      </c>
      <c r="K677">
        <f>Raw_Data!H677</f>
        <v/>
      </c>
      <c r="L677" s="30">
        <f>Raw_Data!I677</f>
        <v/>
      </c>
      <c r="M677" s="31">
        <f>Raw_Data!J677</f>
        <v/>
      </c>
      <c r="N677" s="17">
        <f>K677*L677</f>
        <v/>
      </c>
      <c r="O677" s="17">
        <f>N677*(1-M677)</f>
        <v/>
      </c>
      <c r="P677" s="17">
        <f>Raw_Data!L677</f>
        <v/>
      </c>
      <c r="Q677" s="17">
        <f>O677-P677</f>
        <v/>
      </c>
      <c r="R677" s="31">
        <f>IF(O677=0,0,Q677/O677)</f>
        <v/>
      </c>
      <c r="S677">
        <f>XLOOKUP(F677,Lookups!$B$7:$B$11,Lookups!$C$7:$C$11,"Unknown")</f>
        <v/>
      </c>
      <c r="T677" s="31">
        <f>XLOOKUP(G677,Lookups!$E$7:$E$11,Lookups!$F$7:$F$11,0)</f>
        <v/>
      </c>
      <c r="U677" s="32">
        <f>R677-T677</f>
        <v/>
      </c>
      <c r="V677">
        <f>XLOOKUP(I677,Lookups!$H$7:$H$10,Lookups!$I$7:$I$10,"")</f>
        <v/>
      </c>
      <c r="W677">
        <f>IF(O677&gt;=50000,"HIGH VALUE","")</f>
        <v/>
      </c>
      <c r="X677">
        <f>IF(Q677&lt;0,"LOSS","")</f>
        <v/>
      </c>
      <c r="Y677">
        <f>IFS(M677&gt;=0.15,"Deep Discount",M677&gt;=0.1,"Moderate",TRUE,"Standard")</f>
        <v/>
      </c>
    </row>
    <row r="678">
      <c r="A678">
        <f>Raw_Data!A678</f>
        <v/>
      </c>
      <c r="B678" s="29">
        <f>Raw_Data!B678</f>
        <v/>
      </c>
      <c r="C678">
        <f>YEAR(B678)</f>
        <v/>
      </c>
      <c r="D678">
        <f>MONTH(B678)</f>
        <v/>
      </c>
      <c r="E678">
        <f>TEXT(B678,"MMM-YYYY")</f>
        <v/>
      </c>
      <c r="F678">
        <f>Raw_Data!C678</f>
        <v/>
      </c>
      <c r="G678">
        <f>Raw_Data!D678</f>
        <v/>
      </c>
      <c r="H678">
        <f>Raw_Data!E678</f>
        <v/>
      </c>
      <c r="I678">
        <f>Raw_Data!F678</f>
        <v/>
      </c>
      <c r="J678">
        <f>Raw_Data!G678</f>
        <v/>
      </c>
      <c r="K678">
        <f>Raw_Data!H678</f>
        <v/>
      </c>
      <c r="L678" s="30">
        <f>Raw_Data!I678</f>
        <v/>
      </c>
      <c r="M678" s="31">
        <f>Raw_Data!J678</f>
        <v/>
      </c>
      <c r="N678" s="17">
        <f>K678*L678</f>
        <v/>
      </c>
      <c r="O678" s="17">
        <f>N678*(1-M678)</f>
        <v/>
      </c>
      <c r="P678" s="17">
        <f>Raw_Data!L678</f>
        <v/>
      </c>
      <c r="Q678" s="17">
        <f>O678-P678</f>
        <v/>
      </c>
      <c r="R678" s="31">
        <f>IF(O678=0,0,Q678/O678)</f>
        <v/>
      </c>
      <c r="S678">
        <f>XLOOKUP(F678,Lookups!$B$7:$B$11,Lookups!$C$7:$C$11,"Unknown")</f>
        <v/>
      </c>
      <c r="T678" s="31">
        <f>XLOOKUP(G678,Lookups!$E$7:$E$11,Lookups!$F$7:$F$11,0)</f>
        <v/>
      </c>
      <c r="U678" s="32">
        <f>R678-T678</f>
        <v/>
      </c>
      <c r="V678">
        <f>XLOOKUP(I678,Lookups!$H$7:$H$10,Lookups!$I$7:$I$10,"")</f>
        <v/>
      </c>
      <c r="W678">
        <f>IF(O678&gt;=50000,"HIGH VALUE","")</f>
        <v/>
      </c>
      <c r="X678">
        <f>IF(Q678&lt;0,"LOSS","")</f>
        <v/>
      </c>
      <c r="Y678">
        <f>IFS(M678&gt;=0.15,"Deep Discount",M678&gt;=0.1,"Moderate",TRUE,"Standard")</f>
        <v/>
      </c>
    </row>
    <row r="679">
      <c r="A679">
        <f>Raw_Data!A679</f>
        <v/>
      </c>
      <c r="B679" s="29">
        <f>Raw_Data!B679</f>
        <v/>
      </c>
      <c r="C679">
        <f>YEAR(B679)</f>
        <v/>
      </c>
      <c r="D679">
        <f>MONTH(B679)</f>
        <v/>
      </c>
      <c r="E679">
        <f>TEXT(B679,"MMM-YYYY")</f>
        <v/>
      </c>
      <c r="F679">
        <f>Raw_Data!C679</f>
        <v/>
      </c>
      <c r="G679">
        <f>Raw_Data!D679</f>
        <v/>
      </c>
      <c r="H679">
        <f>Raw_Data!E679</f>
        <v/>
      </c>
      <c r="I679">
        <f>Raw_Data!F679</f>
        <v/>
      </c>
      <c r="J679">
        <f>Raw_Data!G679</f>
        <v/>
      </c>
      <c r="K679">
        <f>Raw_Data!H679</f>
        <v/>
      </c>
      <c r="L679" s="30">
        <f>Raw_Data!I679</f>
        <v/>
      </c>
      <c r="M679" s="31">
        <f>Raw_Data!J679</f>
        <v/>
      </c>
      <c r="N679" s="17">
        <f>K679*L679</f>
        <v/>
      </c>
      <c r="O679" s="17">
        <f>N679*(1-M679)</f>
        <v/>
      </c>
      <c r="P679" s="17">
        <f>Raw_Data!L679</f>
        <v/>
      </c>
      <c r="Q679" s="17">
        <f>O679-P679</f>
        <v/>
      </c>
      <c r="R679" s="31">
        <f>IF(O679=0,0,Q679/O679)</f>
        <v/>
      </c>
      <c r="S679">
        <f>XLOOKUP(F679,Lookups!$B$7:$B$11,Lookups!$C$7:$C$11,"Unknown")</f>
        <v/>
      </c>
      <c r="T679" s="31">
        <f>XLOOKUP(G679,Lookups!$E$7:$E$11,Lookups!$F$7:$F$11,0)</f>
        <v/>
      </c>
      <c r="U679" s="32">
        <f>R679-T679</f>
        <v/>
      </c>
      <c r="V679">
        <f>XLOOKUP(I679,Lookups!$H$7:$H$10,Lookups!$I$7:$I$10,"")</f>
        <v/>
      </c>
      <c r="W679">
        <f>IF(O679&gt;=50000,"HIGH VALUE","")</f>
        <v/>
      </c>
      <c r="X679">
        <f>IF(Q679&lt;0,"LOSS","")</f>
        <v/>
      </c>
      <c r="Y679">
        <f>IFS(M679&gt;=0.15,"Deep Discount",M679&gt;=0.1,"Moderate",TRUE,"Standard")</f>
        <v/>
      </c>
    </row>
    <row r="680">
      <c r="A680">
        <f>Raw_Data!A680</f>
        <v/>
      </c>
      <c r="B680" s="29">
        <f>Raw_Data!B680</f>
        <v/>
      </c>
      <c r="C680">
        <f>YEAR(B680)</f>
        <v/>
      </c>
      <c r="D680">
        <f>MONTH(B680)</f>
        <v/>
      </c>
      <c r="E680">
        <f>TEXT(B680,"MMM-YYYY")</f>
        <v/>
      </c>
      <c r="F680">
        <f>Raw_Data!C680</f>
        <v/>
      </c>
      <c r="G680">
        <f>Raw_Data!D680</f>
        <v/>
      </c>
      <c r="H680">
        <f>Raw_Data!E680</f>
        <v/>
      </c>
      <c r="I680">
        <f>Raw_Data!F680</f>
        <v/>
      </c>
      <c r="J680">
        <f>Raw_Data!G680</f>
        <v/>
      </c>
      <c r="K680">
        <f>Raw_Data!H680</f>
        <v/>
      </c>
      <c r="L680" s="30">
        <f>Raw_Data!I680</f>
        <v/>
      </c>
      <c r="M680" s="31">
        <f>Raw_Data!J680</f>
        <v/>
      </c>
      <c r="N680" s="17">
        <f>K680*L680</f>
        <v/>
      </c>
      <c r="O680" s="17">
        <f>N680*(1-M680)</f>
        <v/>
      </c>
      <c r="P680" s="17">
        <f>Raw_Data!L680</f>
        <v/>
      </c>
      <c r="Q680" s="17">
        <f>O680-P680</f>
        <v/>
      </c>
      <c r="R680" s="31">
        <f>IF(O680=0,0,Q680/O680)</f>
        <v/>
      </c>
      <c r="S680">
        <f>XLOOKUP(F680,Lookups!$B$7:$B$11,Lookups!$C$7:$C$11,"Unknown")</f>
        <v/>
      </c>
      <c r="T680" s="31">
        <f>XLOOKUP(G680,Lookups!$E$7:$E$11,Lookups!$F$7:$F$11,0)</f>
        <v/>
      </c>
      <c r="U680" s="32">
        <f>R680-T680</f>
        <v/>
      </c>
      <c r="V680">
        <f>XLOOKUP(I680,Lookups!$H$7:$H$10,Lookups!$I$7:$I$10,"")</f>
        <v/>
      </c>
      <c r="W680">
        <f>IF(O680&gt;=50000,"HIGH VALUE","")</f>
        <v/>
      </c>
      <c r="X680">
        <f>IF(Q680&lt;0,"LOSS","")</f>
        <v/>
      </c>
      <c r="Y680">
        <f>IFS(M680&gt;=0.15,"Deep Discount",M680&gt;=0.1,"Moderate",TRUE,"Standard")</f>
        <v/>
      </c>
    </row>
    <row r="681">
      <c r="A681">
        <f>Raw_Data!A681</f>
        <v/>
      </c>
      <c r="B681" s="29">
        <f>Raw_Data!B681</f>
        <v/>
      </c>
      <c r="C681">
        <f>YEAR(B681)</f>
        <v/>
      </c>
      <c r="D681">
        <f>MONTH(B681)</f>
        <v/>
      </c>
      <c r="E681">
        <f>TEXT(B681,"MMM-YYYY")</f>
        <v/>
      </c>
      <c r="F681">
        <f>Raw_Data!C681</f>
        <v/>
      </c>
      <c r="G681">
        <f>Raw_Data!D681</f>
        <v/>
      </c>
      <c r="H681">
        <f>Raw_Data!E681</f>
        <v/>
      </c>
      <c r="I681">
        <f>Raw_Data!F681</f>
        <v/>
      </c>
      <c r="J681">
        <f>Raw_Data!G681</f>
        <v/>
      </c>
      <c r="K681">
        <f>Raw_Data!H681</f>
        <v/>
      </c>
      <c r="L681" s="30">
        <f>Raw_Data!I681</f>
        <v/>
      </c>
      <c r="M681" s="31">
        <f>Raw_Data!J681</f>
        <v/>
      </c>
      <c r="N681" s="17">
        <f>K681*L681</f>
        <v/>
      </c>
      <c r="O681" s="17">
        <f>N681*(1-M681)</f>
        <v/>
      </c>
      <c r="P681" s="17">
        <f>Raw_Data!L681</f>
        <v/>
      </c>
      <c r="Q681" s="17">
        <f>O681-P681</f>
        <v/>
      </c>
      <c r="R681" s="31">
        <f>IF(O681=0,0,Q681/O681)</f>
        <v/>
      </c>
      <c r="S681">
        <f>XLOOKUP(F681,Lookups!$B$7:$B$11,Lookups!$C$7:$C$11,"Unknown")</f>
        <v/>
      </c>
      <c r="T681" s="31">
        <f>XLOOKUP(G681,Lookups!$E$7:$E$11,Lookups!$F$7:$F$11,0)</f>
        <v/>
      </c>
      <c r="U681" s="32">
        <f>R681-T681</f>
        <v/>
      </c>
      <c r="V681">
        <f>XLOOKUP(I681,Lookups!$H$7:$H$10,Lookups!$I$7:$I$10,"")</f>
        <v/>
      </c>
      <c r="W681">
        <f>IF(O681&gt;=50000,"HIGH VALUE","")</f>
        <v/>
      </c>
      <c r="X681">
        <f>IF(Q681&lt;0,"LOSS","")</f>
        <v/>
      </c>
      <c r="Y681">
        <f>IFS(M681&gt;=0.15,"Deep Discount",M681&gt;=0.1,"Moderate",TRUE,"Standard")</f>
        <v/>
      </c>
    </row>
    <row r="682">
      <c r="A682">
        <f>Raw_Data!A682</f>
        <v/>
      </c>
      <c r="B682" s="29">
        <f>Raw_Data!B682</f>
        <v/>
      </c>
      <c r="C682">
        <f>YEAR(B682)</f>
        <v/>
      </c>
      <c r="D682">
        <f>MONTH(B682)</f>
        <v/>
      </c>
      <c r="E682">
        <f>TEXT(B682,"MMM-YYYY")</f>
        <v/>
      </c>
      <c r="F682">
        <f>Raw_Data!C682</f>
        <v/>
      </c>
      <c r="G682">
        <f>Raw_Data!D682</f>
        <v/>
      </c>
      <c r="H682">
        <f>Raw_Data!E682</f>
        <v/>
      </c>
      <c r="I682">
        <f>Raw_Data!F682</f>
        <v/>
      </c>
      <c r="J682">
        <f>Raw_Data!G682</f>
        <v/>
      </c>
      <c r="K682">
        <f>Raw_Data!H682</f>
        <v/>
      </c>
      <c r="L682" s="30">
        <f>Raw_Data!I682</f>
        <v/>
      </c>
      <c r="M682" s="31">
        <f>Raw_Data!J682</f>
        <v/>
      </c>
      <c r="N682" s="17">
        <f>K682*L682</f>
        <v/>
      </c>
      <c r="O682" s="17">
        <f>N682*(1-M682)</f>
        <v/>
      </c>
      <c r="P682" s="17">
        <f>Raw_Data!L682</f>
        <v/>
      </c>
      <c r="Q682" s="17">
        <f>O682-P682</f>
        <v/>
      </c>
      <c r="R682" s="31">
        <f>IF(O682=0,0,Q682/O682)</f>
        <v/>
      </c>
      <c r="S682">
        <f>XLOOKUP(F682,Lookups!$B$7:$B$11,Lookups!$C$7:$C$11,"Unknown")</f>
        <v/>
      </c>
      <c r="T682" s="31">
        <f>XLOOKUP(G682,Lookups!$E$7:$E$11,Lookups!$F$7:$F$11,0)</f>
        <v/>
      </c>
      <c r="U682" s="32">
        <f>R682-T682</f>
        <v/>
      </c>
      <c r="V682">
        <f>XLOOKUP(I682,Lookups!$H$7:$H$10,Lookups!$I$7:$I$10,"")</f>
        <v/>
      </c>
      <c r="W682">
        <f>IF(O682&gt;=50000,"HIGH VALUE","")</f>
        <v/>
      </c>
      <c r="X682">
        <f>IF(Q682&lt;0,"LOSS","")</f>
        <v/>
      </c>
      <c r="Y682">
        <f>IFS(M682&gt;=0.15,"Deep Discount",M682&gt;=0.1,"Moderate",TRUE,"Standard")</f>
        <v/>
      </c>
    </row>
    <row r="683">
      <c r="A683">
        <f>Raw_Data!A683</f>
        <v/>
      </c>
      <c r="B683" s="29">
        <f>Raw_Data!B683</f>
        <v/>
      </c>
      <c r="C683">
        <f>YEAR(B683)</f>
        <v/>
      </c>
      <c r="D683">
        <f>MONTH(B683)</f>
        <v/>
      </c>
      <c r="E683">
        <f>TEXT(B683,"MMM-YYYY")</f>
        <v/>
      </c>
      <c r="F683">
        <f>Raw_Data!C683</f>
        <v/>
      </c>
      <c r="G683">
        <f>Raw_Data!D683</f>
        <v/>
      </c>
      <c r="H683">
        <f>Raw_Data!E683</f>
        <v/>
      </c>
      <c r="I683">
        <f>Raw_Data!F683</f>
        <v/>
      </c>
      <c r="J683">
        <f>Raw_Data!G683</f>
        <v/>
      </c>
      <c r="K683">
        <f>Raw_Data!H683</f>
        <v/>
      </c>
      <c r="L683" s="30">
        <f>Raw_Data!I683</f>
        <v/>
      </c>
      <c r="M683" s="31">
        <f>Raw_Data!J683</f>
        <v/>
      </c>
      <c r="N683" s="17">
        <f>K683*L683</f>
        <v/>
      </c>
      <c r="O683" s="17">
        <f>N683*(1-M683)</f>
        <v/>
      </c>
      <c r="P683" s="17">
        <f>Raw_Data!L683</f>
        <v/>
      </c>
      <c r="Q683" s="17">
        <f>O683-P683</f>
        <v/>
      </c>
      <c r="R683" s="31">
        <f>IF(O683=0,0,Q683/O683)</f>
        <v/>
      </c>
      <c r="S683">
        <f>XLOOKUP(F683,Lookups!$B$7:$B$11,Lookups!$C$7:$C$11,"Unknown")</f>
        <v/>
      </c>
      <c r="T683" s="31">
        <f>XLOOKUP(G683,Lookups!$E$7:$E$11,Lookups!$F$7:$F$11,0)</f>
        <v/>
      </c>
      <c r="U683" s="32">
        <f>R683-T683</f>
        <v/>
      </c>
      <c r="V683">
        <f>XLOOKUP(I683,Lookups!$H$7:$H$10,Lookups!$I$7:$I$10,"")</f>
        <v/>
      </c>
      <c r="W683">
        <f>IF(O683&gt;=50000,"HIGH VALUE","")</f>
        <v/>
      </c>
      <c r="X683">
        <f>IF(Q683&lt;0,"LOSS","")</f>
        <v/>
      </c>
      <c r="Y683">
        <f>IFS(M683&gt;=0.15,"Deep Discount",M683&gt;=0.1,"Moderate",TRUE,"Standard")</f>
        <v/>
      </c>
    </row>
    <row r="684">
      <c r="A684">
        <f>Raw_Data!A684</f>
        <v/>
      </c>
      <c r="B684" s="29">
        <f>Raw_Data!B684</f>
        <v/>
      </c>
      <c r="C684">
        <f>YEAR(B684)</f>
        <v/>
      </c>
      <c r="D684">
        <f>MONTH(B684)</f>
        <v/>
      </c>
      <c r="E684">
        <f>TEXT(B684,"MMM-YYYY")</f>
        <v/>
      </c>
      <c r="F684">
        <f>Raw_Data!C684</f>
        <v/>
      </c>
      <c r="G684">
        <f>Raw_Data!D684</f>
        <v/>
      </c>
      <c r="H684">
        <f>Raw_Data!E684</f>
        <v/>
      </c>
      <c r="I684">
        <f>Raw_Data!F684</f>
        <v/>
      </c>
      <c r="J684">
        <f>Raw_Data!G684</f>
        <v/>
      </c>
      <c r="K684">
        <f>Raw_Data!H684</f>
        <v/>
      </c>
      <c r="L684" s="30">
        <f>Raw_Data!I684</f>
        <v/>
      </c>
      <c r="M684" s="31">
        <f>Raw_Data!J684</f>
        <v/>
      </c>
      <c r="N684" s="17">
        <f>K684*L684</f>
        <v/>
      </c>
      <c r="O684" s="17">
        <f>N684*(1-M684)</f>
        <v/>
      </c>
      <c r="P684" s="17">
        <f>Raw_Data!L684</f>
        <v/>
      </c>
      <c r="Q684" s="17">
        <f>O684-P684</f>
        <v/>
      </c>
      <c r="R684" s="31">
        <f>IF(O684=0,0,Q684/O684)</f>
        <v/>
      </c>
      <c r="S684">
        <f>XLOOKUP(F684,Lookups!$B$7:$B$11,Lookups!$C$7:$C$11,"Unknown")</f>
        <v/>
      </c>
      <c r="T684" s="31">
        <f>XLOOKUP(G684,Lookups!$E$7:$E$11,Lookups!$F$7:$F$11,0)</f>
        <v/>
      </c>
      <c r="U684" s="32">
        <f>R684-T684</f>
        <v/>
      </c>
      <c r="V684">
        <f>XLOOKUP(I684,Lookups!$H$7:$H$10,Lookups!$I$7:$I$10,"")</f>
        <v/>
      </c>
      <c r="W684">
        <f>IF(O684&gt;=50000,"HIGH VALUE","")</f>
        <v/>
      </c>
      <c r="X684">
        <f>IF(Q684&lt;0,"LOSS","")</f>
        <v/>
      </c>
      <c r="Y684">
        <f>IFS(M684&gt;=0.15,"Deep Discount",M684&gt;=0.1,"Moderate",TRUE,"Standard")</f>
        <v/>
      </c>
    </row>
    <row r="685">
      <c r="A685">
        <f>Raw_Data!A685</f>
        <v/>
      </c>
      <c r="B685" s="29">
        <f>Raw_Data!B685</f>
        <v/>
      </c>
      <c r="C685">
        <f>YEAR(B685)</f>
        <v/>
      </c>
      <c r="D685">
        <f>MONTH(B685)</f>
        <v/>
      </c>
      <c r="E685">
        <f>TEXT(B685,"MMM-YYYY")</f>
        <v/>
      </c>
      <c r="F685">
        <f>Raw_Data!C685</f>
        <v/>
      </c>
      <c r="G685">
        <f>Raw_Data!D685</f>
        <v/>
      </c>
      <c r="H685">
        <f>Raw_Data!E685</f>
        <v/>
      </c>
      <c r="I685">
        <f>Raw_Data!F685</f>
        <v/>
      </c>
      <c r="J685">
        <f>Raw_Data!G685</f>
        <v/>
      </c>
      <c r="K685">
        <f>Raw_Data!H685</f>
        <v/>
      </c>
      <c r="L685" s="30">
        <f>Raw_Data!I685</f>
        <v/>
      </c>
      <c r="M685" s="31">
        <f>Raw_Data!J685</f>
        <v/>
      </c>
      <c r="N685" s="17">
        <f>K685*L685</f>
        <v/>
      </c>
      <c r="O685" s="17">
        <f>N685*(1-M685)</f>
        <v/>
      </c>
      <c r="P685" s="17">
        <f>Raw_Data!L685</f>
        <v/>
      </c>
      <c r="Q685" s="17">
        <f>O685-P685</f>
        <v/>
      </c>
      <c r="R685" s="31">
        <f>IF(O685=0,0,Q685/O685)</f>
        <v/>
      </c>
      <c r="S685">
        <f>XLOOKUP(F685,Lookups!$B$7:$B$11,Lookups!$C$7:$C$11,"Unknown")</f>
        <v/>
      </c>
      <c r="T685" s="31">
        <f>XLOOKUP(G685,Lookups!$E$7:$E$11,Lookups!$F$7:$F$11,0)</f>
        <v/>
      </c>
      <c r="U685" s="32">
        <f>R685-T685</f>
        <v/>
      </c>
      <c r="V685">
        <f>XLOOKUP(I685,Lookups!$H$7:$H$10,Lookups!$I$7:$I$10,"")</f>
        <v/>
      </c>
      <c r="W685">
        <f>IF(O685&gt;=50000,"HIGH VALUE","")</f>
        <v/>
      </c>
      <c r="X685">
        <f>IF(Q685&lt;0,"LOSS","")</f>
        <v/>
      </c>
      <c r="Y685">
        <f>IFS(M685&gt;=0.15,"Deep Discount",M685&gt;=0.1,"Moderate",TRUE,"Standard")</f>
        <v/>
      </c>
    </row>
    <row r="686">
      <c r="A686">
        <f>Raw_Data!A686</f>
        <v/>
      </c>
      <c r="B686" s="29">
        <f>Raw_Data!B686</f>
        <v/>
      </c>
      <c r="C686">
        <f>YEAR(B686)</f>
        <v/>
      </c>
      <c r="D686">
        <f>MONTH(B686)</f>
        <v/>
      </c>
      <c r="E686">
        <f>TEXT(B686,"MMM-YYYY")</f>
        <v/>
      </c>
      <c r="F686">
        <f>Raw_Data!C686</f>
        <v/>
      </c>
      <c r="G686">
        <f>Raw_Data!D686</f>
        <v/>
      </c>
      <c r="H686">
        <f>Raw_Data!E686</f>
        <v/>
      </c>
      <c r="I686">
        <f>Raw_Data!F686</f>
        <v/>
      </c>
      <c r="J686">
        <f>Raw_Data!G686</f>
        <v/>
      </c>
      <c r="K686">
        <f>Raw_Data!H686</f>
        <v/>
      </c>
      <c r="L686" s="30">
        <f>Raw_Data!I686</f>
        <v/>
      </c>
      <c r="M686" s="31">
        <f>Raw_Data!J686</f>
        <v/>
      </c>
      <c r="N686" s="17">
        <f>K686*L686</f>
        <v/>
      </c>
      <c r="O686" s="17">
        <f>N686*(1-M686)</f>
        <v/>
      </c>
      <c r="P686" s="17">
        <f>Raw_Data!L686</f>
        <v/>
      </c>
      <c r="Q686" s="17">
        <f>O686-P686</f>
        <v/>
      </c>
      <c r="R686" s="31">
        <f>IF(O686=0,0,Q686/O686)</f>
        <v/>
      </c>
      <c r="S686">
        <f>XLOOKUP(F686,Lookups!$B$7:$B$11,Lookups!$C$7:$C$11,"Unknown")</f>
        <v/>
      </c>
      <c r="T686" s="31">
        <f>XLOOKUP(G686,Lookups!$E$7:$E$11,Lookups!$F$7:$F$11,0)</f>
        <v/>
      </c>
      <c r="U686" s="32">
        <f>R686-T686</f>
        <v/>
      </c>
      <c r="V686">
        <f>XLOOKUP(I686,Lookups!$H$7:$H$10,Lookups!$I$7:$I$10,"")</f>
        <v/>
      </c>
      <c r="W686">
        <f>IF(O686&gt;=50000,"HIGH VALUE","")</f>
        <v/>
      </c>
      <c r="X686">
        <f>IF(Q686&lt;0,"LOSS","")</f>
        <v/>
      </c>
      <c r="Y686">
        <f>IFS(M686&gt;=0.15,"Deep Discount",M686&gt;=0.1,"Moderate",TRUE,"Standard")</f>
        <v/>
      </c>
    </row>
    <row r="687">
      <c r="A687">
        <f>Raw_Data!A687</f>
        <v/>
      </c>
      <c r="B687" s="29">
        <f>Raw_Data!B687</f>
        <v/>
      </c>
      <c r="C687">
        <f>YEAR(B687)</f>
        <v/>
      </c>
      <c r="D687">
        <f>MONTH(B687)</f>
        <v/>
      </c>
      <c r="E687">
        <f>TEXT(B687,"MMM-YYYY")</f>
        <v/>
      </c>
      <c r="F687">
        <f>Raw_Data!C687</f>
        <v/>
      </c>
      <c r="G687">
        <f>Raw_Data!D687</f>
        <v/>
      </c>
      <c r="H687">
        <f>Raw_Data!E687</f>
        <v/>
      </c>
      <c r="I687">
        <f>Raw_Data!F687</f>
        <v/>
      </c>
      <c r="J687">
        <f>Raw_Data!G687</f>
        <v/>
      </c>
      <c r="K687">
        <f>Raw_Data!H687</f>
        <v/>
      </c>
      <c r="L687" s="30">
        <f>Raw_Data!I687</f>
        <v/>
      </c>
      <c r="M687" s="31">
        <f>Raw_Data!J687</f>
        <v/>
      </c>
      <c r="N687" s="17">
        <f>K687*L687</f>
        <v/>
      </c>
      <c r="O687" s="17">
        <f>N687*(1-M687)</f>
        <v/>
      </c>
      <c r="P687" s="17">
        <f>Raw_Data!L687</f>
        <v/>
      </c>
      <c r="Q687" s="17">
        <f>O687-P687</f>
        <v/>
      </c>
      <c r="R687" s="31">
        <f>IF(O687=0,0,Q687/O687)</f>
        <v/>
      </c>
      <c r="S687">
        <f>XLOOKUP(F687,Lookups!$B$7:$B$11,Lookups!$C$7:$C$11,"Unknown")</f>
        <v/>
      </c>
      <c r="T687" s="31">
        <f>XLOOKUP(G687,Lookups!$E$7:$E$11,Lookups!$F$7:$F$11,0)</f>
        <v/>
      </c>
      <c r="U687" s="32">
        <f>R687-T687</f>
        <v/>
      </c>
      <c r="V687">
        <f>XLOOKUP(I687,Lookups!$H$7:$H$10,Lookups!$I$7:$I$10,"")</f>
        <v/>
      </c>
      <c r="W687">
        <f>IF(O687&gt;=50000,"HIGH VALUE","")</f>
        <v/>
      </c>
      <c r="X687">
        <f>IF(Q687&lt;0,"LOSS","")</f>
        <v/>
      </c>
      <c r="Y687">
        <f>IFS(M687&gt;=0.15,"Deep Discount",M687&gt;=0.1,"Moderate",TRUE,"Standard")</f>
        <v/>
      </c>
    </row>
    <row r="688">
      <c r="A688">
        <f>Raw_Data!A688</f>
        <v/>
      </c>
      <c r="B688" s="29">
        <f>Raw_Data!B688</f>
        <v/>
      </c>
      <c r="C688">
        <f>YEAR(B688)</f>
        <v/>
      </c>
      <c r="D688">
        <f>MONTH(B688)</f>
        <v/>
      </c>
      <c r="E688">
        <f>TEXT(B688,"MMM-YYYY")</f>
        <v/>
      </c>
      <c r="F688">
        <f>Raw_Data!C688</f>
        <v/>
      </c>
      <c r="G688">
        <f>Raw_Data!D688</f>
        <v/>
      </c>
      <c r="H688">
        <f>Raw_Data!E688</f>
        <v/>
      </c>
      <c r="I688">
        <f>Raw_Data!F688</f>
        <v/>
      </c>
      <c r="J688">
        <f>Raw_Data!G688</f>
        <v/>
      </c>
      <c r="K688">
        <f>Raw_Data!H688</f>
        <v/>
      </c>
      <c r="L688" s="30">
        <f>Raw_Data!I688</f>
        <v/>
      </c>
      <c r="M688" s="31">
        <f>Raw_Data!J688</f>
        <v/>
      </c>
      <c r="N688" s="17">
        <f>K688*L688</f>
        <v/>
      </c>
      <c r="O688" s="17">
        <f>N688*(1-M688)</f>
        <v/>
      </c>
      <c r="P688" s="17">
        <f>Raw_Data!L688</f>
        <v/>
      </c>
      <c r="Q688" s="17">
        <f>O688-P688</f>
        <v/>
      </c>
      <c r="R688" s="31">
        <f>IF(O688=0,0,Q688/O688)</f>
        <v/>
      </c>
      <c r="S688">
        <f>XLOOKUP(F688,Lookups!$B$7:$B$11,Lookups!$C$7:$C$11,"Unknown")</f>
        <v/>
      </c>
      <c r="T688" s="31">
        <f>XLOOKUP(G688,Lookups!$E$7:$E$11,Lookups!$F$7:$F$11,0)</f>
        <v/>
      </c>
      <c r="U688" s="32">
        <f>R688-T688</f>
        <v/>
      </c>
      <c r="V688">
        <f>XLOOKUP(I688,Lookups!$H$7:$H$10,Lookups!$I$7:$I$10,"")</f>
        <v/>
      </c>
      <c r="W688">
        <f>IF(O688&gt;=50000,"HIGH VALUE","")</f>
        <v/>
      </c>
      <c r="X688">
        <f>IF(Q688&lt;0,"LOSS","")</f>
        <v/>
      </c>
      <c r="Y688">
        <f>IFS(M688&gt;=0.15,"Deep Discount",M688&gt;=0.1,"Moderate",TRUE,"Standard")</f>
        <v/>
      </c>
    </row>
    <row r="689">
      <c r="A689">
        <f>Raw_Data!A689</f>
        <v/>
      </c>
      <c r="B689" s="29">
        <f>Raw_Data!B689</f>
        <v/>
      </c>
      <c r="C689">
        <f>YEAR(B689)</f>
        <v/>
      </c>
      <c r="D689">
        <f>MONTH(B689)</f>
        <v/>
      </c>
      <c r="E689">
        <f>TEXT(B689,"MMM-YYYY")</f>
        <v/>
      </c>
      <c r="F689">
        <f>Raw_Data!C689</f>
        <v/>
      </c>
      <c r="G689">
        <f>Raw_Data!D689</f>
        <v/>
      </c>
      <c r="H689">
        <f>Raw_Data!E689</f>
        <v/>
      </c>
      <c r="I689">
        <f>Raw_Data!F689</f>
        <v/>
      </c>
      <c r="J689">
        <f>Raw_Data!G689</f>
        <v/>
      </c>
      <c r="K689">
        <f>Raw_Data!H689</f>
        <v/>
      </c>
      <c r="L689" s="30">
        <f>Raw_Data!I689</f>
        <v/>
      </c>
      <c r="M689" s="31">
        <f>Raw_Data!J689</f>
        <v/>
      </c>
      <c r="N689" s="17">
        <f>K689*L689</f>
        <v/>
      </c>
      <c r="O689" s="17">
        <f>N689*(1-M689)</f>
        <v/>
      </c>
      <c r="P689" s="17">
        <f>Raw_Data!L689</f>
        <v/>
      </c>
      <c r="Q689" s="17">
        <f>O689-P689</f>
        <v/>
      </c>
      <c r="R689" s="31">
        <f>IF(O689=0,0,Q689/O689)</f>
        <v/>
      </c>
      <c r="S689">
        <f>XLOOKUP(F689,Lookups!$B$7:$B$11,Lookups!$C$7:$C$11,"Unknown")</f>
        <v/>
      </c>
      <c r="T689" s="31">
        <f>XLOOKUP(G689,Lookups!$E$7:$E$11,Lookups!$F$7:$F$11,0)</f>
        <v/>
      </c>
      <c r="U689" s="32">
        <f>R689-T689</f>
        <v/>
      </c>
      <c r="V689">
        <f>XLOOKUP(I689,Lookups!$H$7:$H$10,Lookups!$I$7:$I$10,"")</f>
        <v/>
      </c>
      <c r="W689">
        <f>IF(O689&gt;=50000,"HIGH VALUE","")</f>
        <v/>
      </c>
      <c r="X689">
        <f>IF(Q689&lt;0,"LOSS","")</f>
        <v/>
      </c>
      <c r="Y689">
        <f>IFS(M689&gt;=0.15,"Deep Discount",M689&gt;=0.1,"Moderate",TRUE,"Standard")</f>
        <v/>
      </c>
    </row>
    <row r="690">
      <c r="A690">
        <f>Raw_Data!A690</f>
        <v/>
      </c>
      <c r="B690" s="29">
        <f>Raw_Data!B690</f>
        <v/>
      </c>
      <c r="C690">
        <f>YEAR(B690)</f>
        <v/>
      </c>
      <c r="D690">
        <f>MONTH(B690)</f>
        <v/>
      </c>
      <c r="E690">
        <f>TEXT(B690,"MMM-YYYY")</f>
        <v/>
      </c>
      <c r="F690">
        <f>Raw_Data!C690</f>
        <v/>
      </c>
      <c r="G690">
        <f>Raw_Data!D690</f>
        <v/>
      </c>
      <c r="H690">
        <f>Raw_Data!E690</f>
        <v/>
      </c>
      <c r="I690">
        <f>Raw_Data!F690</f>
        <v/>
      </c>
      <c r="J690">
        <f>Raw_Data!G690</f>
        <v/>
      </c>
      <c r="K690">
        <f>Raw_Data!H690</f>
        <v/>
      </c>
      <c r="L690" s="30">
        <f>Raw_Data!I690</f>
        <v/>
      </c>
      <c r="M690" s="31">
        <f>Raw_Data!J690</f>
        <v/>
      </c>
      <c r="N690" s="17">
        <f>K690*L690</f>
        <v/>
      </c>
      <c r="O690" s="17">
        <f>N690*(1-M690)</f>
        <v/>
      </c>
      <c r="P690" s="17">
        <f>Raw_Data!L690</f>
        <v/>
      </c>
      <c r="Q690" s="17">
        <f>O690-P690</f>
        <v/>
      </c>
      <c r="R690" s="31">
        <f>IF(O690=0,0,Q690/O690)</f>
        <v/>
      </c>
      <c r="S690">
        <f>XLOOKUP(F690,Lookups!$B$7:$B$11,Lookups!$C$7:$C$11,"Unknown")</f>
        <v/>
      </c>
      <c r="T690" s="31">
        <f>XLOOKUP(G690,Lookups!$E$7:$E$11,Lookups!$F$7:$F$11,0)</f>
        <v/>
      </c>
      <c r="U690" s="32">
        <f>R690-T690</f>
        <v/>
      </c>
      <c r="V690">
        <f>XLOOKUP(I690,Lookups!$H$7:$H$10,Lookups!$I$7:$I$10,"")</f>
        <v/>
      </c>
      <c r="W690">
        <f>IF(O690&gt;=50000,"HIGH VALUE","")</f>
        <v/>
      </c>
      <c r="X690">
        <f>IF(Q690&lt;0,"LOSS","")</f>
        <v/>
      </c>
      <c r="Y690">
        <f>IFS(M690&gt;=0.15,"Deep Discount",M690&gt;=0.1,"Moderate",TRUE,"Standard")</f>
        <v/>
      </c>
    </row>
    <row r="691">
      <c r="A691">
        <f>Raw_Data!A691</f>
        <v/>
      </c>
      <c r="B691" s="29">
        <f>Raw_Data!B691</f>
        <v/>
      </c>
      <c r="C691">
        <f>YEAR(B691)</f>
        <v/>
      </c>
      <c r="D691">
        <f>MONTH(B691)</f>
        <v/>
      </c>
      <c r="E691">
        <f>TEXT(B691,"MMM-YYYY")</f>
        <v/>
      </c>
      <c r="F691">
        <f>Raw_Data!C691</f>
        <v/>
      </c>
      <c r="G691">
        <f>Raw_Data!D691</f>
        <v/>
      </c>
      <c r="H691">
        <f>Raw_Data!E691</f>
        <v/>
      </c>
      <c r="I691">
        <f>Raw_Data!F691</f>
        <v/>
      </c>
      <c r="J691">
        <f>Raw_Data!G691</f>
        <v/>
      </c>
      <c r="K691">
        <f>Raw_Data!H691</f>
        <v/>
      </c>
      <c r="L691" s="30">
        <f>Raw_Data!I691</f>
        <v/>
      </c>
      <c r="M691" s="31">
        <f>Raw_Data!J691</f>
        <v/>
      </c>
      <c r="N691" s="17">
        <f>K691*L691</f>
        <v/>
      </c>
      <c r="O691" s="17">
        <f>N691*(1-M691)</f>
        <v/>
      </c>
      <c r="P691" s="17">
        <f>Raw_Data!L691</f>
        <v/>
      </c>
      <c r="Q691" s="17">
        <f>O691-P691</f>
        <v/>
      </c>
      <c r="R691" s="31">
        <f>IF(O691=0,0,Q691/O691)</f>
        <v/>
      </c>
      <c r="S691">
        <f>XLOOKUP(F691,Lookups!$B$7:$B$11,Lookups!$C$7:$C$11,"Unknown")</f>
        <v/>
      </c>
      <c r="T691" s="31">
        <f>XLOOKUP(G691,Lookups!$E$7:$E$11,Lookups!$F$7:$F$11,0)</f>
        <v/>
      </c>
      <c r="U691" s="32">
        <f>R691-T691</f>
        <v/>
      </c>
      <c r="V691">
        <f>XLOOKUP(I691,Lookups!$H$7:$H$10,Lookups!$I$7:$I$10,"")</f>
        <v/>
      </c>
      <c r="W691">
        <f>IF(O691&gt;=50000,"HIGH VALUE","")</f>
        <v/>
      </c>
      <c r="X691">
        <f>IF(Q691&lt;0,"LOSS","")</f>
        <v/>
      </c>
      <c r="Y691">
        <f>IFS(M691&gt;=0.15,"Deep Discount",M691&gt;=0.1,"Moderate",TRUE,"Standard")</f>
        <v/>
      </c>
    </row>
    <row r="692">
      <c r="A692">
        <f>Raw_Data!A692</f>
        <v/>
      </c>
      <c r="B692" s="29">
        <f>Raw_Data!B692</f>
        <v/>
      </c>
      <c r="C692">
        <f>YEAR(B692)</f>
        <v/>
      </c>
      <c r="D692">
        <f>MONTH(B692)</f>
        <v/>
      </c>
      <c r="E692">
        <f>TEXT(B692,"MMM-YYYY")</f>
        <v/>
      </c>
      <c r="F692">
        <f>Raw_Data!C692</f>
        <v/>
      </c>
      <c r="G692">
        <f>Raw_Data!D692</f>
        <v/>
      </c>
      <c r="H692">
        <f>Raw_Data!E692</f>
        <v/>
      </c>
      <c r="I692">
        <f>Raw_Data!F692</f>
        <v/>
      </c>
      <c r="J692">
        <f>Raw_Data!G692</f>
        <v/>
      </c>
      <c r="K692">
        <f>Raw_Data!H692</f>
        <v/>
      </c>
      <c r="L692" s="30">
        <f>Raw_Data!I692</f>
        <v/>
      </c>
      <c r="M692" s="31">
        <f>Raw_Data!J692</f>
        <v/>
      </c>
      <c r="N692" s="17">
        <f>K692*L692</f>
        <v/>
      </c>
      <c r="O692" s="17">
        <f>N692*(1-M692)</f>
        <v/>
      </c>
      <c r="P692" s="17">
        <f>Raw_Data!L692</f>
        <v/>
      </c>
      <c r="Q692" s="17">
        <f>O692-P692</f>
        <v/>
      </c>
      <c r="R692" s="31">
        <f>IF(O692=0,0,Q692/O692)</f>
        <v/>
      </c>
      <c r="S692">
        <f>XLOOKUP(F692,Lookups!$B$7:$B$11,Lookups!$C$7:$C$11,"Unknown")</f>
        <v/>
      </c>
      <c r="T692" s="31">
        <f>XLOOKUP(G692,Lookups!$E$7:$E$11,Lookups!$F$7:$F$11,0)</f>
        <v/>
      </c>
      <c r="U692" s="32">
        <f>R692-T692</f>
        <v/>
      </c>
      <c r="V692">
        <f>XLOOKUP(I692,Lookups!$H$7:$H$10,Lookups!$I$7:$I$10,"")</f>
        <v/>
      </c>
      <c r="W692">
        <f>IF(O692&gt;=50000,"HIGH VALUE","")</f>
        <v/>
      </c>
      <c r="X692">
        <f>IF(Q692&lt;0,"LOSS","")</f>
        <v/>
      </c>
      <c r="Y692">
        <f>IFS(M692&gt;=0.15,"Deep Discount",M692&gt;=0.1,"Moderate",TRUE,"Standard")</f>
        <v/>
      </c>
    </row>
    <row r="693">
      <c r="A693">
        <f>Raw_Data!A693</f>
        <v/>
      </c>
      <c r="B693" s="29">
        <f>Raw_Data!B693</f>
        <v/>
      </c>
      <c r="C693">
        <f>YEAR(B693)</f>
        <v/>
      </c>
      <c r="D693">
        <f>MONTH(B693)</f>
        <v/>
      </c>
      <c r="E693">
        <f>TEXT(B693,"MMM-YYYY")</f>
        <v/>
      </c>
      <c r="F693">
        <f>Raw_Data!C693</f>
        <v/>
      </c>
      <c r="G693">
        <f>Raw_Data!D693</f>
        <v/>
      </c>
      <c r="H693">
        <f>Raw_Data!E693</f>
        <v/>
      </c>
      <c r="I693">
        <f>Raw_Data!F693</f>
        <v/>
      </c>
      <c r="J693">
        <f>Raw_Data!G693</f>
        <v/>
      </c>
      <c r="K693">
        <f>Raw_Data!H693</f>
        <v/>
      </c>
      <c r="L693" s="30">
        <f>Raw_Data!I693</f>
        <v/>
      </c>
      <c r="M693" s="31">
        <f>Raw_Data!J693</f>
        <v/>
      </c>
      <c r="N693" s="17">
        <f>K693*L693</f>
        <v/>
      </c>
      <c r="O693" s="17">
        <f>N693*(1-M693)</f>
        <v/>
      </c>
      <c r="P693" s="17">
        <f>Raw_Data!L693</f>
        <v/>
      </c>
      <c r="Q693" s="17">
        <f>O693-P693</f>
        <v/>
      </c>
      <c r="R693" s="31">
        <f>IF(O693=0,0,Q693/O693)</f>
        <v/>
      </c>
      <c r="S693">
        <f>XLOOKUP(F693,Lookups!$B$7:$B$11,Lookups!$C$7:$C$11,"Unknown")</f>
        <v/>
      </c>
      <c r="T693" s="31">
        <f>XLOOKUP(G693,Lookups!$E$7:$E$11,Lookups!$F$7:$F$11,0)</f>
        <v/>
      </c>
      <c r="U693" s="32">
        <f>R693-T693</f>
        <v/>
      </c>
      <c r="V693">
        <f>XLOOKUP(I693,Lookups!$H$7:$H$10,Lookups!$I$7:$I$10,"")</f>
        <v/>
      </c>
      <c r="W693">
        <f>IF(O693&gt;=50000,"HIGH VALUE","")</f>
        <v/>
      </c>
      <c r="X693">
        <f>IF(Q693&lt;0,"LOSS","")</f>
        <v/>
      </c>
      <c r="Y693">
        <f>IFS(M693&gt;=0.15,"Deep Discount",M693&gt;=0.1,"Moderate",TRUE,"Standard")</f>
        <v/>
      </c>
    </row>
    <row r="694">
      <c r="A694">
        <f>Raw_Data!A694</f>
        <v/>
      </c>
      <c r="B694" s="29">
        <f>Raw_Data!B694</f>
        <v/>
      </c>
      <c r="C694">
        <f>YEAR(B694)</f>
        <v/>
      </c>
      <c r="D694">
        <f>MONTH(B694)</f>
        <v/>
      </c>
      <c r="E694">
        <f>TEXT(B694,"MMM-YYYY")</f>
        <v/>
      </c>
      <c r="F694">
        <f>Raw_Data!C694</f>
        <v/>
      </c>
      <c r="G694">
        <f>Raw_Data!D694</f>
        <v/>
      </c>
      <c r="H694">
        <f>Raw_Data!E694</f>
        <v/>
      </c>
      <c r="I694">
        <f>Raw_Data!F694</f>
        <v/>
      </c>
      <c r="J694">
        <f>Raw_Data!G694</f>
        <v/>
      </c>
      <c r="K694">
        <f>Raw_Data!H694</f>
        <v/>
      </c>
      <c r="L694" s="30">
        <f>Raw_Data!I694</f>
        <v/>
      </c>
      <c r="M694" s="31">
        <f>Raw_Data!J694</f>
        <v/>
      </c>
      <c r="N694" s="17">
        <f>K694*L694</f>
        <v/>
      </c>
      <c r="O694" s="17">
        <f>N694*(1-M694)</f>
        <v/>
      </c>
      <c r="P694" s="17">
        <f>Raw_Data!L694</f>
        <v/>
      </c>
      <c r="Q694" s="17">
        <f>O694-P694</f>
        <v/>
      </c>
      <c r="R694" s="31">
        <f>IF(O694=0,0,Q694/O694)</f>
        <v/>
      </c>
      <c r="S694">
        <f>XLOOKUP(F694,Lookups!$B$7:$B$11,Lookups!$C$7:$C$11,"Unknown")</f>
        <v/>
      </c>
      <c r="T694" s="31">
        <f>XLOOKUP(G694,Lookups!$E$7:$E$11,Lookups!$F$7:$F$11,0)</f>
        <v/>
      </c>
      <c r="U694" s="32">
        <f>R694-T694</f>
        <v/>
      </c>
      <c r="V694">
        <f>XLOOKUP(I694,Lookups!$H$7:$H$10,Lookups!$I$7:$I$10,"")</f>
        <v/>
      </c>
      <c r="W694">
        <f>IF(O694&gt;=50000,"HIGH VALUE","")</f>
        <v/>
      </c>
      <c r="X694">
        <f>IF(Q694&lt;0,"LOSS","")</f>
        <v/>
      </c>
      <c r="Y694">
        <f>IFS(M694&gt;=0.15,"Deep Discount",M694&gt;=0.1,"Moderate",TRUE,"Standard")</f>
        <v/>
      </c>
    </row>
    <row r="695">
      <c r="A695">
        <f>Raw_Data!A695</f>
        <v/>
      </c>
      <c r="B695" s="29">
        <f>Raw_Data!B695</f>
        <v/>
      </c>
      <c r="C695">
        <f>YEAR(B695)</f>
        <v/>
      </c>
      <c r="D695">
        <f>MONTH(B695)</f>
        <v/>
      </c>
      <c r="E695">
        <f>TEXT(B695,"MMM-YYYY")</f>
        <v/>
      </c>
      <c r="F695">
        <f>Raw_Data!C695</f>
        <v/>
      </c>
      <c r="G695">
        <f>Raw_Data!D695</f>
        <v/>
      </c>
      <c r="H695">
        <f>Raw_Data!E695</f>
        <v/>
      </c>
      <c r="I695">
        <f>Raw_Data!F695</f>
        <v/>
      </c>
      <c r="J695">
        <f>Raw_Data!G695</f>
        <v/>
      </c>
      <c r="K695">
        <f>Raw_Data!H695</f>
        <v/>
      </c>
      <c r="L695" s="30">
        <f>Raw_Data!I695</f>
        <v/>
      </c>
      <c r="M695" s="31">
        <f>Raw_Data!J695</f>
        <v/>
      </c>
      <c r="N695" s="17">
        <f>K695*L695</f>
        <v/>
      </c>
      <c r="O695" s="17">
        <f>N695*(1-M695)</f>
        <v/>
      </c>
      <c r="P695" s="17">
        <f>Raw_Data!L695</f>
        <v/>
      </c>
      <c r="Q695" s="17">
        <f>O695-P695</f>
        <v/>
      </c>
      <c r="R695" s="31">
        <f>IF(O695=0,0,Q695/O695)</f>
        <v/>
      </c>
      <c r="S695">
        <f>XLOOKUP(F695,Lookups!$B$7:$B$11,Lookups!$C$7:$C$11,"Unknown")</f>
        <v/>
      </c>
      <c r="T695" s="31">
        <f>XLOOKUP(G695,Lookups!$E$7:$E$11,Lookups!$F$7:$F$11,0)</f>
        <v/>
      </c>
      <c r="U695" s="32">
        <f>R695-T695</f>
        <v/>
      </c>
      <c r="V695">
        <f>XLOOKUP(I695,Lookups!$H$7:$H$10,Lookups!$I$7:$I$10,"")</f>
        <v/>
      </c>
      <c r="W695">
        <f>IF(O695&gt;=50000,"HIGH VALUE","")</f>
        <v/>
      </c>
      <c r="X695">
        <f>IF(Q695&lt;0,"LOSS","")</f>
        <v/>
      </c>
      <c r="Y695">
        <f>IFS(M695&gt;=0.15,"Deep Discount",M695&gt;=0.1,"Moderate",TRUE,"Standard")</f>
        <v/>
      </c>
    </row>
    <row r="696">
      <c r="A696">
        <f>Raw_Data!A696</f>
        <v/>
      </c>
      <c r="B696" s="29">
        <f>Raw_Data!B696</f>
        <v/>
      </c>
      <c r="C696">
        <f>YEAR(B696)</f>
        <v/>
      </c>
      <c r="D696">
        <f>MONTH(B696)</f>
        <v/>
      </c>
      <c r="E696">
        <f>TEXT(B696,"MMM-YYYY")</f>
        <v/>
      </c>
      <c r="F696">
        <f>Raw_Data!C696</f>
        <v/>
      </c>
      <c r="G696">
        <f>Raw_Data!D696</f>
        <v/>
      </c>
      <c r="H696">
        <f>Raw_Data!E696</f>
        <v/>
      </c>
      <c r="I696">
        <f>Raw_Data!F696</f>
        <v/>
      </c>
      <c r="J696">
        <f>Raw_Data!G696</f>
        <v/>
      </c>
      <c r="K696">
        <f>Raw_Data!H696</f>
        <v/>
      </c>
      <c r="L696" s="30">
        <f>Raw_Data!I696</f>
        <v/>
      </c>
      <c r="M696" s="31">
        <f>Raw_Data!J696</f>
        <v/>
      </c>
      <c r="N696" s="17">
        <f>K696*L696</f>
        <v/>
      </c>
      <c r="O696" s="17">
        <f>N696*(1-M696)</f>
        <v/>
      </c>
      <c r="P696" s="17">
        <f>Raw_Data!L696</f>
        <v/>
      </c>
      <c r="Q696" s="17">
        <f>O696-P696</f>
        <v/>
      </c>
      <c r="R696" s="31">
        <f>IF(O696=0,0,Q696/O696)</f>
        <v/>
      </c>
      <c r="S696">
        <f>XLOOKUP(F696,Lookups!$B$7:$B$11,Lookups!$C$7:$C$11,"Unknown")</f>
        <v/>
      </c>
      <c r="T696" s="31">
        <f>XLOOKUP(G696,Lookups!$E$7:$E$11,Lookups!$F$7:$F$11,0)</f>
        <v/>
      </c>
      <c r="U696" s="32">
        <f>R696-T696</f>
        <v/>
      </c>
      <c r="V696">
        <f>XLOOKUP(I696,Lookups!$H$7:$H$10,Lookups!$I$7:$I$10,"")</f>
        <v/>
      </c>
      <c r="W696">
        <f>IF(O696&gt;=50000,"HIGH VALUE","")</f>
        <v/>
      </c>
      <c r="X696">
        <f>IF(Q696&lt;0,"LOSS","")</f>
        <v/>
      </c>
      <c r="Y696">
        <f>IFS(M696&gt;=0.15,"Deep Discount",M696&gt;=0.1,"Moderate",TRUE,"Standard")</f>
        <v/>
      </c>
    </row>
    <row r="697">
      <c r="A697">
        <f>Raw_Data!A697</f>
        <v/>
      </c>
      <c r="B697" s="29">
        <f>Raw_Data!B697</f>
        <v/>
      </c>
      <c r="C697">
        <f>YEAR(B697)</f>
        <v/>
      </c>
      <c r="D697">
        <f>MONTH(B697)</f>
        <v/>
      </c>
      <c r="E697">
        <f>TEXT(B697,"MMM-YYYY")</f>
        <v/>
      </c>
      <c r="F697">
        <f>Raw_Data!C697</f>
        <v/>
      </c>
      <c r="G697">
        <f>Raw_Data!D697</f>
        <v/>
      </c>
      <c r="H697">
        <f>Raw_Data!E697</f>
        <v/>
      </c>
      <c r="I697">
        <f>Raw_Data!F697</f>
        <v/>
      </c>
      <c r="J697">
        <f>Raw_Data!G697</f>
        <v/>
      </c>
      <c r="K697">
        <f>Raw_Data!H697</f>
        <v/>
      </c>
      <c r="L697" s="30">
        <f>Raw_Data!I697</f>
        <v/>
      </c>
      <c r="M697" s="31">
        <f>Raw_Data!J697</f>
        <v/>
      </c>
      <c r="N697" s="17">
        <f>K697*L697</f>
        <v/>
      </c>
      <c r="O697" s="17">
        <f>N697*(1-M697)</f>
        <v/>
      </c>
      <c r="P697" s="17">
        <f>Raw_Data!L697</f>
        <v/>
      </c>
      <c r="Q697" s="17">
        <f>O697-P697</f>
        <v/>
      </c>
      <c r="R697" s="31">
        <f>IF(O697=0,0,Q697/O697)</f>
        <v/>
      </c>
      <c r="S697">
        <f>XLOOKUP(F697,Lookups!$B$7:$B$11,Lookups!$C$7:$C$11,"Unknown")</f>
        <v/>
      </c>
      <c r="T697" s="31">
        <f>XLOOKUP(G697,Lookups!$E$7:$E$11,Lookups!$F$7:$F$11,0)</f>
        <v/>
      </c>
      <c r="U697" s="32">
        <f>R697-T697</f>
        <v/>
      </c>
      <c r="V697">
        <f>XLOOKUP(I697,Lookups!$H$7:$H$10,Lookups!$I$7:$I$10,"")</f>
        <v/>
      </c>
      <c r="W697">
        <f>IF(O697&gt;=50000,"HIGH VALUE","")</f>
        <v/>
      </c>
      <c r="X697">
        <f>IF(Q697&lt;0,"LOSS","")</f>
        <v/>
      </c>
      <c r="Y697">
        <f>IFS(M697&gt;=0.15,"Deep Discount",M697&gt;=0.1,"Moderate",TRUE,"Standard")</f>
        <v/>
      </c>
    </row>
    <row r="698">
      <c r="A698">
        <f>Raw_Data!A698</f>
        <v/>
      </c>
      <c r="B698" s="29">
        <f>Raw_Data!B698</f>
        <v/>
      </c>
      <c r="C698">
        <f>YEAR(B698)</f>
        <v/>
      </c>
      <c r="D698">
        <f>MONTH(B698)</f>
        <v/>
      </c>
      <c r="E698">
        <f>TEXT(B698,"MMM-YYYY")</f>
        <v/>
      </c>
      <c r="F698">
        <f>Raw_Data!C698</f>
        <v/>
      </c>
      <c r="G698">
        <f>Raw_Data!D698</f>
        <v/>
      </c>
      <c r="H698">
        <f>Raw_Data!E698</f>
        <v/>
      </c>
      <c r="I698">
        <f>Raw_Data!F698</f>
        <v/>
      </c>
      <c r="J698">
        <f>Raw_Data!G698</f>
        <v/>
      </c>
      <c r="K698">
        <f>Raw_Data!H698</f>
        <v/>
      </c>
      <c r="L698" s="30">
        <f>Raw_Data!I698</f>
        <v/>
      </c>
      <c r="M698" s="31">
        <f>Raw_Data!J698</f>
        <v/>
      </c>
      <c r="N698" s="17">
        <f>K698*L698</f>
        <v/>
      </c>
      <c r="O698" s="17">
        <f>N698*(1-M698)</f>
        <v/>
      </c>
      <c r="P698" s="17">
        <f>Raw_Data!L698</f>
        <v/>
      </c>
      <c r="Q698" s="17">
        <f>O698-P698</f>
        <v/>
      </c>
      <c r="R698" s="31">
        <f>IF(O698=0,0,Q698/O698)</f>
        <v/>
      </c>
      <c r="S698">
        <f>XLOOKUP(F698,Lookups!$B$7:$B$11,Lookups!$C$7:$C$11,"Unknown")</f>
        <v/>
      </c>
      <c r="T698" s="31">
        <f>XLOOKUP(G698,Lookups!$E$7:$E$11,Lookups!$F$7:$F$11,0)</f>
        <v/>
      </c>
      <c r="U698" s="32">
        <f>R698-T698</f>
        <v/>
      </c>
      <c r="V698">
        <f>XLOOKUP(I698,Lookups!$H$7:$H$10,Lookups!$I$7:$I$10,"")</f>
        <v/>
      </c>
      <c r="W698">
        <f>IF(O698&gt;=50000,"HIGH VALUE","")</f>
        <v/>
      </c>
      <c r="X698">
        <f>IF(Q698&lt;0,"LOSS","")</f>
        <v/>
      </c>
      <c r="Y698">
        <f>IFS(M698&gt;=0.15,"Deep Discount",M698&gt;=0.1,"Moderate",TRUE,"Standard")</f>
        <v/>
      </c>
    </row>
    <row r="699">
      <c r="A699">
        <f>Raw_Data!A699</f>
        <v/>
      </c>
      <c r="B699" s="29">
        <f>Raw_Data!B699</f>
        <v/>
      </c>
      <c r="C699">
        <f>YEAR(B699)</f>
        <v/>
      </c>
      <c r="D699">
        <f>MONTH(B699)</f>
        <v/>
      </c>
      <c r="E699">
        <f>TEXT(B699,"MMM-YYYY")</f>
        <v/>
      </c>
      <c r="F699">
        <f>Raw_Data!C699</f>
        <v/>
      </c>
      <c r="G699">
        <f>Raw_Data!D699</f>
        <v/>
      </c>
      <c r="H699">
        <f>Raw_Data!E699</f>
        <v/>
      </c>
      <c r="I699">
        <f>Raw_Data!F699</f>
        <v/>
      </c>
      <c r="J699">
        <f>Raw_Data!G699</f>
        <v/>
      </c>
      <c r="K699">
        <f>Raw_Data!H699</f>
        <v/>
      </c>
      <c r="L699" s="30">
        <f>Raw_Data!I699</f>
        <v/>
      </c>
      <c r="M699" s="31">
        <f>Raw_Data!J699</f>
        <v/>
      </c>
      <c r="N699" s="17">
        <f>K699*L699</f>
        <v/>
      </c>
      <c r="O699" s="17">
        <f>N699*(1-M699)</f>
        <v/>
      </c>
      <c r="P699" s="17">
        <f>Raw_Data!L699</f>
        <v/>
      </c>
      <c r="Q699" s="17">
        <f>O699-P699</f>
        <v/>
      </c>
      <c r="R699" s="31">
        <f>IF(O699=0,0,Q699/O699)</f>
        <v/>
      </c>
      <c r="S699">
        <f>XLOOKUP(F699,Lookups!$B$7:$B$11,Lookups!$C$7:$C$11,"Unknown")</f>
        <v/>
      </c>
      <c r="T699" s="31">
        <f>XLOOKUP(G699,Lookups!$E$7:$E$11,Lookups!$F$7:$F$11,0)</f>
        <v/>
      </c>
      <c r="U699" s="32">
        <f>R699-T699</f>
        <v/>
      </c>
      <c r="V699">
        <f>XLOOKUP(I699,Lookups!$H$7:$H$10,Lookups!$I$7:$I$10,"")</f>
        <v/>
      </c>
      <c r="W699">
        <f>IF(O699&gt;=50000,"HIGH VALUE","")</f>
        <v/>
      </c>
      <c r="X699">
        <f>IF(Q699&lt;0,"LOSS","")</f>
        <v/>
      </c>
      <c r="Y699">
        <f>IFS(M699&gt;=0.15,"Deep Discount",M699&gt;=0.1,"Moderate",TRUE,"Standard")</f>
        <v/>
      </c>
    </row>
    <row r="700">
      <c r="A700">
        <f>Raw_Data!A700</f>
        <v/>
      </c>
      <c r="B700" s="29">
        <f>Raw_Data!B700</f>
        <v/>
      </c>
      <c r="C700">
        <f>YEAR(B700)</f>
        <v/>
      </c>
      <c r="D700">
        <f>MONTH(B700)</f>
        <v/>
      </c>
      <c r="E700">
        <f>TEXT(B700,"MMM-YYYY")</f>
        <v/>
      </c>
      <c r="F700">
        <f>Raw_Data!C700</f>
        <v/>
      </c>
      <c r="G700">
        <f>Raw_Data!D700</f>
        <v/>
      </c>
      <c r="H700">
        <f>Raw_Data!E700</f>
        <v/>
      </c>
      <c r="I700">
        <f>Raw_Data!F700</f>
        <v/>
      </c>
      <c r="J700">
        <f>Raw_Data!G700</f>
        <v/>
      </c>
      <c r="K700">
        <f>Raw_Data!H700</f>
        <v/>
      </c>
      <c r="L700" s="30">
        <f>Raw_Data!I700</f>
        <v/>
      </c>
      <c r="M700" s="31">
        <f>Raw_Data!J700</f>
        <v/>
      </c>
      <c r="N700" s="17">
        <f>K700*L700</f>
        <v/>
      </c>
      <c r="O700" s="17">
        <f>N700*(1-M700)</f>
        <v/>
      </c>
      <c r="P700" s="17">
        <f>Raw_Data!L700</f>
        <v/>
      </c>
      <c r="Q700" s="17">
        <f>O700-P700</f>
        <v/>
      </c>
      <c r="R700" s="31">
        <f>IF(O700=0,0,Q700/O700)</f>
        <v/>
      </c>
      <c r="S700">
        <f>XLOOKUP(F700,Lookups!$B$7:$B$11,Lookups!$C$7:$C$11,"Unknown")</f>
        <v/>
      </c>
      <c r="T700" s="31">
        <f>XLOOKUP(G700,Lookups!$E$7:$E$11,Lookups!$F$7:$F$11,0)</f>
        <v/>
      </c>
      <c r="U700" s="32">
        <f>R700-T700</f>
        <v/>
      </c>
      <c r="V700">
        <f>XLOOKUP(I700,Lookups!$H$7:$H$10,Lookups!$I$7:$I$10,"")</f>
        <v/>
      </c>
      <c r="W700">
        <f>IF(O700&gt;=50000,"HIGH VALUE","")</f>
        <v/>
      </c>
      <c r="X700">
        <f>IF(Q700&lt;0,"LOSS","")</f>
        <v/>
      </c>
      <c r="Y700">
        <f>IFS(M700&gt;=0.15,"Deep Discount",M700&gt;=0.1,"Moderate",TRUE,"Standard")</f>
        <v/>
      </c>
    </row>
    <row r="701">
      <c r="A701">
        <f>Raw_Data!A701</f>
        <v/>
      </c>
      <c r="B701" s="29">
        <f>Raw_Data!B701</f>
        <v/>
      </c>
      <c r="C701">
        <f>YEAR(B701)</f>
        <v/>
      </c>
      <c r="D701">
        <f>MONTH(B701)</f>
        <v/>
      </c>
      <c r="E701">
        <f>TEXT(B701,"MMM-YYYY")</f>
        <v/>
      </c>
      <c r="F701">
        <f>Raw_Data!C701</f>
        <v/>
      </c>
      <c r="G701">
        <f>Raw_Data!D701</f>
        <v/>
      </c>
      <c r="H701">
        <f>Raw_Data!E701</f>
        <v/>
      </c>
      <c r="I701">
        <f>Raw_Data!F701</f>
        <v/>
      </c>
      <c r="J701">
        <f>Raw_Data!G701</f>
        <v/>
      </c>
      <c r="K701">
        <f>Raw_Data!H701</f>
        <v/>
      </c>
      <c r="L701" s="30">
        <f>Raw_Data!I701</f>
        <v/>
      </c>
      <c r="M701" s="31">
        <f>Raw_Data!J701</f>
        <v/>
      </c>
      <c r="N701" s="17">
        <f>K701*L701</f>
        <v/>
      </c>
      <c r="O701" s="17">
        <f>N701*(1-M701)</f>
        <v/>
      </c>
      <c r="P701" s="17">
        <f>Raw_Data!L701</f>
        <v/>
      </c>
      <c r="Q701" s="17">
        <f>O701-P701</f>
        <v/>
      </c>
      <c r="R701" s="31">
        <f>IF(O701=0,0,Q701/O701)</f>
        <v/>
      </c>
      <c r="S701">
        <f>XLOOKUP(F701,Lookups!$B$7:$B$11,Lookups!$C$7:$C$11,"Unknown")</f>
        <v/>
      </c>
      <c r="T701" s="31">
        <f>XLOOKUP(G701,Lookups!$E$7:$E$11,Lookups!$F$7:$F$11,0)</f>
        <v/>
      </c>
      <c r="U701" s="32">
        <f>R701-T701</f>
        <v/>
      </c>
      <c r="V701">
        <f>XLOOKUP(I701,Lookups!$H$7:$H$10,Lookups!$I$7:$I$10,"")</f>
        <v/>
      </c>
      <c r="W701">
        <f>IF(O701&gt;=50000,"HIGH VALUE","")</f>
        <v/>
      </c>
      <c r="X701">
        <f>IF(Q701&lt;0,"LOSS","")</f>
        <v/>
      </c>
      <c r="Y701">
        <f>IFS(M701&gt;=0.15,"Deep Discount",M701&gt;=0.1,"Moderate",TRUE,"Standard")</f>
        <v/>
      </c>
    </row>
    <row r="702">
      <c r="A702">
        <f>Raw_Data!A702</f>
        <v/>
      </c>
      <c r="B702" s="29">
        <f>Raw_Data!B702</f>
        <v/>
      </c>
      <c r="C702">
        <f>YEAR(B702)</f>
        <v/>
      </c>
      <c r="D702">
        <f>MONTH(B702)</f>
        <v/>
      </c>
      <c r="E702">
        <f>TEXT(B702,"MMM-YYYY")</f>
        <v/>
      </c>
      <c r="F702">
        <f>Raw_Data!C702</f>
        <v/>
      </c>
      <c r="G702">
        <f>Raw_Data!D702</f>
        <v/>
      </c>
      <c r="H702">
        <f>Raw_Data!E702</f>
        <v/>
      </c>
      <c r="I702">
        <f>Raw_Data!F702</f>
        <v/>
      </c>
      <c r="J702">
        <f>Raw_Data!G702</f>
        <v/>
      </c>
      <c r="K702">
        <f>Raw_Data!H702</f>
        <v/>
      </c>
      <c r="L702" s="30">
        <f>Raw_Data!I702</f>
        <v/>
      </c>
      <c r="M702" s="31">
        <f>Raw_Data!J702</f>
        <v/>
      </c>
      <c r="N702" s="17">
        <f>K702*L702</f>
        <v/>
      </c>
      <c r="O702" s="17">
        <f>N702*(1-M702)</f>
        <v/>
      </c>
      <c r="P702" s="17">
        <f>Raw_Data!L702</f>
        <v/>
      </c>
      <c r="Q702" s="17">
        <f>O702-P702</f>
        <v/>
      </c>
      <c r="R702" s="31">
        <f>IF(O702=0,0,Q702/O702)</f>
        <v/>
      </c>
      <c r="S702">
        <f>XLOOKUP(F702,Lookups!$B$7:$B$11,Lookups!$C$7:$C$11,"Unknown")</f>
        <v/>
      </c>
      <c r="T702" s="31">
        <f>XLOOKUP(G702,Lookups!$E$7:$E$11,Lookups!$F$7:$F$11,0)</f>
        <v/>
      </c>
      <c r="U702" s="32">
        <f>R702-T702</f>
        <v/>
      </c>
      <c r="V702">
        <f>XLOOKUP(I702,Lookups!$H$7:$H$10,Lookups!$I$7:$I$10,"")</f>
        <v/>
      </c>
      <c r="W702">
        <f>IF(O702&gt;=50000,"HIGH VALUE","")</f>
        <v/>
      </c>
      <c r="X702">
        <f>IF(Q702&lt;0,"LOSS","")</f>
        <v/>
      </c>
      <c r="Y702">
        <f>IFS(M702&gt;=0.15,"Deep Discount",M702&gt;=0.1,"Moderate",TRUE,"Standard")</f>
        <v/>
      </c>
    </row>
    <row r="703">
      <c r="A703">
        <f>Raw_Data!A703</f>
        <v/>
      </c>
      <c r="B703" s="29">
        <f>Raw_Data!B703</f>
        <v/>
      </c>
      <c r="C703">
        <f>YEAR(B703)</f>
        <v/>
      </c>
      <c r="D703">
        <f>MONTH(B703)</f>
        <v/>
      </c>
      <c r="E703">
        <f>TEXT(B703,"MMM-YYYY")</f>
        <v/>
      </c>
      <c r="F703">
        <f>Raw_Data!C703</f>
        <v/>
      </c>
      <c r="G703">
        <f>Raw_Data!D703</f>
        <v/>
      </c>
      <c r="H703">
        <f>Raw_Data!E703</f>
        <v/>
      </c>
      <c r="I703">
        <f>Raw_Data!F703</f>
        <v/>
      </c>
      <c r="J703">
        <f>Raw_Data!G703</f>
        <v/>
      </c>
      <c r="K703">
        <f>Raw_Data!H703</f>
        <v/>
      </c>
      <c r="L703" s="30">
        <f>Raw_Data!I703</f>
        <v/>
      </c>
      <c r="M703" s="31">
        <f>Raw_Data!J703</f>
        <v/>
      </c>
      <c r="N703" s="17">
        <f>K703*L703</f>
        <v/>
      </c>
      <c r="O703" s="17">
        <f>N703*(1-M703)</f>
        <v/>
      </c>
      <c r="P703" s="17">
        <f>Raw_Data!L703</f>
        <v/>
      </c>
      <c r="Q703" s="17">
        <f>O703-P703</f>
        <v/>
      </c>
      <c r="R703" s="31">
        <f>IF(O703=0,0,Q703/O703)</f>
        <v/>
      </c>
      <c r="S703">
        <f>XLOOKUP(F703,Lookups!$B$7:$B$11,Lookups!$C$7:$C$11,"Unknown")</f>
        <v/>
      </c>
      <c r="T703" s="31">
        <f>XLOOKUP(G703,Lookups!$E$7:$E$11,Lookups!$F$7:$F$11,0)</f>
        <v/>
      </c>
      <c r="U703" s="32">
        <f>R703-T703</f>
        <v/>
      </c>
      <c r="V703">
        <f>XLOOKUP(I703,Lookups!$H$7:$H$10,Lookups!$I$7:$I$10,"")</f>
        <v/>
      </c>
      <c r="W703">
        <f>IF(O703&gt;=50000,"HIGH VALUE","")</f>
        <v/>
      </c>
      <c r="X703">
        <f>IF(Q703&lt;0,"LOSS","")</f>
        <v/>
      </c>
      <c r="Y703">
        <f>IFS(M703&gt;=0.15,"Deep Discount",M703&gt;=0.1,"Moderate",TRUE,"Standard")</f>
        <v/>
      </c>
    </row>
    <row r="704">
      <c r="A704">
        <f>Raw_Data!A704</f>
        <v/>
      </c>
      <c r="B704" s="29">
        <f>Raw_Data!B704</f>
        <v/>
      </c>
      <c r="C704">
        <f>YEAR(B704)</f>
        <v/>
      </c>
      <c r="D704">
        <f>MONTH(B704)</f>
        <v/>
      </c>
      <c r="E704">
        <f>TEXT(B704,"MMM-YYYY")</f>
        <v/>
      </c>
      <c r="F704">
        <f>Raw_Data!C704</f>
        <v/>
      </c>
      <c r="G704">
        <f>Raw_Data!D704</f>
        <v/>
      </c>
      <c r="H704">
        <f>Raw_Data!E704</f>
        <v/>
      </c>
      <c r="I704">
        <f>Raw_Data!F704</f>
        <v/>
      </c>
      <c r="J704">
        <f>Raw_Data!G704</f>
        <v/>
      </c>
      <c r="K704">
        <f>Raw_Data!H704</f>
        <v/>
      </c>
      <c r="L704" s="30">
        <f>Raw_Data!I704</f>
        <v/>
      </c>
      <c r="M704" s="31">
        <f>Raw_Data!J704</f>
        <v/>
      </c>
      <c r="N704" s="17">
        <f>K704*L704</f>
        <v/>
      </c>
      <c r="O704" s="17">
        <f>N704*(1-M704)</f>
        <v/>
      </c>
      <c r="P704" s="17">
        <f>Raw_Data!L704</f>
        <v/>
      </c>
      <c r="Q704" s="17">
        <f>O704-P704</f>
        <v/>
      </c>
      <c r="R704" s="31">
        <f>IF(O704=0,0,Q704/O704)</f>
        <v/>
      </c>
      <c r="S704">
        <f>XLOOKUP(F704,Lookups!$B$7:$B$11,Lookups!$C$7:$C$11,"Unknown")</f>
        <v/>
      </c>
      <c r="T704" s="31">
        <f>XLOOKUP(G704,Lookups!$E$7:$E$11,Lookups!$F$7:$F$11,0)</f>
        <v/>
      </c>
      <c r="U704" s="32">
        <f>R704-T704</f>
        <v/>
      </c>
      <c r="V704">
        <f>XLOOKUP(I704,Lookups!$H$7:$H$10,Lookups!$I$7:$I$10,"")</f>
        <v/>
      </c>
      <c r="W704">
        <f>IF(O704&gt;=50000,"HIGH VALUE","")</f>
        <v/>
      </c>
      <c r="X704">
        <f>IF(Q704&lt;0,"LOSS","")</f>
        <v/>
      </c>
      <c r="Y704">
        <f>IFS(M704&gt;=0.15,"Deep Discount",M704&gt;=0.1,"Moderate",TRUE,"Standard")</f>
        <v/>
      </c>
    </row>
    <row r="705">
      <c r="A705">
        <f>Raw_Data!A705</f>
        <v/>
      </c>
      <c r="B705" s="29">
        <f>Raw_Data!B705</f>
        <v/>
      </c>
      <c r="C705">
        <f>YEAR(B705)</f>
        <v/>
      </c>
      <c r="D705">
        <f>MONTH(B705)</f>
        <v/>
      </c>
      <c r="E705">
        <f>TEXT(B705,"MMM-YYYY")</f>
        <v/>
      </c>
      <c r="F705">
        <f>Raw_Data!C705</f>
        <v/>
      </c>
      <c r="G705">
        <f>Raw_Data!D705</f>
        <v/>
      </c>
      <c r="H705">
        <f>Raw_Data!E705</f>
        <v/>
      </c>
      <c r="I705">
        <f>Raw_Data!F705</f>
        <v/>
      </c>
      <c r="J705">
        <f>Raw_Data!G705</f>
        <v/>
      </c>
      <c r="K705">
        <f>Raw_Data!H705</f>
        <v/>
      </c>
      <c r="L705" s="30">
        <f>Raw_Data!I705</f>
        <v/>
      </c>
      <c r="M705" s="31">
        <f>Raw_Data!J705</f>
        <v/>
      </c>
      <c r="N705" s="17">
        <f>K705*L705</f>
        <v/>
      </c>
      <c r="O705" s="17">
        <f>N705*(1-M705)</f>
        <v/>
      </c>
      <c r="P705" s="17">
        <f>Raw_Data!L705</f>
        <v/>
      </c>
      <c r="Q705" s="17">
        <f>O705-P705</f>
        <v/>
      </c>
      <c r="R705" s="31">
        <f>IF(O705=0,0,Q705/O705)</f>
        <v/>
      </c>
      <c r="S705">
        <f>XLOOKUP(F705,Lookups!$B$7:$B$11,Lookups!$C$7:$C$11,"Unknown")</f>
        <v/>
      </c>
      <c r="T705" s="31">
        <f>XLOOKUP(G705,Lookups!$E$7:$E$11,Lookups!$F$7:$F$11,0)</f>
        <v/>
      </c>
      <c r="U705" s="32">
        <f>R705-T705</f>
        <v/>
      </c>
      <c r="V705">
        <f>XLOOKUP(I705,Lookups!$H$7:$H$10,Lookups!$I$7:$I$10,"")</f>
        <v/>
      </c>
      <c r="W705">
        <f>IF(O705&gt;=50000,"HIGH VALUE","")</f>
        <v/>
      </c>
      <c r="X705">
        <f>IF(Q705&lt;0,"LOSS","")</f>
        <v/>
      </c>
      <c r="Y705">
        <f>IFS(M705&gt;=0.15,"Deep Discount",M705&gt;=0.1,"Moderate",TRUE,"Standard")</f>
        <v/>
      </c>
    </row>
    <row r="706">
      <c r="A706">
        <f>Raw_Data!A706</f>
        <v/>
      </c>
      <c r="B706" s="29">
        <f>Raw_Data!B706</f>
        <v/>
      </c>
      <c r="C706">
        <f>YEAR(B706)</f>
        <v/>
      </c>
      <c r="D706">
        <f>MONTH(B706)</f>
        <v/>
      </c>
      <c r="E706">
        <f>TEXT(B706,"MMM-YYYY")</f>
        <v/>
      </c>
      <c r="F706">
        <f>Raw_Data!C706</f>
        <v/>
      </c>
      <c r="G706">
        <f>Raw_Data!D706</f>
        <v/>
      </c>
      <c r="H706">
        <f>Raw_Data!E706</f>
        <v/>
      </c>
      <c r="I706">
        <f>Raw_Data!F706</f>
        <v/>
      </c>
      <c r="J706">
        <f>Raw_Data!G706</f>
        <v/>
      </c>
      <c r="K706">
        <f>Raw_Data!H706</f>
        <v/>
      </c>
      <c r="L706" s="30">
        <f>Raw_Data!I706</f>
        <v/>
      </c>
      <c r="M706" s="31">
        <f>Raw_Data!J706</f>
        <v/>
      </c>
      <c r="N706" s="17">
        <f>K706*L706</f>
        <v/>
      </c>
      <c r="O706" s="17">
        <f>N706*(1-M706)</f>
        <v/>
      </c>
      <c r="P706" s="17">
        <f>Raw_Data!L706</f>
        <v/>
      </c>
      <c r="Q706" s="17">
        <f>O706-P706</f>
        <v/>
      </c>
      <c r="R706" s="31">
        <f>IF(O706=0,0,Q706/O706)</f>
        <v/>
      </c>
      <c r="S706">
        <f>XLOOKUP(F706,Lookups!$B$7:$B$11,Lookups!$C$7:$C$11,"Unknown")</f>
        <v/>
      </c>
      <c r="T706" s="31">
        <f>XLOOKUP(G706,Lookups!$E$7:$E$11,Lookups!$F$7:$F$11,0)</f>
        <v/>
      </c>
      <c r="U706" s="32">
        <f>R706-T706</f>
        <v/>
      </c>
      <c r="V706">
        <f>XLOOKUP(I706,Lookups!$H$7:$H$10,Lookups!$I$7:$I$10,"")</f>
        <v/>
      </c>
      <c r="W706">
        <f>IF(O706&gt;=50000,"HIGH VALUE","")</f>
        <v/>
      </c>
      <c r="X706">
        <f>IF(Q706&lt;0,"LOSS","")</f>
        <v/>
      </c>
      <c r="Y706">
        <f>IFS(M706&gt;=0.15,"Deep Discount",M706&gt;=0.1,"Moderate",TRUE,"Standard")</f>
        <v/>
      </c>
    </row>
    <row r="707">
      <c r="A707">
        <f>Raw_Data!A707</f>
        <v/>
      </c>
      <c r="B707" s="29">
        <f>Raw_Data!B707</f>
        <v/>
      </c>
      <c r="C707">
        <f>YEAR(B707)</f>
        <v/>
      </c>
      <c r="D707">
        <f>MONTH(B707)</f>
        <v/>
      </c>
      <c r="E707">
        <f>TEXT(B707,"MMM-YYYY")</f>
        <v/>
      </c>
      <c r="F707">
        <f>Raw_Data!C707</f>
        <v/>
      </c>
      <c r="G707">
        <f>Raw_Data!D707</f>
        <v/>
      </c>
      <c r="H707">
        <f>Raw_Data!E707</f>
        <v/>
      </c>
      <c r="I707">
        <f>Raw_Data!F707</f>
        <v/>
      </c>
      <c r="J707">
        <f>Raw_Data!G707</f>
        <v/>
      </c>
      <c r="K707">
        <f>Raw_Data!H707</f>
        <v/>
      </c>
      <c r="L707" s="30">
        <f>Raw_Data!I707</f>
        <v/>
      </c>
      <c r="M707" s="31">
        <f>Raw_Data!J707</f>
        <v/>
      </c>
      <c r="N707" s="17">
        <f>K707*L707</f>
        <v/>
      </c>
      <c r="O707" s="17">
        <f>N707*(1-M707)</f>
        <v/>
      </c>
      <c r="P707" s="17">
        <f>Raw_Data!L707</f>
        <v/>
      </c>
      <c r="Q707" s="17">
        <f>O707-P707</f>
        <v/>
      </c>
      <c r="R707" s="31">
        <f>IF(O707=0,0,Q707/O707)</f>
        <v/>
      </c>
      <c r="S707">
        <f>XLOOKUP(F707,Lookups!$B$7:$B$11,Lookups!$C$7:$C$11,"Unknown")</f>
        <v/>
      </c>
      <c r="T707" s="31">
        <f>XLOOKUP(G707,Lookups!$E$7:$E$11,Lookups!$F$7:$F$11,0)</f>
        <v/>
      </c>
      <c r="U707" s="32">
        <f>R707-T707</f>
        <v/>
      </c>
      <c r="V707">
        <f>XLOOKUP(I707,Lookups!$H$7:$H$10,Lookups!$I$7:$I$10,"")</f>
        <v/>
      </c>
      <c r="W707">
        <f>IF(O707&gt;=50000,"HIGH VALUE","")</f>
        <v/>
      </c>
      <c r="X707">
        <f>IF(Q707&lt;0,"LOSS","")</f>
        <v/>
      </c>
      <c r="Y707">
        <f>IFS(M707&gt;=0.15,"Deep Discount",M707&gt;=0.1,"Moderate",TRUE,"Standard")</f>
        <v/>
      </c>
    </row>
    <row r="708">
      <c r="A708">
        <f>Raw_Data!A708</f>
        <v/>
      </c>
      <c r="B708" s="29">
        <f>Raw_Data!B708</f>
        <v/>
      </c>
      <c r="C708">
        <f>YEAR(B708)</f>
        <v/>
      </c>
      <c r="D708">
        <f>MONTH(B708)</f>
        <v/>
      </c>
      <c r="E708">
        <f>TEXT(B708,"MMM-YYYY")</f>
        <v/>
      </c>
      <c r="F708">
        <f>Raw_Data!C708</f>
        <v/>
      </c>
      <c r="G708">
        <f>Raw_Data!D708</f>
        <v/>
      </c>
      <c r="H708">
        <f>Raw_Data!E708</f>
        <v/>
      </c>
      <c r="I708">
        <f>Raw_Data!F708</f>
        <v/>
      </c>
      <c r="J708">
        <f>Raw_Data!G708</f>
        <v/>
      </c>
      <c r="K708">
        <f>Raw_Data!H708</f>
        <v/>
      </c>
      <c r="L708" s="30">
        <f>Raw_Data!I708</f>
        <v/>
      </c>
      <c r="M708" s="31">
        <f>Raw_Data!J708</f>
        <v/>
      </c>
      <c r="N708" s="17">
        <f>K708*L708</f>
        <v/>
      </c>
      <c r="O708" s="17">
        <f>N708*(1-M708)</f>
        <v/>
      </c>
      <c r="P708" s="17">
        <f>Raw_Data!L708</f>
        <v/>
      </c>
      <c r="Q708" s="17">
        <f>O708-P708</f>
        <v/>
      </c>
      <c r="R708" s="31">
        <f>IF(O708=0,0,Q708/O708)</f>
        <v/>
      </c>
      <c r="S708">
        <f>XLOOKUP(F708,Lookups!$B$7:$B$11,Lookups!$C$7:$C$11,"Unknown")</f>
        <v/>
      </c>
      <c r="T708" s="31">
        <f>XLOOKUP(G708,Lookups!$E$7:$E$11,Lookups!$F$7:$F$11,0)</f>
        <v/>
      </c>
      <c r="U708" s="32">
        <f>R708-T708</f>
        <v/>
      </c>
      <c r="V708">
        <f>XLOOKUP(I708,Lookups!$H$7:$H$10,Lookups!$I$7:$I$10,"")</f>
        <v/>
      </c>
      <c r="W708">
        <f>IF(O708&gt;=50000,"HIGH VALUE","")</f>
        <v/>
      </c>
      <c r="X708">
        <f>IF(Q708&lt;0,"LOSS","")</f>
        <v/>
      </c>
      <c r="Y708">
        <f>IFS(M708&gt;=0.15,"Deep Discount",M708&gt;=0.1,"Moderate",TRUE,"Standard")</f>
        <v/>
      </c>
    </row>
    <row r="709">
      <c r="A709">
        <f>Raw_Data!A709</f>
        <v/>
      </c>
      <c r="B709" s="29">
        <f>Raw_Data!B709</f>
        <v/>
      </c>
      <c r="C709">
        <f>YEAR(B709)</f>
        <v/>
      </c>
      <c r="D709">
        <f>MONTH(B709)</f>
        <v/>
      </c>
      <c r="E709">
        <f>TEXT(B709,"MMM-YYYY")</f>
        <v/>
      </c>
      <c r="F709">
        <f>Raw_Data!C709</f>
        <v/>
      </c>
      <c r="G709">
        <f>Raw_Data!D709</f>
        <v/>
      </c>
      <c r="H709">
        <f>Raw_Data!E709</f>
        <v/>
      </c>
      <c r="I709">
        <f>Raw_Data!F709</f>
        <v/>
      </c>
      <c r="J709">
        <f>Raw_Data!G709</f>
        <v/>
      </c>
      <c r="K709">
        <f>Raw_Data!H709</f>
        <v/>
      </c>
      <c r="L709" s="30">
        <f>Raw_Data!I709</f>
        <v/>
      </c>
      <c r="M709" s="31">
        <f>Raw_Data!J709</f>
        <v/>
      </c>
      <c r="N709" s="17">
        <f>K709*L709</f>
        <v/>
      </c>
      <c r="O709" s="17">
        <f>N709*(1-M709)</f>
        <v/>
      </c>
      <c r="P709" s="17">
        <f>Raw_Data!L709</f>
        <v/>
      </c>
      <c r="Q709" s="17">
        <f>O709-P709</f>
        <v/>
      </c>
      <c r="R709" s="31">
        <f>IF(O709=0,0,Q709/O709)</f>
        <v/>
      </c>
      <c r="S709">
        <f>XLOOKUP(F709,Lookups!$B$7:$B$11,Lookups!$C$7:$C$11,"Unknown")</f>
        <v/>
      </c>
      <c r="T709" s="31">
        <f>XLOOKUP(G709,Lookups!$E$7:$E$11,Lookups!$F$7:$F$11,0)</f>
        <v/>
      </c>
      <c r="U709" s="32">
        <f>R709-T709</f>
        <v/>
      </c>
      <c r="V709">
        <f>XLOOKUP(I709,Lookups!$H$7:$H$10,Lookups!$I$7:$I$10,"")</f>
        <v/>
      </c>
      <c r="W709">
        <f>IF(O709&gt;=50000,"HIGH VALUE","")</f>
        <v/>
      </c>
      <c r="X709">
        <f>IF(Q709&lt;0,"LOSS","")</f>
        <v/>
      </c>
      <c r="Y709">
        <f>IFS(M709&gt;=0.15,"Deep Discount",M709&gt;=0.1,"Moderate",TRUE,"Standard")</f>
        <v/>
      </c>
    </row>
    <row r="710">
      <c r="A710">
        <f>Raw_Data!A710</f>
        <v/>
      </c>
      <c r="B710" s="29">
        <f>Raw_Data!B710</f>
        <v/>
      </c>
      <c r="C710">
        <f>YEAR(B710)</f>
        <v/>
      </c>
      <c r="D710">
        <f>MONTH(B710)</f>
        <v/>
      </c>
      <c r="E710">
        <f>TEXT(B710,"MMM-YYYY")</f>
        <v/>
      </c>
      <c r="F710">
        <f>Raw_Data!C710</f>
        <v/>
      </c>
      <c r="G710">
        <f>Raw_Data!D710</f>
        <v/>
      </c>
      <c r="H710">
        <f>Raw_Data!E710</f>
        <v/>
      </c>
      <c r="I710">
        <f>Raw_Data!F710</f>
        <v/>
      </c>
      <c r="J710">
        <f>Raw_Data!G710</f>
        <v/>
      </c>
      <c r="K710">
        <f>Raw_Data!H710</f>
        <v/>
      </c>
      <c r="L710" s="30">
        <f>Raw_Data!I710</f>
        <v/>
      </c>
      <c r="M710" s="31">
        <f>Raw_Data!J710</f>
        <v/>
      </c>
      <c r="N710" s="17">
        <f>K710*L710</f>
        <v/>
      </c>
      <c r="O710" s="17">
        <f>N710*(1-M710)</f>
        <v/>
      </c>
      <c r="P710" s="17">
        <f>Raw_Data!L710</f>
        <v/>
      </c>
      <c r="Q710" s="17">
        <f>O710-P710</f>
        <v/>
      </c>
      <c r="R710" s="31">
        <f>IF(O710=0,0,Q710/O710)</f>
        <v/>
      </c>
      <c r="S710">
        <f>XLOOKUP(F710,Lookups!$B$7:$B$11,Lookups!$C$7:$C$11,"Unknown")</f>
        <v/>
      </c>
      <c r="T710" s="31">
        <f>XLOOKUP(G710,Lookups!$E$7:$E$11,Lookups!$F$7:$F$11,0)</f>
        <v/>
      </c>
      <c r="U710" s="32">
        <f>R710-T710</f>
        <v/>
      </c>
      <c r="V710">
        <f>XLOOKUP(I710,Lookups!$H$7:$H$10,Lookups!$I$7:$I$10,"")</f>
        <v/>
      </c>
      <c r="W710">
        <f>IF(O710&gt;=50000,"HIGH VALUE","")</f>
        <v/>
      </c>
      <c r="X710">
        <f>IF(Q710&lt;0,"LOSS","")</f>
        <v/>
      </c>
      <c r="Y710">
        <f>IFS(M710&gt;=0.15,"Deep Discount",M710&gt;=0.1,"Moderate",TRUE,"Standard")</f>
        <v/>
      </c>
    </row>
    <row r="711">
      <c r="A711">
        <f>Raw_Data!A711</f>
        <v/>
      </c>
      <c r="B711" s="29">
        <f>Raw_Data!B711</f>
        <v/>
      </c>
      <c r="C711">
        <f>YEAR(B711)</f>
        <v/>
      </c>
      <c r="D711">
        <f>MONTH(B711)</f>
        <v/>
      </c>
      <c r="E711">
        <f>TEXT(B711,"MMM-YYYY")</f>
        <v/>
      </c>
      <c r="F711">
        <f>Raw_Data!C711</f>
        <v/>
      </c>
      <c r="G711">
        <f>Raw_Data!D711</f>
        <v/>
      </c>
      <c r="H711">
        <f>Raw_Data!E711</f>
        <v/>
      </c>
      <c r="I711">
        <f>Raw_Data!F711</f>
        <v/>
      </c>
      <c r="J711">
        <f>Raw_Data!G711</f>
        <v/>
      </c>
      <c r="K711">
        <f>Raw_Data!H711</f>
        <v/>
      </c>
      <c r="L711" s="30">
        <f>Raw_Data!I711</f>
        <v/>
      </c>
      <c r="M711" s="31">
        <f>Raw_Data!J711</f>
        <v/>
      </c>
      <c r="N711" s="17">
        <f>K711*L711</f>
        <v/>
      </c>
      <c r="O711" s="17">
        <f>N711*(1-M711)</f>
        <v/>
      </c>
      <c r="P711" s="17">
        <f>Raw_Data!L711</f>
        <v/>
      </c>
      <c r="Q711" s="17">
        <f>O711-P711</f>
        <v/>
      </c>
      <c r="R711" s="31">
        <f>IF(O711=0,0,Q711/O711)</f>
        <v/>
      </c>
      <c r="S711">
        <f>XLOOKUP(F711,Lookups!$B$7:$B$11,Lookups!$C$7:$C$11,"Unknown")</f>
        <v/>
      </c>
      <c r="T711" s="31">
        <f>XLOOKUP(G711,Lookups!$E$7:$E$11,Lookups!$F$7:$F$11,0)</f>
        <v/>
      </c>
      <c r="U711" s="32">
        <f>R711-T711</f>
        <v/>
      </c>
      <c r="V711">
        <f>XLOOKUP(I711,Lookups!$H$7:$H$10,Lookups!$I$7:$I$10,"")</f>
        <v/>
      </c>
      <c r="W711">
        <f>IF(O711&gt;=50000,"HIGH VALUE","")</f>
        <v/>
      </c>
      <c r="X711">
        <f>IF(Q711&lt;0,"LOSS","")</f>
        <v/>
      </c>
      <c r="Y711">
        <f>IFS(M711&gt;=0.15,"Deep Discount",M711&gt;=0.1,"Moderate",TRUE,"Standard")</f>
        <v/>
      </c>
    </row>
    <row r="712">
      <c r="A712">
        <f>Raw_Data!A712</f>
        <v/>
      </c>
      <c r="B712" s="29">
        <f>Raw_Data!B712</f>
        <v/>
      </c>
      <c r="C712">
        <f>YEAR(B712)</f>
        <v/>
      </c>
      <c r="D712">
        <f>MONTH(B712)</f>
        <v/>
      </c>
      <c r="E712">
        <f>TEXT(B712,"MMM-YYYY")</f>
        <v/>
      </c>
      <c r="F712">
        <f>Raw_Data!C712</f>
        <v/>
      </c>
      <c r="G712">
        <f>Raw_Data!D712</f>
        <v/>
      </c>
      <c r="H712">
        <f>Raw_Data!E712</f>
        <v/>
      </c>
      <c r="I712">
        <f>Raw_Data!F712</f>
        <v/>
      </c>
      <c r="J712">
        <f>Raw_Data!G712</f>
        <v/>
      </c>
      <c r="K712">
        <f>Raw_Data!H712</f>
        <v/>
      </c>
      <c r="L712" s="30">
        <f>Raw_Data!I712</f>
        <v/>
      </c>
      <c r="M712" s="31">
        <f>Raw_Data!J712</f>
        <v/>
      </c>
      <c r="N712" s="17">
        <f>K712*L712</f>
        <v/>
      </c>
      <c r="O712" s="17">
        <f>N712*(1-M712)</f>
        <v/>
      </c>
      <c r="P712" s="17">
        <f>Raw_Data!L712</f>
        <v/>
      </c>
      <c r="Q712" s="17">
        <f>O712-P712</f>
        <v/>
      </c>
      <c r="R712" s="31">
        <f>IF(O712=0,0,Q712/O712)</f>
        <v/>
      </c>
      <c r="S712">
        <f>XLOOKUP(F712,Lookups!$B$7:$B$11,Lookups!$C$7:$C$11,"Unknown")</f>
        <v/>
      </c>
      <c r="T712" s="31">
        <f>XLOOKUP(G712,Lookups!$E$7:$E$11,Lookups!$F$7:$F$11,0)</f>
        <v/>
      </c>
      <c r="U712" s="32">
        <f>R712-T712</f>
        <v/>
      </c>
      <c r="V712">
        <f>XLOOKUP(I712,Lookups!$H$7:$H$10,Lookups!$I$7:$I$10,"")</f>
        <v/>
      </c>
      <c r="W712">
        <f>IF(O712&gt;=50000,"HIGH VALUE","")</f>
        <v/>
      </c>
      <c r="X712">
        <f>IF(Q712&lt;0,"LOSS","")</f>
        <v/>
      </c>
      <c r="Y712">
        <f>IFS(M712&gt;=0.15,"Deep Discount",M712&gt;=0.1,"Moderate",TRUE,"Standard")</f>
        <v/>
      </c>
    </row>
    <row r="713">
      <c r="A713">
        <f>Raw_Data!A713</f>
        <v/>
      </c>
      <c r="B713" s="29">
        <f>Raw_Data!B713</f>
        <v/>
      </c>
      <c r="C713">
        <f>YEAR(B713)</f>
        <v/>
      </c>
      <c r="D713">
        <f>MONTH(B713)</f>
        <v/>
      </c>
      <c r="E713">
        <f>TEXT(B713,"MMM-YYYY")</f>
        <v/>
      </c>
      <c r="F713">
        <f>Raw_Data!C713</f>
        <v/>
      </c>
      <c r="G713">
        <f>Raw_Data!D713</f>
        <v/>
      </c>
      <c r="H713">
        <f>Raw_Data!E713</f>
        <v/>
      </c>
      <c r="I713">
        <f>Raw_Data!F713</f>
        <v/>
      </c>
      <c r="J713">
        <f>Raw_Data!G713</f>
        <v/>
      </c>
      <c r="K713">
        <f>Raw_Data!H713</f>
        <v/>
      </c>
      <c r="L713" s="30">
        <f>Raw_Data!I713</f>
        <v/>
      </c>
      <c r="M713" s="31">
        <f>Raw_Data!J713</f>
        <v/>
      </c>
      <c r="N713" s="17">
        <f>K713*L713</f>
        <v/>
      </c>
      <c r="O713" s="17">
        <f>N713*(1-M713)</f>
        <v/>
      </c>
      <c r="P713" s="17">
        <f>Raw_Data!L713</f>
        <v/>
      </c>
      <c r="Q713" s="17">
        <f>O713-P713</f>
        <v/>
      </c>
      <c r="R713" s="31">
        <f>IF(O713=0,0,Q713/O713)</f>
        <v/>
      </c>
      <c r="S713">
        <f>XLOOKUP(F713,Lookups!$B$7:$B$11,Lookups!$C$7:$C$11,"Unknown")</f>
        <v/>
      </c>
      <c r="T713" s="31">
        <f>XLOOKUP(G713,Lookups!$E$7:$E$11,Lookups!$F$7:$F$11,0)</f>
        <v/>
      </c>
      <c r="U713" s="32">
        <f>R713-T713</f>
        <v/>
      </c>
      <c r="V713">
        <f>XLOOKUP(I713,Lookups!$H$7:$H$10,Lookups!$I$7:$I$10,"")</f>
        <v/>
      </c>
      <c r="W713">
        <f>IF(O713&gt;=50000,"HIGH VALUE","")</f>
        <v/>
      </c>
      <c r="X713">
        <f>IF(Q713&lt;0,"LOSS","")</f>
        <v/>
      </c>
      <c r="Y713">
        <f>IFS(M713&gt;=0.15,"Deep Discount",M713&gt;=0.1,"Moderate",TRUE,"Standard")</f>
        <v/>
      </c>
    </row>
    <row r="714">
      <c r="A714">
        <f>Raw_Data!A714</f>
        <v/>
      </c>
      <c r="B714" s="29">
        <f>Raw_Data!B714</f>
        <v/>
      </c>
      <c r="C714">
        <f>YEAR(B714)</f>
        <v/>
      </c>
      <c r="D714">
        <f>MONTH(B714)</f>
        <v/>
      </c>
      <c r="E714">
        <f>TEXT(B714,"MMM-YYYY")</f>
        <v/>
      </c>
      <c r="F714">
        <f>Raw_Data!C714</f>
        <v/>
      </c>
      <c r="G714">
        <f>Raw_Data!D714</f>
        <v/>
      </c>
      <c r="H714">
        <f>Raw_Data!E714</f>
        <v/>
      </c>
      <c r="I714">
        <f>Raw_Data!F714</f>
        <v/>
      </c>
      <c r="J714">
        <f>Raw_Data!G714</f>
        <v/>
      </c>
      <c r="K714">
        <f>Raw_Data!H714</f>
        <v/>
      </c>
      <c r="L714" s="30">
        <f>Raw_Data!I714</f>
        <v/>
      </c>
      <c r="M714" s="31">
        <f>Raw_Data!J714</f>
        <v/>
      </c>
      <c r="N714" s="17">
        <f>K714*L714</f>
        <v/>
      </c>
      <c r="O714" s="17">
        <f>N714*(1-M714)</f>
        <v/>
      </c>
      <c r="P714" s="17">
        <f>Raw_Data!L714</f>
        <v/>
      </c>
      <c r="Q714" s="17">
        <f>O714-P714</f>
        <v/>
      </c>
      <c r="R714" s="31">
        <f>IF(O714=0,0,Q714/O714)</f>
        <v/>
      </c>
      <c r="S714">
        <f>XLOOKUP(F714,Lookups!$B$7:$B$11,Lookups!$C$7:$C$11,"Unknown")</f>
        <v/>
      </c>
      <c r="T714" s="31">
        <f>XLOOKUP(G714,Lookups!$E$7:$E$11,Lookups!$F$7:$F$11,0)</f>
        <v/>
      </c>
      <c r="U714" s="32">
        <f>R714-T714</f>
        <v/>
      </c>
      <c r="V714">
        <f>XLOOKUP(I714,Lookups!$H$7:$H$10,Lookups!$I$7:$I$10,"")</f>
        <v/>
      </c>
      <c r="W714">
        <f>IF(O714&gt;=50000,"HIGH VALUE","")</f>
        <v/>
      </c>
      <c r="X714">
        <f>IF(Q714&lt;0,"LOSS","")</f>
        <v/>
      </c>
      <c r="Y714">
        <f>IFS(M714&gt;=0.15,"Deep Discount",M714&gt;=0.1,"Moderate",TRUE,"Standard")</f>
        <v/>
      </c>
    </row>
    <row r="715">
      <c r="A715">
        <f>Raw_Data!A715</f>
        <v/>
      </c>
      <c r="B715" s="29">
        <f>Raw_Data!B715</f>
        <v/>
      </c>
      <c r="C715">
        <f>YEAR(B715)</f>
        <v/>
      </c>
      <c r="D715">
        <f>MONTH(B715)</f>
        <v/>
      </c>
      <c r="E715">
        <f>TEXT(B715,"MMM-YYYY")</f>
        <v/>
      </c>
      <c r="F715">
        <f>Raw_Data!C715</f>
        <v/>
      </c>
      <c r="G715">
        <f>Raw_Data!D715</f>
        <v/>
      </c>
      <c r="H715">
        <f>Raw_Data!E715</f>
        <v/>
      </c>
      <c r="I715">
        <f>Raw_Data!F715</f>
        <v/>
      </c>
      <c r="J715">
        <f>Raw_Data!G715</f>
        <v/>
      </c>
      <c r="K715">
        <f>Raw_Data!H715</f>
        <v/>
      </c>
      <c r="L715" s="30">
        <f>Raw_Data!I715</f>
        <v/>
      </c>
      <c r="M715" s="31">
        <f>Raw_Data!J715</f>
        <v/>
      </c>
      <c r="N715" s="17">
        <f>K715*L715</f>
        <v/>
      </c>
      <c r="O715" s="17">
        <f>N715*(1-M715)</f>
        <v/>
      </c>
      <c r="P715" s="17">
        <f>Raw_Data!L715</f>
        <v/>
      </c>
      <c r="Q715" s="17">
        <f>O715-P715</f>
        <v/>
      </c>
      <c r="R715" s="31">
        <f>IF(O715=0,0,Q715/O715)</f>
        <v/>
      </c>
      <c r="S715">
        <f>XLOOKUP(F715,Lookups!$B$7:$B$11,Lookups!$C$7:$C$11,"Unknown")</f>
        <v/>
      </c>
      <c r="T715" s="31">
        <f>XLOOKUP(G715,Lookups!$E$7:$E$11,Lookups!$F$7:$F$11,0)</f>
        <v/>
      </c>
      <c r="U715" s="32">
        <f>R715-T715</f>
        <v/>
      </c>
      <c r="V715">
        <f>XLOOKUP(I715,Lookups!$H$7:$H$10,Lookups!$I$7:$I$10,"")</f>
        <v/>
      </c>
      <c r="W715">
        <f>IF(O715&gt;=50000,"HIGH VALUE","")</f>
        <v/>
      </c>
      <c r="X715">
        <f>IF(Q715&lt;0,"LOSS","")</f>
        <v/>
      </c>
      <c r="Y715">
        <f>IFS(M715&gt;=0.15,"Deep Discount",M715&gt;=0.1,"Moderate",TRUE,"Standard")</f>
        <v/>
      </c>
    </row>
    <row r="716">
      <c r="A716">
        <f>Raw_Data!A716</f>
        <v/>
      </c>
      <c r="B716" s="29">
        <f>Raw_Data!B716</f>
        <v/>
      </c>
      <c r="C716">
        <f>YEAR(B716)</f>
        <v/>
      </c>
      <c r="D716">
        <f>MONTH(B716)</f>
        <v/>
      </c>
      <c r="E716">
        <f>TEXT(B716,"MMM-YYYY")</f>
        <v/>
      </c>
      <c r="F716">
        <f>Raw_Data!C716</f>
        <v/>
      </c>
      <c r="G716">
        <f>Raw_Data!D716</f>
        <v/>
      </c>
      <c r="H716">
        <f>Raw_Data!E716</f>
        <v/>
      </c>
      <c r="I716">
        <f>Raw_Data!F716</f>
        <v/>
      </c>
      <c r="J716">
        <f>Raw_Data!G716</f>
        <v/>
      </c>
      <c r="K716">
        <f>Raw_Data!H716</f>
        <v/>
      </c>
      <c r="L716" s="30">
        <f>Raw_Data!I716</f>
        <v/>
      </c>
      <c r="M716" s="31">
        <f>Raw_Data!J716</f>
        <v/>
      </c>
      <c r="N716" s="17">
        <f>K716*L716</f>
        <v/>
      </c>
      <c r="O716" s="17">
        <f>N716*(1-M716)</f>
        <v/>
      </c>
      <c r="P716" s="17">
        <f>Raw_Data!L716</f>
        <v/>
      </c>
      <c r="Q716" s="17">
        <f>O716-P716</f>
        <v/>
      </c>
      <c r="R716" s="31">
        <f>IF(O716=0,0,Q716/O716)</f>
        <v/>
      </c>
      <c r="S716">
        <f>XLOOKUP(F716,Lookups!$B$7:$B$11,Lookups!$C$7:$C$11,"Unknown")</f>
        <v/>
      </c>
      <c r="T716" s="31">
        <f>XLOOKUP(G716,Lookups!$E$7:$E$11,Lookups!$F$7:$F$11,0)</f>
        <v/>
      </c>
      <c r="U716" s="32">
        <f>R716-T716</f>
        <v/>
      </c>
      <c r="V716">
        <f>XLOOKUP(I716,Lookups!$H$7:$H$10,Lookups!$I$7:$I$10,"")</f>
        <v/>
      </c>
      <c r="W716">
        <f>IF(O716&gt;=50000,"HIGH VALUE","")</f>
        <v/>
      </c>
      <c r="X716">
        <f>IF(Q716&lt;0,"LOSS","")</f>
        <v/>
      </c>
      <c r="Y716">
        <f>IFS(M716&gt;=0.15,"Deep Discount",M716&gt;=0.1,"Moderate",TRUE,"Standard")</f>
        <v/>
      </c>
    </row>
    <row r="717">
      <c r="A717">
        <f>Raw_Data!A717</f>
        <v/>
      </c>
      <c r="B717" s="29">
        <f>Raw_Data!B717</f>
        <v/>
      </c>
      <c r="C717">
        <f>YEAR(B717)</f>
        <v/>
      </c>
      <c r="D717">
        <f>MONTH(B717)</f>
        <v/>
      </c>
      <c r="E717">
        <f>TEXT(B717,"MMM-YYYY")</f>
        <v/>
      </c>
      <c r="F717">
        <f>Raw_Data!C717</f>
        <v/>
      </c>
      <c r="G717">
        <f>Raw_Data!D717</f>
        <v/>
      </c>
      <c r="H717">
        <f>Raw_Data!E717</f>
        <v/>
      </c>
      <c r="I717">
        <f>Raw_Data!F717</f>
        <v/>
      </c>
      <c r="J717">
        <f>Raw_Data!G717</f>
        <v/>
      </c>
      <c r="K717">
        <f>Raw_Data!H717</f>
        <v/>
      </c>
      <c r="L717" s="30">
        <f>Raw_Data!I717</f>
        <v/>
      </c>
      <c r="M717" s="31">
        <f>Raw_Data!J717</f>
        <v/>
      </c>
      <c r="N717" s="17">
        <f>K717*L717</f>
        <v/>
      </c>
      <c r="O717" s="17">
        <f>N717*(1-M717)</f>
        <v/>
      </c>
      <c r="P717" s="17">
        <f>Raw_Data!L717</f>
        <v/>
      </c>
      <c r="Q717" s="17">
        <f>O717-P717</f>
        <v/>
      </c>
      <c r="R717" s="31">
        <f>IF(O717=0,0,Q717/O717)</f>
        <v/>
      </c>
      <c r="S717">
        <f>XLOOKUP(F717,Lookups!$B$7:$B$11,Lookups!$C$7:$C$11,"Unknown")</f>
        <v/>
      </c>
      <c r="T717" s="31">
        <f>XLOOKUP(G717,Lookups!$E$7:$E$11,Lookups!$F$7:$F$11,0)</f>
        <v/>
      </c>
      <c r="U717" s="32">
        <f>R717-T717</f>
        <v/>
      </c>
      <c r="V717">
        <f>XLOOKUP(I717,Lookups!$H$7:$H$10,Lookups!$I$7:$I$10,"")</f>
        <v/>
      </c>
      <c r="W717">
        <f>IF(O717&gt;=50000,"HIGH VALUE","")</f>
        <v/>
      </c>
      <c r="X717">
        <f>IF(Q717&lt;0,"LOSS","")</f>
        <v/>
      </c>
      <c r="Y717">
        <f>IFS(M717&gt;=0.15,"Deep Discount",M717&gt;=0.1,"Moderate",TRUE,"Standard")</f>
        <v/>
      </c>
    </row>
    <row r="718">
      <c r="A718">
        <f>Raw_Data!A718</f>
        <v/>
      </c>
      <c r="B718" s="29">
        <f>Raw_Data!B718</f>
        <v/>
      </c>
      <c r="C718">
        <f>YEAR(B718)</f>
        <v/>
      </c>
      <c r="D718">
        <f>MONTH(B718)</f>
        <v/>
      </c>
      <c r="E718">
        <f>TEXT(B718,"MMM-YYYY")</f>
        <v/>
      </c>
      <c r="F718">
        <f>Raw_Data!C718</f>
        <v/>
      </c>
      <c r="G718">
        <f>Raw_Data!D718</f>
        <v/>
      </c>
      <c r="H718">
        <f>Raw_Data!E718</f>
        <v/>
      </c>
      <c r="I718">
        <f>Raw_Data!F718</f>
        <v/>
      </c>
      <c r="J718">
        <f>Raw_Data!G718</f>
        <v/>
      </c>
      <c r="K718">
        <f>Raw_Data!H718</f>
        <v/>
      </c>
      <c r="L718" s="30">
        <f>Raw_Data!I718</f>
        <v/>
      </c>
      <c r="M718" s="31">
        <f>Raw_Data!J718</f>
        <v/>
      </c>
      <c r="N718" s="17">
        <f>K718*L718</f>
        <v/>
      </c>
      <c r="O718" s="17">
        <f>N718*(1-M718)</f>
        <v/>
      </c>
      <c r="P718" s="17">
        <f>Raw_Data!L718</f>
        <v/>
      </c>
      <c r="Q718" s="17">
        <f>O718-P718</f>
        <v/>
      </c>
      <c r="R718" s="31">
        <f>IF(O718=0,0,Q718/O718)</f>
        <v/>
      </c>
      <c r="S718">
        <f>XLOOKUP(F718,Lookups!$B$7:$B$11,Lookups!$C$7:$C$11,"Unknown")</f>
        <v/>
      </c>
      <c r="T718" s="31">
        <f>XLOOKUP(G718,Lookups!$E$7:$E$11,Lookups!$F$7:$F$11,0)</f>
        <v/>
      </c>
      <c r="U718" s="32">
        <f>R718-T718</f>
        <v/>
      </c>
      <c r="V718">
        <f>XLOOKUP(I718,Lookups!$H$7:$H$10,Lookups!$I$7:$I$10,"")</f>
        <v/>
      </c>
      <c r="W718">
        <f>IF(O718&gt;=50000,"HIGH VALUE","")</f>
        <v/>
      </c>
      <c r="X718">
        <f>IF(Q718&lt;0,"LOSS","")</f>
        <v/>
      </c>
      <c r="Y718">
        <f>IFS(M718&gt;=0.15,"Deep Discount",M718&gt;=0.1,"Moderate",TRUE,"Standard")</f>
        <v/>
      </c>
    </row>
    <row r="719">
      <c r="A719">
        <f>Raw_Data!A719</f>
        <v/>
      </c>
      <c r="B719" s="29">
        <f>Raw_Data!B719</f>
        <v/>
      </c>
      <c r="C719">
        <f>YEAR(B719)</f>
        <v/>
      </c>
      <c r="D719">
        <f>MONTH(B719)</f>
        <v/>
      </c>
      <c r="E719">
        <f>TEXT(B719,"MMM-YYYY")</f>
        <v/>
      </c>
      <c r="F719">
        <f>Raw_Data!C719</f>
        <v/>
      </c>
      <c r="G719">
        <f>Raw_Data!D719</f>
        <v/>
      </c>
      <c r="H719">
        <f>Raw_Data!E719</f>
        <v/>
      </c>
      <c r="I719">
        <f>Raw_Data!F719</f>
        <v/>
      </c>
      <c r="J719">
        <f>Raw_Data!G719</f>
        <v/>
      </c>
      <c r="K719">
        <f>Raw_Data!H719</f>
        <v/>
      </c>
      <c r="L719" s="30">
        <f>Raw_Data!I719</f>
        <v/>
      </c>
      <c r="M719" s="31">
        <f>Raw_Data!J719</f>
        <v/>
      </c>
      <c r="N719" s="17">
        <f>K719*L719</f>
        <v/>
      </c>
      <c r="O719" s="17">
        <f>N719*(1-M719)</f>
        <v/>
      </c>
      <c r="P719" s="17">
        <f>Raw_Data!L719</f>
        <v/>
      </c>
      <c r="Q719" s="17">
        <f>O719-P719</f>
        <v/>
      </c>
      <c r="R719" s="31">
        <f>IF(O719=0,0,Q719/O719)</f>
        <v/>
      </c>
      <c r="S719">
        <f>XLOOKUP(F719,Lookups!$B$7:$B$11,Lookups!$C$7:$C$11,"Unknown")</f>
        <v/>
      </c>
      <c r="T719" s="31">
        <f>XLOOKUP(G719,Lookups!$E$7:$E$11,Lookups!$F$7:$F$11,0)</f>
        <v/>
      </c>
      <c r="U719" s="32">
        <f>R719-T719</f>
        <v/>
      </c>
      <c r="V719">
        <f>XLOOKUP(I719,Lookups!$H$7:$H$10,Lookups!$I$7:$I$10,"")</f>
        <v/>
      </c>
      <c r="W719">
        <f>IF(O719&gt;=50000,"HIGH VALUE","")</f>
        <v/>
      </c>
      <c r="X719">
        <f>IF(Q719&lt;0,"LOSS","")</f>
        <v/>
      </c>
      <c r="Y719">
        <f>IFS(M719&gt;=0.15,"Deep Discount",M719&gt;=0.1,"Moderate",TRUE,"Standard")</f>
        <v/>
      </c>
    </row>
    <row r="720">
      <c r="A720">
        <f>Raw_Data!A720</f>
        <v/>
      </c>
      <c r="B720" s="29">
        <f>Raw_Data!B720</f>
        <v/>
      </c>
      <c r="C720">
        <f>YEAR(B720)</f>
        <v/>
      </c>
      <c r="D720">
        <f>MONTH(B720)</f>
        <v/>
      </c>
      <c r="E720">
        <f>TEXT(B720,"MMM-YYYY")</f>
        <v/>
      </c>
      <c r="F720">
        <f>Raw_Data!C720</f>
        <v/>
      </c>
      <c r="G720">
        <f>Raw_Data!D720</f>
        <v/>
      </c>
      <c r="H720">
        <f>Raw_Data!E720</f>
        <v/>
      </c>
      <c r="I720">
        <f>Raw_Data!F720</f>
        <v/>
      </c>
      <c r="J720">
        <f>Raw_Data!G720</f>
        <v/>
      </c>
      <c r="K720">
        <f>Raw_Data!H720</f>
        <v/>
      </c>
      <c r="L720" s="30">
        <f>Raw_Data!I720</f>
        <v/>
      </c>
      <c r="M720" s="31">
        <f>Raw_Data!J720</f>
        <v/>
      </c>
      <c r="N720" s="17">
        <f>K720*L720</f>
        <v/>
      </c>
      <c r="O720" s="17">
        <f>N720*(1-M720)</f>
        <v/>
      </c>
      <c r="P720" s="17">
        <f>Raw_Data!L720</f>
        <v/>
      </c>
      <c r="Q720" s="17">
        <f>O720-P720</f>
        <v/>
      </c>
      <c r="R720" s="31">
        <f>IF(O720=0,0,Q720/O720)</f>
        <v/>
      </c>
      <c r="S720">
        <f>XLOOKUP(F720,Lookups!$B$7:$B$11,Lookups!$C$7:$C$11,"Unknown")</f>
        <v/>
      </c>
      <c r="T720" s="31">
        <f>XLOOKUP(G720,Lookups!$E$7:$E$11,Lookups!$F$7:$F$11,0)</f>
        <v/>
      </c>
      <c r="U720" s="32">
        <f>R720-T720</f>
        <v/>
      </c>
      <c r="V720">
        <f>XLOOKUP(I720,Lookups!$H$7:$H$10,Lookups!$I$7:$I$10,"")</f>
        <v/>
      </c>
      <c r="W720">
        <f>IF(O720&gt;=50000,"HIGH VALUE","")</f>
        <v/>
      </c>
      <c r="X720">
        <f>IF(Q720&lt;0,"LOSS","")</f>
        <v/>
      </c>
      <c r="Y720">
        <f>IFS(M720&gt;=0.15,"Deep Discount",M720&gt;=0.1,"Moderate",TRUE,"Standard")</f>
        <v/>
      </c>
    </row>
    <row r="721">
      <c r="A721">
        <f>Raw_Data!A721</f>
        <v/>
      </c>
      <c r="B721" s="29">
        <f>Raw_Data!B721</f>
        <v/>
      </c>
      <c r="C721">
        <f>YEAR(B721)</f>
        <v/>
      </c>
      <c r="D721">
        <f>MONTH(B721)</f>
        <v/>
      </c>
      <c r="E721">
        <f>TEXT(B721,"MMM-YYYY")</f>
        <v/>
      </c>
      <c r="F721">
        <f>Raw_Data!C721</f>
        <v/>
      </c>
      <c r="G721">
        <f>Raw_Data!D721</f>
        <v/>
      </c>
      <c r="H721">
        <f>Raw_Data!E721</f>
        <v/>
      </c>
      <c r="I721">
        <f>Raw_Data!F721</f>
        <v/>
      </c>
      <c r="J721">
        <f>Raw_Data!G721</f>
        <v/>
      </c>
      <c r="K721">
        <f>Raw_Data!H721</f>
        <v/>
      </c>
      <c r="L721" s="30">
        <f>Raw_Data!I721</f>
        <v/>
      </c>
      <c r="M721" s="31">
        <f>Raw_Data!J721</f>
        <v/>
      </c>
      <c r="N721" s="17">
        <f>K721*L721</f>
        <v/>
      </c>
      <c r="O721" s="17">
        <f>N721*(1-M721)</f>
        <v/>
      </c>
      <c r="P721" s="17">
        <f>Raw_Data!L721</f>
        <v/>
      </c>
      <c r="Q721" s="17">
        <f>O721-P721</f>
        <v/>
      </c>
      <c r="R721" s="31">
        <f>IF(O721=0,0,Q721/O721)</f>
        <v/>
      </c>
      <c r="S721">
        <f>XLOOKUP(F721,Lookups!$B$7:$B$11,Lookups!$C$7:$C$11,"Unknown")</f>
        <v/>
      </c>
      <c r="T721" s="31">
        <f>XLOOKUP(G721,Lookups!$E$7:$E$11,Lookups!$F$7:$F$11,0)</f>
        <v/>
      </c>
      <c r="U721" s="32">
        <f>R721-T721</f>
        <v/>
      </c>
      <c r="V721">
        <f>XLOOKUP(I721,Lookups!$H$7:$H$10,Lookups!$I$7:$I$10,"")</f>
        <v/>
      </c>
      <c r="W721">
        <f>IF(O721&gt;=50000,"HIGH VALUE","")</f>
        <v/>
      </c>
      <c r="X721">
        <f>IF(Q721&lt;0,"LOSS","")</f>
        <v/>
      </c>
      <c r="Y721">
        <f>IFS(M721&gt;=0.15,"Deep Discount",M721&gt;=0.1,"Moderate",TRUE,"Standard")</f>
        <v/>
      </c>
    </row>
    <row r="722">
      <c r="A722">
        <f>Raw_Data!A722</f>
        <v/>
      </c>
      <c r="B722" s="29">
        <f>Raw_Data!B722</f>
        <v/>
      </c>
      <c r="C722">
        <f>YEAR(B722)</f>
        <v/>
      </c>
      <c r="D722">
        <f>MONTH(B722)</f>
        <v/>
      </c>
      <c r="E722">
        <f>TEXT(B722,"MMM-YYYY")</f>
        <v/>
      </c>
      <c r="F722">
        <f>Raw_Data!C722</f>
        <v/>
      </c>
      <c r="G722">
        <f>Raw_Data!D722</f>
        <v/>
      </c>
      <c r="H722">
        <f>Raw_Data!E722</f>
        <v/>
      </c>
      <c r="I722">
        <f>Raw_Data!F722</f>
        <v/>
      </c>
      <c r="J722">
        <f>Raw_Data!G722</f>
        <v/>
      </c>
      <c r="K722">
        <f>Raw_Data!H722</f>
        <v/>
      </c>
      <c r="L722" s="30">
        <f>Raw_Data!I722</f>
        <v/>
      </c>
      <c r="M722" s="31">
        <f>Raw_Data!J722</f>
        <v/>
      </c>
      <c r="N722" s="17">
        <f>K722*L722</f>
        <v/>
      </c>
      <c r="O722" s="17">
        <f>N722*(1-M722)</f>
        <v/>
      </c>
      <c r="P722" s="17">
        <f>Raw_Data!L722</f>
        <v/>
      </c>
      <c r="Q722" s="17">
        <f>O722-P722</f>
        <v/>
      </c>
      <c r="R722" s="31">
        <f>IF(O722=0,0,Q722/O722)</f>
        <v/>
      </c>
      <c r="S722">
        <f>XLOOKUP(F722,Lookups!$B$7:$B$11,Lookups!$C$7:$C$11,"Unknown")</f>
        <v/>
      </c>
      <c r="T722" s="31">
        <f>XLOOKUP(G722,Lookups!$E$7:$E$11,Lookups!$F$7:$F$11,0)</f>
        <v/>
      </c>
      <c r="U722" s="32">
        <f>R722-T722</f>
        <v/>
      </c>
      <c r="V722">
        <f>XLOOKUP(I722,Lookups!$H$7:$H$10,Lookups!$I$7:$I$10,"")</f>
        <v/>
      </c>
      <c r="W722">
        <f>IF(O722&gt;=50000,"HIGH VALUE","")</f>
        <v/>
      </c>
      <c r="X722">
        <f>IF(Q722&lt;0,"LOSS","")</f>
        <v/>
      </c>
      <c r="Y722">
        <f>IFS(M722&gt;=0.15,"Deep Discount",M722&gt;=0.1,"Moderate",TRUE,"Standard")</f>
        <v/>
      </c>
    </row>
    <row r="723">
      <c r="A723">
        <f>Raw_Data!A723</f>
        <v/>
      </c>
      <c r="B723" s="29">
        <f>Raw_Data!B723</f>
        <v/>
      </c>
      <c r="C723">
        <f>YEAR(B723)</f>
        <v/>
      </c>
      <c r="D723">
        <f>MONTH(B723)</f>
        <v/>
      </c>
      <c r="E723">
        <f>TEXT(B723,"MMM-YYYY")</f>
        <v/>
      </c>
      <c r="F723">
        <f>Raw_Data!C723</f>
        <v/>
      </c>
      <c r="G723">
        <f>Raw_Data!D723</f>
        <v/>
      </c>
      <c r="H723">
        <f>Raw_Data!E723</f>
        <v/>
      </c>
      <c r="I723">
        <f>Raw_Data!F723</f>
        <v/>
      </c>
      <c r="J723">
        <f>Raw_Data!G723</f>
        <v/>
      </c>
      <c r="K723">
        <f>Raw_Data!H723</f>
        <v/>
      </c>
      <c r="L723" s="30">
        <f>Raw_Data!I723</f>
        <v/>
      </c>
      <c r="M723" s="31">
        <f>Raw_Data!J723</f>
        <v/>
      </c>
      <c r="N723" s="17">
        <f>K723*L723</f>
        <v/>
      </c>
      <c r="O723" s="17">
        <f>N723*(1-M723)</f>
        <v/>
      </c>
      <c r="P723" s="17">
        <f>Raw_Data!L723</f>
        <v/>
      </c>
      <c r="Q723" s="17">
        <f>O723-P723</f>
        <v/>
      </c>
      <c r="R723" s="31">
        <f>IF(O723=0,0,Q723/O723)</f>
        <v/>
      </c>
      <c r="S723">
        <f>XLOOKUP(F723,Lookups!$B$7:$B$11,Lookups!$C$7:$C$11,"Unknown")</f>
        <v/>
      </c>
      <c r="T723" s="31">
        <f>XLOOKUP(G723,Lookups!$E$7:$E$11,Lookups!$F$7:$F$11,0)</f>
        <v/>
      </c>
      <c r="U723" s="32">
        <f>R723-T723</f>
        <v/>
      </c>
      <c r="V723">
        <f>XLOOKUP(I723,Lookups!$H$7:$H$10,Lookups!$I$7:$I$10,"")</f>
        <v/>
      </c>
      <c r="W723">
        <f>IF(O723&gt;=50000,"HIGH VALUE","")</f>
        <v/>
      </c>
      <c r="X723">
        <f>IF(Q723&lt;0,"LOSS","")</f>
        <v/>
      </c>
      <c r="Y723">
        <f>IFS(M723&gt;=0.15,"Deep Discount",M723&gt;=0.1,"Moderate",TRUE,"Standard")</f>
        <v/>
      </c>
    </row>
    <row r="724">
      <c r="A724">
        <f>Raw_Data!A724</f>
        <v/>
      </c>
      <c r="B724" s="29">
        <f>Raw_Data!B724</f>
        <v/>
      </c>
      <c r="C724">
        <f>YEAR(B724)</f>
        <v/>
      </c>
      <c r="D724">
        <f>MONTH(B724)</f>
        <v/>
      </c>
      <c r="E724">
        <f>TEXT(B724,"MMM-YYYY")</f>
        <v/>
      </c>
      <c r="F724">
        <f>Raw_Data!C724</f>
        <v/>
      </c>
      <c r="G724">
        <f>Raw_Data!D724</f>
        <v/>
      </c>
      <c r="H724">
        <f>Raw_Data!E724</f>
        <v/>
      </c>
      <c r="I724">
        <f>Raw_Data!F724</f>
        <v/>
      </c>
      <c r="J724">
        <f>Raw_Data!G724</f>
        <v/>
      </c>
      <c r="K724">
        <f>Raw_Data!H724</f>
        <v/>
      </c>
      <c r="L724" s="30">
        <f>Raw_Data!I724</f>
        <v/>
      </c>
      <c r="M724" s="31">
        <f>Raw_Data!J724</f>
        <v/>
      </c>
      <c r="N724" s="17">
        <f>K724*L724</f>
        <v/>
      </c>
      <c r="O724" s="17">
        <f>N724*(1-M724)</f>
        <v/>
      </c>
      <c r="P724" s="17">
        <f>Raw_Data!L724</f>
        <v/>
      </c>
      <c r="Q724" s="17">
        <f>O724-P724</f>
        <v/>
      </c>
      <c r="R724" s="31">
        <f>IF(O724=0,0,Q724/O724)</f>
        <v/>
      </c>
      <c r="S724">
        <f>XLOOKUP(F724,Lookups!$B$7:$B$11,Lookups!$C$7:$C$11,"Unknown")</f>
        <v/>
      </c>
      <c r="T724" s="31">
        <f>XLOOKUP(G724,Lookups!$E$7:$E$11,Lookups!$F$7:$F$11,0)</f>
        <v/>
      </c>
      <c r="U724" s="32">
        <f>R724-T724</f>
        <v/>
      </c>
      <c r="V724">
        <f>XLOOKUP(I724,Lookups!$H$7:$H$10,Lookups!$I$7:$I$10,"")</f>
        <v/>
      </c>
      <c r="W724">
        <f>IF(O724&gt;=50000,"HIGH VALUE","")</f>
        <v/>
      </c>
      <c r="X724">
        <f>IF(Q724&lt;0,"LOSS","")</f>
        <v/>
      </c>
      <c r="Y724">
        <f>IFS(M724&gt;=0.15,"Deep Discount",M724&gt;=0.1,"Moderate",TRUE,"Standard")</f>
        <v/>
      </c>
    </row>
    <row r="725">
      <c r="A725">
        <f>Raw_Data!A725</f>
        <v/>
      </c>
      <c r="B725" s="29">
        <f>Raw_Data!B725</f>
        <v/>
      </c>
      <c r="C725">
        <f>YEAR(B725)</f>
        <v/>
      </c>
      <c r="D725">
        <f>MONTH(B725)</f>
        <v/>
      </c>
      <c r="E725">
        <f>TEXT(B725,"MMM-YYYY")</f>
        <v/>
      </c>
      <c r="F725">
        <f>Raw_Data!C725</f>
        <v/>
      </c>
      <c r="G725">
        <f>Raw_Data!D725</f>
        <v/>
      </c>
      <c r="H725">
        <f>Raw_Data!E725</f>
        <v/>
      </c>
      <c r="I725">
        <f>Raw_Data!F725</f>
        <v/>
      </c>
      <c r="J725">
        <f>Raw_Data!G725</f>
        <v/>
      </c>
      <c r="K725">
        <f>Raw_Data!H725</f>
        <v/>
      </c>
      <c r="L725" s="30">
        <f>Raw_Data!I725</f>
        <v/>
      </c>
      <c r="M725" s="31">
        <f>Raw_Data!J725</f>
        <v/>
      </c>
      <c r="N725" s="17">
        <f>K725*L725</f>
        <v/>
      </c>
      <c r="O725" s="17">
        <f>N725*(1-M725)</f>
        <v/>
      </c>
      <c r="P725" s="17">
        <f>Raw_Data!L725</f>
        <v/>
      </c>
      <c r="Q725" s="17">
        <f>O725-P725</f>
        <v/>
      </c>
      <c r="R725" s="31">
        <f>IF(O725=0,0,Q725/O725)</f>
        <v/>
      </c>
      <c r="S725">
        <f>XLOOKUP(F725,Lookups!$B$7:$B$11,Lookups!$C$7:$C$11,"Unknown")</f>
        <v/>
      </c>
      <c r="T725" s="31">
        <f>XLOOKUP(G725,Lookups!$E$7:$E$11,Lookups!$F$7:$F$11,0)</f>
        <v/>
      </c>
      <c r="U725" s="32">
        <f>R725-T725</f>
        <v/>
      </c>
      <c r="V725">
        <f>XLOOKUP(I725,Lookups!$H$7:$H$10,Lookups!$I$7:$I$10,"")</f>
        <v/>
      </c>
      <c r="W725">
        <f>IF(O725&gt;=50000,"HIGH VALUE","")</f>
        <v/>
      </c>
      <c r="X725">
        <f>IF(Q725&lt;0,"LOSS","")</f>
        <v/>
      </c>
      <c r="Y725">
        <f>IFS(M725&gt;=0.15,"Deep Discount",M725&gt;=0.1,"Moderate",TRUE,"Standard")</f>
        <v/>
      </c>
    </row>
    <row r="726">
      <c r="A726">
        <f>Raw_Data!A726</f>
        <v/>
      </c>
      <c r="B726" s="29">
        <f>Raw_Data!B726</f>
        <v/>
      </c>
      <c r="C726">
        <f>YEAR(B726)</f>
        <v/>
      </c>
      <c r="D726">
        <f>MONTH(B726)</f>
        <v/>
      </c>
      <c r="E726">
        <f>TEXT(B726,"MMM-YYYY")</f>
        <v/>
      </c>
      <c r="F726">
        <f>Raw_Data!C726</f>
        <v/>
      </c>
      <c r="G726">
        <f>Raw_Data!D726</f>
        <v/>
      </c>
      <c r="H726">
        <f>Raw_Data!E726</f>
        <v/>
      </c>
      <c r="I726">
        <f>Raw_Data!F726</f>
        <v/>
      </c>
      <c r="J726">
        <f>Raw_Data!G726</f>
        <v/>
      </c>
      <c r="K726">
        <f>Raw_Data!H726</f>
        <v/>
      </c>
      <c r="L726" s="30">
        <f>Raw_Data!I726</f>
        <v/>
      </c>
      <c r="M726" s="31">
        <f>Raw_Data!J726</f>
        <v/>
      </c>
      <c r="N726" s="17">
        <f>K726*L726</f>
        <v/>
      </c>
      <c r="O726" s="17">
        <f>N726*(1-M726)</f>
        <v/>
      </c>
      <c r="P726" s="17">
        <f>Raw_Data!L726</f>
        <v/>
      </c>
      <c r="Q726" s="17">
        <f>O726-P726</f>
        <v/>
      </c>
      <c r="R726" s="31">
        <f>IF(O726=0,0,Q726/O726)</f>
        <v/>
      </c>
      <c r="S726">
        <f>XLOOKUP(F726,Lookups!$B$7:$B$11,Lookups!$C$7:$C$11,"Unknown")</f>
        <v/>
      </c>
      <c r="T726" s="31">
        <f>XLOOKUP(G726,Lookups!$E$7:$E$11,Lookups!$F$7:$F$11,0)</f>
        <v/>
      </c>
      <c r="U726" s="32">
        <f>R726-T726</f>
        <v/>
      </c>
      <c r="V726">
        <f>XLOOKUP(I726,Lookups!$H$7:$H$10,Lookups!$I$7:$I$10,"")</f>
        <v/>
      </c>
      <c r="W726">
        <f>IF(O726&gt;=50000,"HIGH VALUE","")</f>
        <v/>
      </c>
      <c r="X726">
        <f>IF(Q726&lt;0,"LOSS","")</f>
        <v/>
      </c>
      <c r="Y726">
        <f>IFS(M726&gt;=0.15,"Deep Discount",M726&gt;=0.1,"Moderate",TRUE,"Standard")</f>
        <v/>
      </c>
    </row>
    <row r="727">
      <c r="A727">
        <f>Raw_Data!A727</f>
        <v/>
      </c>
      <c r="B727" s="29">
        <f>Raw_Data!B727</f>
        <v/>
      </c>
      <c r="C727">
        <f>YEAR(B727)</f>
        <v/>
      </c>
      <c r="D727">
        <f>MONTH(B727)</f>
        <v/>
      </c>
      <c r="E727">
        <f>TEXT(B727,"MMM-YYYY")</f>
        <v/>
      </c>
      <c r="F727">
        <f>Raw_Data!C727</f>
        <v/>
      </c>
      <c r="G727">
        <f>Raw_Data!D727</f>
        <v/>
      </c>
      <c r="H727">
        <f>Raw_Data!E727</f>
        <v/>
      </c>
      <c r="I727">
        <f>Raw_Data!F727</f>
        <v/>
      </c>
      <c r="J727">
        <f>Raw_Data!G727</f>
        <v/>
      </c>
      <c r="K727">
        <f>Raw_Data!H727</f>
        <v/>
      </c>
      <c r="L727" s="30">
        <f>Raw_Data!I727</f>
        <v/>
      </c>
      <c r="M727" s="31">
        <f>Raw_Data!J727</f>
        <v/>
      </c>
      <c r="N727" s="17">
        <f>K727*L727</f>
        <v/>
      </c>
      <c r="O727" s="17">
        <f>N727*(1-M727)</f>
        <v/>
      </c>
      <c r="P727" s="17">
        <f>Raw_Data!L727</f>
        <v/>
      </c>
      <c r="Q727" s="17">
        <f>O727-P727</f>
        <v/>
      </c>
      <c r="R727" s="31">
        <f>IF(O727=0,0,Q727/O727)</f>
        <v/>
      </c>
      <c r="S727">
        <f>XLOOKUP(F727,Lookups!$B$7:$B$11,Lookups!$C$7:$C$11,"Unknown")</f>
        <v/>
      </c>
      <c r="T727" s="31">
        <f>XLOOKUP(G727,Lookups!$E$7:$E$11,Lookups!$F$7:$F$11,0)</f>
        <v/>
      </c>
      <c r="U727" s="32">
        <f>R727-T727</f>
        <v/>
      </c>
      <c r="V727">
        <f>XLOOKUP(I727,Lookups!$H$7:$H$10,Lookups!$I$7:$I$10,"")</f>
        <v/>
      </c>
      <c r="W727">
        <f>IF(O727&gt;=50000,"HIGH VALUE","")</f>
        <v/>
      </c>
      <c r="X727">
        <f>IF(Q727&lt;0,"LOSS","")</f>
        <v/>
      </c>
      <c r="Y727">
        <f>IFS(M727&gt;=0.15,"Deep Discount",M727&gt;=0.1,"Moderate",TRUE,"Standard")</f>
        <v/>
      </c>
    </row>
    <row r="728">
      <c r="A728">
        <f>Raw_Data!A728</f>
        <v/>
      </c>
      <c r="B728" s="29">
        <f>Raw_Data!B728</f>
        <v/>
      </c>
      <c r="C728">
        <f>YEAR(B728)</f>
        <v/>
      </c>
      <c r="D728">
        <f>MONTH(B728)</f>
        <v/>
      </c>
      <c r="E728">
        <f>TEXT(B728,"MMM-YYYY")</f>
        <v/>
      </c>
      <c r="F728">
        <f>Raw_Data!C728</f>
        <v/>
      </c>
      <c r="G728">
        <f>Raw_Data!D728</f>
        <v/>
      </c>
      <c r="H728">
        <f>Raw_Data!E728</f>
        <v/>
      </c>
      <c r="I728">
        <f>Raw_Data!F728</f>
        <v/>
      </c>
      <c r="J728">
        <f>Raw_Data!G728</f>
        <v/>
      </c>
      <c r="K728">
        <f>Raw_Data!H728</f>
        <v/>
      </c>
      <c r="L728" s="30">
        <f>Raw_Data!I728</f>
        <v/>
      </c>
      <c r="M728" s="31">
        <f>Raw_Data!J728</f>
        <v/>
      </c>
      <c r="N728" s="17">
        <f>K728*L728</f>
        <v/>
      </c>
      <c r="O728" s="17">
        <f>N728*(1-M728)</f>
        <v/>
      </c>
      <c r="P728" s="17">
        <f>Raw_Data!L728</f>
        <v/>
      </c>
      <c r="Q728" s="17">
        <f>O728-P728</f>
        <v/>
      </c>
      <c r="R728" s="31">
        <f>IF(O728=0,0,Q728/O728)</f>
        <v/>
      </c>
      <c r="S728">
        <f>XLOOKUP(F728,Lookups!$B$7:$B$11,Lookups!$C$7:$C$11,"Unknown")</f>
        <v/>
      </c>
      <c r="T728" s="31">
        <f>XLOOKUP(G728,Lookups!$E$7:$E$11,Lookups!$F$7:$F$11,0)</f>
        <v/>
      </c>
      <c r="U728" s="32">
        <f>R728-T728</f>
        <v/>
      </c>
      <c r="V728">
        <f>XLOOKUP(I728,Lookups!$H$7:$H$10,Lookups!$I$7:$I$10,"")</f>
        <v/>
      </c>
      <c r="W728">
        <f>IF(O728&gt;=50000,"HIGH VALUE","")</f>
        <v/>
      </c>
      <c r="X728">
        <f>IF(Q728&lt;0,"LOSS","")</f>
        <v/>
      </c>
      <c r="Y728">
        <f>IFS(M728&gt;=0.15,"Deep Discount",M728&gt;=0.1,"Moderate",TRUE,"Standard")</f>
        <v/>
      </c>
    </row>
    <row r="729">
      <c r="A729">
        <f>Raw_Data!A729</f>
        <v/>
      </c>
      <c r="B729" s="29">
        <f>Raw_Data!B729</f>
        <v/>
      </c>
      <c r="C729">
        <f>YEAR(B729)</f>
        <v/>
      </c>
      <c r="D729">
        <f>MONTH(B729)</f>
        <v/>
      </c>
      <c r="E729">
        <f>TEXT(B729,"MMM-YYYY")</f>
        <v/>
      </c>
      <c r="F729">
        <f>Raw_Data!C729</f>
        <v/>
      </c>
      <c r="G729">
        <f>Raw_Data!D729</f>
        <v/>
      </c>
      <c r="H729">
        <f>Raw_Data!E729</f>
        <v/>
      </c>
      <c r="I729">
        <f>Raw_Data!F729</f>
        <v/>
      </c>
      <c r="J729">
        <f>Raw_Data!G729</f>
        <v/>
      </c>
      <c r="K729">
        <f>Raw_Data!H729</f>
        <v/>
      </c>
      <c r="L729" s="30">
        <f>Raw_Data!I729</f>
        <v/>
      </c>
      <c r="M729" s="31">
        <f>Raw_Data!J729</f>
        <v/>
      </c>
      <c r="N729" s="17">
        <f>K729*L729</f>
        <v/>
      </c>
      <c r="O729" s="17">
        <f>N729*(1-M729)</f>
        <v/>
      </c>
      <c r="P729" s="17">
        <f>Raw_Data!L729</f>
        <v/>
      </c>
      <c r="Q729" s="17">
        <f>O729-P729</f>
        <v/>
      </c>
      <c r="R729" s="31">
        <f>IF(O729=0,0,Q729/O729)</f>
        <v/>
      </c>
      <c r="S729">
        <f>XLOOKUP(F729,Lookups!$B$7:$B$11,Lookups!$C$7:$C$11,"Unknown")</f>
        <v/>
      </c>
      <c r="T729" s="31">
        <f>XLOOKUP(G729,Lookups!$E$7:$E$11,Lookups!$F$7:$F$11,0)</f>
        <v/>
      </c>
      <c r="U729" s="32">
        <f>R729-T729</f>
        <v/>
      </c>
      <c r="V729">
        <f>XLOOKUP(I729,Lookups!$H$7:$H$10,Lookups!$I$7:$I$10,"")</f>
        <v/>
      </c>
      <c r="W729">
        <f>IF(O729&gt;=50000,"HIGH VALUE","")</f>
        <v/>
      </c>
      <c r="X729">
        <f>IF(Q729&lt;0,"LOSS","")</f>
        <v/>
      </c>
      <c r="Y729">
        <f>IFS(M729&gt;=0.15,"Deep Discount",M729&gt;=0.1,"Moderate",TRUE,"Standard")</f>
        <v/>
      </c>
    </row>
    <row r="730">
      <c r="A730">
        <f>Raw_Data!A730</f>
        <v/>
      </c>
      <c r="B730" s="29">
        <f>Raw_Data!B730</f>
        <v/>
      </c>
      <c r="C730">
        <f>YEAR(B730)</f>
        <v/>
      </c>
      <c r="D730">
        <f>MONTH(B730)</f>
        <v/>
      </c>
      <c r="E730">
        <f>TEXT(B730,"MMM-YYYY")</f>
        <v/>
      </c>
      <c r="F730">
        <f>Raw_Data!C730</f>
        <v/>
      </c>
      <c r="G730">
        <f>Raw_Data!D730</f>
        <v/>
      </c>
      <c r="H730">
        <f>Raw_Data!E730</f>
        <v/>
      </c>
      <c r="I730">
        <f>Raw_Data!F730</f>
        <v/>
      </c>
      <c r="J730">
        <f>Raw_Data!G730</f>
        <v/>
      </c>
      <c r="K730">
        <f>Raw_Data!H730</f>
        <v/>
      </c>
      <c r="L730" s="30">
        <f>Raw_Data!I730</f>
        <v/>
      </c>
      <c r="M730" s="31">
        <f>Raw_Data!J730</f>
        <v/>
      </c>
      <c r="N730" s="17">
        <f>K730*L730</f>
        <v/>
      </c>
      <c r="O730" s="17">
        <f>N730*(1-M730)</f>
        <v/>
      </c>
      <c r="P730" s="17">
        <f>Raw_Data!L730</f>
        <v/>
      </c>
      <c r="Q730" s="17">
        <f>O730-P730</f>
        <v/>
      </c>
      <c r="R730" s="31">
        <f>IF(O730=0,0,Q730/O730)</f>
        <v/>
      </c>
      <c r="S730">
        <f>XLOOKUP(F730,Lookups!$B$7:$B$11,Lookups!$C$7:$C$11,"Unknown")</f>
        <v/>
      </c>
      <c r="T730" s="31">
        <f>XLOOKUP(G730,Lookups!$E$7:$E$11,Lookups!$F$7:$F$11,0)</f>
        <v/>
      </c>
      <c r="U730" s="32">
        <f>R730-T730</f>
        <v/>
      </c>
      <c r="V730">
        <f>XLOOKUP(I730,Lookups!$H$7:$H$10,Lookups!$I$7:$I$10,"")</f>
        <v/>
      </c>
      <c r="W730">
        <f>IF(O730&gt;=50000,"HIGH VALUE","")</f>
        <v/>
      </c>
      <c r="X730">
        <f>IF(Q730&lt;0,"LOSS","")</f>
        <v/>
      </c>
      <c r="Y730">
        <f>IFS(M730&gt;=0.15,"Deep Discount",M730&gt;=0.1,"Moderate",TRUE,"Standard")</f>
        <v/>
      </c>
    </row>
    <row r="731">
      <c r="A731">
        <f>Raw_Data!A731</f>
        <v/>
      </c>
      <c r="B731" s="29">
        <f>Raw_Data!B731</f>
        <v/>
      </c>
      <c r="C731">
        <f>YEAR(B731)</f>
        <v/>
      </c>
      <c r="D731">
        <f>MONTH(B731)</f>
        <v/>
      </c>
      <c r="E731">
        <f>TEXT(B731,"MMM-YYYY")</f>
        <v/>
      </c>
      <c r="F731">
        <f>Raw_Data!C731</f>
        <v/>
      </c>
      <c r="G731">
        <f>Raw_Data!D731</f>
        <v/>
      </c>
      <c r="H731">
        <f>Raw_Data!E731</f>
        <v/>
      </c>
      <c r="I731">
        <f>Raw_Data!F731</f>
        <v/>
      </c>
      <c r="J731">
        <f>Raw_Data!G731</f>
        <v/>
      </c>
      <c r="K731">
        <f>Raw_Data!H731</f>
        <v/>
      </c>
      <c r="L731" s="30">
        <f>Raw_Data!I731</f>
        <v/>
      </c>
      <c r="M731" s="31">
        <f>Raw_Data!J731</f>
        <v/>
      </c>
      <c r="N731" s="17">
        <f>K731*L731</f>
        <v/>
      </c>
      <c r="O731" s="17">
        <f>N731*(1-M731)</f>
        <v/>
      </c>
      <c r="P731" s="17">
        <f>Raw_Data!L731</f>
        <v/>
      </c>
      <c r="Q731" s="17">
        <f>O731-P731</f>
        <v/>
      </c>
      <c r="R731" s="31">
        <f>IF(O731=0,0,Q731/O731)</f>
        <v/>
      </c>
      <c r="S731">
        <f>XLOOKUP(F731,Lookups!$B$7:$B$11,Lookups!$C$7:$C$11,"Unknown")</f>
        <v/>
      </c>
      <c r="T731" s="31">
        <f>XLOOKUP(G731,Lookups!$E$7:$E$11,Lookups!$F$7:$F$11,0)</f>
        <v/>
      </c>
      <c r="U731" s="32">
        <f>R731-T731</f>
        <v/>
      </c>
      <c r="V731">
        <f>XLOOKUP(I731,Lookups!$H$7:$H$10,Lookups!$I$7:$I$10,"")</f>
        <v/>
      </c>
      <c r="W731">
        <f>IF(O731&gt;=50000,"HIGH VALUE","")</f>
        <v/>
      </c>
      <c r="X731">
        <f>IF(Q731&lt;0,"LOSS","")</f>
        <v/>
      </c>
      <c r="Y731">
        <f>IFS(M731&gt;=0.15,"Deep Discount",M731&gt;=0.1,"Moderate",TRUE,"Standard")</f>
        <v/>
      </c>
    </row>
    <row r="732">
      <c r="A732">
        <f>Raw_Data!A732</f>
        <v/>
      </c>
      <c r="B732" s="29">
        <f>Raw_Data!B732</f>
        <v/>
      </c>
      <c r="C732">
        <f>YEAR(B732)</f>
        <v/>
      </c>
      <c r="D732">
        <f>MONTH(B732)</f>
        <v/>
      </c>
      <c r="E732">
        <f>TEXT(B732,"MMM-YYYY")</f>
        <v/>
      </c>
      <c r="F732">
        <f>Raw_Data!C732</f>
        <v/>
      </c>
      <c r="G732">
        <f>Raw_Data!D732</f>
        <v/>
      </c>
      <c r="H732">
        <f>Raw_Data!E732</f>
        <v/>
      </c>
      <c r="I732">
        <f>Raw_Data!F732</f>
        <v/>
      </c>
      <c r="J732">
        <f>Raw_Data!G732</f>
        <v/>
      </c>
      <c r="K732">
        <f>Raw_Data!H732</f>
        <v/>
      </c>
      <c r="L732" s="30">
        <f>Raw_Data!I732</f>
        <v/>
      </c>
      <c r="M732" s="31">
        <f>Raw_Data!J732</f>
        <v/>
      </c>
      <c r="N732" s="17">
        <f>K732*L732</f>
        <v/>
      </c>
      <c r="O732" s="17">
        <f>N732*(1-M732)</f>
        <v/>
      </c>
      <c r="P732" s="17">
        <f>Raw_Data!L732</f>
        <v/>
      </c>
      <c r="Q732" s="17">
        <f>O732-P732</f>
        <v/>
      </c>
      <c r="R732" s="31">
        <f>IF(O732=0,0,Q732/O732)</f>
        <v/>
      </c>
      <c r="S732">
        <f>XLOOKUP(F732,Lookups!$B$7:$B$11,Lookups!$C$7:$C$11,"Unknown")</f>
        <v/>
      </c>
      <c r="T732" s="31">
        <f>XLOOKUP(G732,Lookups!$E$7:$E$11,Lookups!$F$7:$F$11,0)</f>
        <v/>
      </c>
      <c r="U732" s="32">
        <f>R732-T732</f>
        <v/>
      </c>
      <c r="V732">
        <f>XLOOKUP(I732,Lookups!$H$7:$H$10,Lookups!$I$7:$I$10,"")</f>
        <v/>
      </c>
      <c r="W732">
        <f>IF(O732&gt;=50000,"HIGH VALUE","")</f>
        <v/>
      </c>
      <c r="X732">
        <f>IF(Q732&lt;0,"LOSS","")</f>
        <v/>
      </c>
      <c r="Y732">
        <f>IFS(M732&gt;=0.15,"Deep Discount",M732&gt;=0.1,"Moderate",TRUE,"Standard")</f>
        <v/>
      </c>
    </row>
    <row r="733">
      <c r="A733">
        <f>Raw_Data!A733</f>
        <v/>
      </c>
      <c r="B733" s="29">
        <f>Raw_Data!B733</f>
        <v/>
      </c>
      <c r="C733">
        <f>YEAR(B733)</f>
        <v/>
      </c>
      <c r="D733">
        <f>MONTH(B733)</f>
        <v/>
      </c>
      <c r="E733">
        <f>TEXT(B733,"MMM-YYYY")</f>
        <v/>
      </c>
      <c r="F733">
        <f>Raw_Data!C733</f>
        <v/>
      </c>
      <c r="G733">
        <f>Raw_Data!D733</f>
        <v/>
      </c>
      <c r="H733">
        <f>Raw_Data!E733</f>
        <v/>
      </c>
      <c r="I733">
        <f>Raw_Data!F733</f>
        <v/>
      </c>
      <c r="J733">
        <f>Raw_Data!G733</f>
        <v/>
      </c>
      <c r="K733">
        <f>Raw_Data!H733</f>
        <v/>
      </c>
      <c r="L733" s="30">
        <f>Raw_Data!I733</f>
        <v/>
      </c>
      <c r="M733" s="31">
        <f>Raw_Data!J733</f>
        <v/>
      </c>
      <c r="N733" s="17">
        <f>K733*L733</f>
        <v/>
      </c>
      <c r="O733" s="17">
        <f>N733*(1-M733)</f>
        <v/>
      </c>
      <c r="P733" s="17">
        <f>Raw_Data!L733</f>
        <v/>
      </c>
      <c r="Q733" s="17">
        <f>O733-P733</f>
        <v/>
      </c>
      <c r="R733" s="31">
        <f>IF(O733=0,0,Q733/O733)</f>
        <v/>
      </c>
      <c r="S733">
        <f>XLOOKUP(F733,Lookups!$B$7:$B$11,Lookups!$C$7:$C$11,"Unknown")</f>
        <v/>
      </c>
      <c r="T733" s="31">
        <f>XLOOKUP(G733,Lookups!$E$7:$E$11,Lookups!$F$7:$F$11,0)</f>
        <v/>
      </c>
      <c r="U733" s="32">
        <f>R733-T733</f>
        <v/>
      </c>
      <c r="V733">
        <f>XLOOKUP(I733,Lookups!$H$7:$H$10,Lookups!$I$7:$I$10,"")</f>
        <v/>
      </c>
      <c r="W733">
        <f>IF(O733&gt;=50000,"HIGH VALUE","")</f>
        <v/>
      </c>
      <c r="X733">
        <f>IF(Q733&lt;0,"LOSS","")</f>
        <v/>
      </c>
      <c r="Y733">
        <f>IFS(M733&gt;=0.15,"Deep Discount",M733&gt;=0.1,"Moderate",TRUE,"Standard")</f>
        <v/>
      </c>
    </row>
    <row r="734">
      <c r="A734">
        <f>Raw_Data!A734</f>
        <v/>
      </c>
      <c r="B734" s="29">
        <f>Raw_Data!B734</f>
        <v/>
      </c>
      <c r="C734">
        <f>YEAR(B734)</f>
        <v/>
      </c>
      <c r="D734">
        <f>MONTH(B734)</f>
        <v/>
      </c>
      <c r="E734">
        <f>TEXT(B734,"MMM-YYYY")</f>
        <v/>
      </c>
      <c r="F734">
        <f>Raw_Data!C734</f>
        <v/>
      </c>
      <c r="G734">
        <f>Raw_Data!D734</f>
        <v/>
      </c>
      <c r="H734">
        <f>Raw_Data!E734</f>
        <v/>
      </c>
      <c r="I734">
        <f>Raw_Data!F734</f>
        <v/>
      </c>
      <c r="J734">
        <f>Raw_Data!G734</f>
        <v/>
      </c>
      <c r="K734">
        <f>Raw_Data!H734</f>
        <v/>
      </c>
      <c r="L734" s="30">
        <f>Raw_Data!I734</f>
        <v/>
      </c>
      <c r="M734" s="31">
        <f>Raw_Data!J734</f>
        <v/>
      </c>
      <c r="N734" s="17">
        <f>K734*L734</f>
        <v/>
      </c>
      <c r="O734" s="17">
        <f>N734*(1-M734)</f>
        <v/>
      </c>
      <c r="P734" s="17">
        <f>Raw_Data!L734</f>
        <v/>
      </c>
      <c r="Q734" s="17">
        <f>O734-P734</f>
        <v/>
      </c>
      <c r="R734" s="31">
        <f>IF(O734=0,0,Q734/O734)</f>
        <v/>
      </c>
      <c r="S734">
        <f>XLOOKUP(F734,Lookups!$B$7:$B$11,Lookups!$C$7:$C$11,"Unknown")</f>
        <v/>
      </c>
      <c r="T734" s="31">
        <f>XLOOKUP(G734,Lookups!$E$7:$E$11,Lookups!$F$7:$F$11,0)</f>
        <v/>
      </c>
      <c r="U734" s="32">
        <f>R734-T734</f>
        <v/>
      </c>
      <c r="V734">
        <f>XLOOKUP(I734,Lookups!$H$7:$H$10,Lookups!$I$7:$I$10,"")</f>
        <v/>
      </c>
      <c r="W734">
        <f>IF(O734&gt;=50000,"HIGH VALUE","")</f>
        <v/>
      </c>
      <c r="X734">
        <f>IF(Q734&lt;0,"LOSS","")</f>
        <v/>
      </c>
      <c r="Y734">
        <f>IFS(M734&gt;=0.15,"Deep Discount",M734&gt;=0.1,"Moderate",TRUE,"Standard")</f>
        <v/>
      </c>
    </row>
    <row r="735">
      <c r="A735">
        <f>Raw_Data!A735</f>
        <v/>
      </c>
      <c r="B735" s="29">
        <f>Raw_Data!B735</f>
        <v/>
      </c>
      <c r="C735">
        <f>YEAR(B735)</f>
        <v/>
      </c>
      <c r="D735">
        <f>MONTH(B735)</f>
        <v/>
      </c>
      <c r="E735">
        <f>TEXT(B735,"MMM-YYYY")</f>
        <v/>
      </c>
      <c r="F735">
        <f>Raw_Data!C735</f>
        <v/>
      </c>
      <c r="G735">
        <f>Raw_Data!D735</f>
        <v/>
      </c>
      <c r="H735">
        <f>Raw_Data!E735</f>
        <v/>
      </c>
      <c r="I735">
        <f>Raw_Data!F735</f>
        <v/>
      </c>
      <c r="J735">
        <f>Raw_Data!G735</f>
        <v/>
      </c>
      <c r="K735">
        <f>Raw_Data!H735</f>
        <v/>
      </c>
      <c r="L735" s="30">
        <f>Raw_Data!I735</f>
        <v/>
      </c>
      <c r="M735" s="31">
        <f>Raw_Data!J735</f>
        <v/>
      </c>
      <c r="N735" s="17">
        <f>K735*L735</f>
        <v/>
      </c>
      <c r="O735" s="17">
        <f>N735*(1-M735)</f>
        <v/>
      </c>
      <c r="P735" s="17">
        <f>Raw_Data!L735</f>
        <v/>
      </c>
      <c r="Q735" s="17">
        <f>O735-P735</f>
        <v/>
      </c>
      <c r="R735" s="31">
        <f>IF(O735=0,0,Q735/O735)</f>
        <v/>
      </c>
      <c r="S735">
        <f>XLOOKUP(F735,Lookups!$B$7:$B$11,Lookups!$C$7:$C$11,"Unknown")</f>
        <v/>
      </c>
      <c r="T735" s="31">
        <f>XLOOKUP(G735,Lookups!$E$7:$E$11,Lookups!$F$7:$F$11,0)</f>
        <v/>
      </c>
      <c r="U735" s="32">
        <f>R735-T735</f>
        <v/>
      </c>
      <c r="V735">
        <f>XLOOKUP(I735,Lookups!$H$7:$H$10,Lookups!$I$7:$I$10,"")</f>
        <v/>
      </c>
      <c r="W735">
        <f>IF(O735&gt;=50000,"HIGH VALUE","")</f>
        <v/>
      </c>
      <c r="X735">
        <f>IF(Q735&lt;0,"LOSS","")</f>
        <v/>
      </c>
      <c r="Y735">
        <f>IFS(M735&gt;=0.15,"Deep Discount",M735&gt;=0.1,"Moderate",TRUE,"Standard")</f>
        <v/>
      </c>
    </row>
    <row r="736">
      <c r="A736">
        <f>Raw_Data!A736</f>
        <v/>
      </c>
      <c r="B736" s="29">
        <f>Raw_Data!B736</f>
        <v/>
      </c>
      <c r="C736">
        <f>YEAR(B736)</f>
        <v/>
      </c>
      <c r="D736">
        <f>MONTH(B736)</f>
        <v/>
      </c>
      <c r="E736">
        <f>TEXT(B736,"MMM-YYYY")</f>
        <v/>
      </c>
      <c r="F736">
        <f>Raw_Data!C736</f>
        <v/>
      </c>
      <c r="G736">
        <f>Raw_Data!D736</f>
        <v/>
      </c>
      <c r="H736">
        <f>Raw_Data!E736</f>
        <v/>
      </c>
      <c r="I736">
        <f>Raw_Data!F736</f>
        <v/>
      </c>
      <c r="J736">
        <f>Raw_Data!G736</f>
        <v/>
      </c>
      <c r="K736">
        <f>Raw_Data!H736</f>
        <v/>
      </c>
      <c r="L736" s="30">
        <f>Raw_Data!I736</f>
        <v/>
      </c>
      <c r="M736" s="31">
        <f>Raw_Data!J736</f>
        <v/>
      </c>
      <c r="N736" s="17">
        <f>K736*L736</f>
        <v/>
      </c>
      <c r="O736" s="17">
        <f>N736*(1-M736)</f>
        <v/>
      </c>
      <c r="P736" s="17">
        <f>Raw_Data!L736</f>
        <v/>
      </c>
      <c r="Q736" s="17">
        <f>O736-P736</f>
        <v/>
      </c>
      <c r="R736" s="31">
        <f>IF(O736=0,0,Q736/O736)</f>
        <v/>
      </c>
      <c r="S736">
        <f>XLOOKUP(F736,Lookups!$B$7:$B$11,Lookups!$C$7:$C$11,"Unknown")</f>
        <v/>
      </c>
      <c r="T736" s="31">
        <f>XLOOKUP(G736,Lookups!$E$7:$E$11,Lookups!$F$7:$F$11,0)</f>
        <v/>
      </c>
      <c r="U736" s="32">
        <f>R736-T736</f>
        <v/>
      </c>
      <c r="V736">
        <f>XLOOKUP(I736,Lookups!$H$7:$H$10,Lookups!$I$7:$I$10,"")</f>
        <v/>
      </c>
      <c r="W736">
        <f>IF(O736&gt;=50000,"HIGH VALUE","")</f>
        <v/>
      </c>
      <c r="X736">
        <f>IF(Q736&lt;0,"LOSS","")</f>
        <v/>
      </c>
      <c r="Y736">
        <f>IFS(M736&gt;=0.15,"Deep Discount",M736&gt;=0.1,"Moderate",TRUE,"Standard")</f>
        <v/>
      </c>
    </row>
    <row r="737">
      <c r="A737">
        <f>Raw_Data!A737</f>
        <v/>
      </c>
      <c r="B737" s="29">
        <f>Raw_Data!B737</f>
        <v/>
      </c>
      <c r="C737">
        <f>YEAR(B737)</f>
        <v/>
      </c>
      <c r="D737">
        <f>MONTH(B737)</f>
        <v/>
      </c>
      <c r="E737">
        <f>TEXT(B737,"MMM-YYYY")</f>
        <v/>
      </c>
      <c r="F737">
        <f>Raw_Data!C737</f>
        <v/>
      </c>
      <c r="G737">
        <f>Raw_Data!D737</f>
        <v/>
      </c>
      <c r="H737">
        <f>Raw_Data!E737</f>
        <v/>
      </c>
      <c r="I737">
        <f>Raw_Data!F737</f>
        <v/>
      </c>
      <c r="J737">
        <f>Raw_Data!G737</f>
        <v/>
      </c>
      <c r="K737">
        <f>Raw_Data!H737</f>
        <v/>
      </c>
      <c r="L737" s="30">
        <f>Raw_Data!I737</f>
        <v/>
      </c>
      <c r="M737" s="31">
        <f>Raw_Data!J737</f>
        <v/>
      </c>
      <c r="N737" s="17">
        <f>K737*L737</f>
        <v/>
      </c>
      <c r="O737" s="17">
        <f>N737*(1-M737)</f>
        <v/>
      </c>
      <c r="P737" s="17">
        <f>Raw_Data!L737</f>
        <v/>
      </c>
      <c r="Q737" s="17">
        <f>O737-P737</f>
        <v/>
      </c>
      <c r="R737" s="31">
        <f>IF(O737=0,0,Q737/O737)</f>
        <v/>
      </c>
      <c r="S737">
        <f>XLOOKUP(F737,Lookups!$B$7:$B$11,Lookups!$C$7:$C$11,"Unknown")</f>
        <v/>
      </c>
      <c r="T737" s="31">
        <f>XLOOKUP(G737,Lookups!$E$7:$E$11,Lookups!$F$7:$F$11,0)</f>
        <v/>
      </c>
      <c r="U737" s="32">
        <f>R737-T737</f>
        <v/>
      </c>
      <c r="V737">
        <f>XLOOKUP(I737,Lookups!$H$7:$H$10,Lookups!$I$7:$I$10,"")</f>
        <v/>
      </c>
      <c r="W737">
        <f>IF(O737&gt;=50000,"HIGH VALUE","")</f>
        <v/>
      </c>
      <c r="X737">
        <f>IF(Q737&lt;0,"LOSS","")</f>
        <v/>
      </c>
      <c r="Y737">
        <f>IFS(M737&gt;=0.15,"Deep Discount",M737&gt;=0.1,"Moderate",TRUE,"Standard")</f>
        <v/>
      </c>
    </row>
    <row r="738">
      <c r="A738">
        <f>Raw_Data!A738</f>
        <v/>
      </c>
      <c r="B738" s="29">
        <f>Raw_Data!B738</f>
        <v/>
      </c>
      <c r="C738">
        <f>YEAR(B738)</f>
        <v/>
      </c>
      <c r="D738">
        <f>MONTH(B738)</f>
        <v/>
      </c>
      <c r="E738">
        <f>TEXT(B738,"MMM-YYYY")</f>
        <v/>
      </c>
      <c r="F738">
        <f>Raw_Data!C738</f>
        <v/>
      </c>
      <c r="G738">
        <f>Raw_Data!D738</f>
        <v/>
      </c>
      <c r="H738">
        <f>Raw_Data!E738</f>
        <v/>
      </c>
      <c r="I738">
        <f>Raw_Data!F738</f>
        <v/>
      </c>
      <c r="J738">
        <f>Raw_Data!G738</f>
        <v/>
      </c>
      <c r="K738">
        <f>Raw_Data!H738</f>
        <v/>
      </c>
      <c r="L738" s="30">
        <f>Raw_Data!I738</f>
        <v/>
      </c>
      <c r="M738" s="31">
        <f>Raw_Data!J738</f>
        <v/>
      </c>
      <c r="N738" s="17">
        <f>K738*L738</f>
        <v/>
      </c>
      <c r="O738" s="17">
        <f>N738*(1-M738)</f>
        <v/>
      </c>
      <c r="P738" s="17">
        <f>Raw_Data!L738</f>
        <v/>
      </c>
      <c r="Q738" s="17">
        <f>O738-P738</f>
        <v/>
      </c>
      <c r="R738" s="31">
        <f>IF(O738=0,0,Q738/O738)</f>
        <v/>
      </c>
      <c r="S738">
        <f>XLOOKUP(F738,Lookups!$B$7:$B$11,Lookups!$C$7:$C$11,"Unknown")</f>
        <v/>
      </c>
      <c r="T738" s="31">
        <f>XLOOKUP(G738,Lookups!$E$7:$E$11,Lookups!$F$7:$F$11,0)</f>
        <v/>
      </c>
      <c r="U738" s="32">
        <f>R738-T738</f>
        <v/>
      </c>
      <c r="V738">
        <f>XLOOKUP(I738,Lookups!$H$7:$H$10,Lookups!$I$7:$I$10,"")</f>
        <v/>
      </c>
      <c r="W738">
        <f>IF(O738&gt;=50000,"HIGH VALUE","")</f>
        <v/>
      </c>
      <c r="X738">
        <f>IF(Q738&lt;0,"LOSS","")</f>
        <v/>
      </c>
      <c r="Y738">
        <f>IFS(M738&gt;=0.15,"Deep Discount",M738&gt;=0.1,"Moderate",TRUE,"Standard")</f>
        <v/>
      </c>
    </row>
    <row r="739">
      <c r="A739">
        <f>Raw_Data!A739</f>
        <v/>
      </c>
      <c r="B739" s="29">
        <f>Raw_Data!B739</f>
        <v/>
      </c>
      <c r="C739">
        <f>YEAR(B739)</f>
        <v/>
      </c>
      <c r="D739">
        <f>MONTH(B739)</f>
        <v/>
      </c>
      <c r="E739">
        <f>TEXT(B739,"MMM-YYYY")</f>
        <v/>
      </c>
      <c r="F739">
        <f>Raw_Data!C739</f>
        <v/>
      </c>
      <c r="G739">
        <f>Raw_Data!D739</f>
        <v/>
      </c>
      <c r="H739">
        <f>Raw_Data!E739</f>
        <v/>
      </c>
      <c r="I739">
        <f>Raw_Data!F739</f>
        <v/>
      </c>
      <c r="J739">
        <f>Raw_Data!G739</f>
        <v/>
      </c>
      <c r="K739">
        <f>Raw_Data!H739</f>
        <v/>
      </c>
      <c r="L739" s="30">
        <f>Raw_Data!I739</f>
        <v/>
      </c>
      <c r="M739" s="31">
        <f>Raw_Data!J739</f>
        <v/>
      </c>
      <c r="N739" s="17">
        <f>K739*L739</f>
        <v/>
      </c>
      <c r="O739" s="17">
        <f>N739*(1-M739)</f>
        <v/>
      </c>
      <c r="P739" s="17">
        <f>Raw_Data!L739</f>
        <v/>
      </c>
      <c r="Q739" s="17">
        <f>O739-P739</f>
        <v/>
      </c>
      <c r="R739" s="31">
        <f>IF(O739=0,0,Q739/O739)</f>
        <v/>
      </c>
      <c r="S739">
        <f>XLOOKUP(F739,Lookups!$B$7:$B$11,Lookups!$C$7:$C$11,"Unknown")</f>
        <v/>
      </c>
      <c r="T739" s="31">
        <f>XLOOKUP(G739,Lookups!$E$7:$E$11,Lookups!$F$7:$F$11,0)</f>
        <v/>
      </c>
      <c r="U739" s="32">
        <f>R739-T739</f>
        <v/>
      </c>
      <c r="V739">
        <f>XLOOKUP(I739,Lookups!$H$7:$H$10,Lookups!$I$7:$I$10,"")</f>
        <v/>
      </c>
      <c r="W739">
        <f>IF(O739&gt;=50000,"HIGH VALUE","")</f>
        <v/>
      </c>
      <c r="X739">
        <f>IF(Q739&lt;0,"LOSS","")</f>
        <v/>
      </c>
      <c r="Y739">
        <f>IFS(M739&gt;=0.15,"Deep Discount",M739&gt;=0.1,"Moderate",TRUE,"Standard")</f>
        <v/>
      </c>
    </row>
    <row r="740">
      <c r="A740">
        <f>Raw_Data!A740</f>
        <v/>
      </c>
      <c r="B740" s="29">
        <f>Raw_Data!B740</f>
        <v/>
      </c>
      <c r="C740">
        <f>YEAR(B740)</f>
        <v/>
      </c>
      <c r="D740">
        <f>MONTH(B740)</f>
        <v/>
      </c>
      <c r="E740">
        <f>TEXT(B740,"MMM-YYYY")</f>
        <v/>
      </c>
      <c r="F740">
        <f>Raw_Data!C740</f>
        <v/>
      </c>
      <c r="G740">
        <f>Raw_Data!D740</f>
        <v/>
      </c>
      <c r="H740">
        <f>Raw_Data!E740</f>
        <v/>
      </c>
      <c r="I740">
        <f>Raw_Data!F740</f>
        <v/>
      </c>
      <c r="J740">
        <f>Raw_Data!G740</f>
        <v/>
      </c>
      <c r="K740">
        <f>Raw_Data!H740</f>
        <v/>
      </c>
      <c r="L740" s="30">
        <f>Raw_Data!I740</f>
        <v/>
      </c>
      <c r="M740" s="31">
        <f>Raw_Data!J740</f>
        <v/>
      </c>
      <c r="N740" s="17">
        <f>K740*L740</f>
        <v/>
      </c>
      <c r="O740" s="17">
        <f>N740*(1-M740)</f>
        <v/>
      </c>
      <c r="P740" s="17">
        <f>Raw_Data!L740</f>
        <v/>
      </c>
      <c r="Q740" s="17">
        <f>O740-P740</f>
        <v/>
      </c>
      <c r="R740" s="31">
        <f>IF(O740=0,0,Q740/O740)</f>
        <v/>
      </c>
      <c r="S740">
        <f>XLOOKUP(F740,Lookups!$B$7:$B$11,Lookups!$C$7:$C$11,"Unknown")</f>
        <v/>
      </c>
      <c r="T740" s="31">
        <f>XLOOKUP(G740,Lookups!$E$7:$E$11,Lookups!$F$7:$F$11,0)</f>
        <v/>
      </c>
      <c r="U740" s="32">
        <f>R740-T740</f>
        <v/>
      </c>
      <c r="V740">
        <f>XLOOKUP(I740,Lookups!$H$7:$H$10,Lookups!$I$7:$I$10,"")</f>
        <v/>
      </c>
      <c r="W740">
        <f>IF(O740&gt;=50000,"HIGH VALUE","")</f>
        <v/>
      </c>
      <c r="X740">
        <f>IF(Q740&lt;0,"LOSS","")</f>
        <v/>
      </c>
      <c r="Y740">
        <f>IFS(M740&gt;=0.15,"Deep Discount",M740&gt;=0.1,"Moderate",TRUE,"Standard")</f>
        <v/>
      </c>
    </row>
    <row r="741">
      <c r="A741">
        <f>Raw_Data!A741</f>
        <v/>
      </c>
      <c r="B741" s="29">
        <f>Raw_Data!B741</f>
        <v/>
      </c>
      <c r="C741">
        <f>YEAR(B741)</f>
        <v/>
      </c>
      <c r="D741">
        <f>MONTH(B741)</f>
        <v/>
      </c>
      <c r="E741">
        <f>TEXT(B741,"MMM-YYYY")</f>
        <v/>
      </c>
      <c r="F741">
        <f>Raw_Data!C741</f>
        <v/>
      </c>
      <c r="G741">
        <f>Raw_Data!D741</f>
        <v/>
      </c>
      <c r="H741">
        <f>Raw_Data!E741</f>
        <v/>
      </c>
      <c r="I741">
        <f>Raw_Data!F741</f>
        <v/>
      </c>
      <c r="J741">
        <f>Raw_Data!G741</f>
        <v/>
      </c>
      <c r="K741">
        <f>Raw_Data!H741</f>
        <v/>
      </c>
      <c r="L741" s="30">
        <f>Raw_Data!I741</f>
        <v/>
      </c>
      <c r="M741" s="31">
        <f>Raw_Data!J741</f>
        <v/>
      </c>
      <c r="N741" s="17">
        <f>K741*L741</f>
        <v/>
      </c>
      <c r="O741" s="17">
        <f>N741*(1-M741)</f>
        <v/>
      </c>
      <c r="P741" s="17">
        <f>Raw_Data!L741</f>
        <v/>
      </c>
      <c r="Q741" s="17">
        <f>O741-P741</f>
        <v/>
      </c>
      <c r="R741" s="31">
        <f>IF(O741=0,0,Q741/O741)</f>
        <v/>
      </c>
      <c r="S741">
        <f>XLOOKUP(F741,Lookups!$B$7:$B$11,Lookups!$C$7:$C$11,"Unknown")</f>
        <v/>
      </c>
      <c r="T741" s="31">
        <f>XLOOKUP(G741,Lookups!$E$7:$E$11,Lookups!$F$7:$F$11,0)</f>
        <v/>
      </c>
      <c r="U741" s="32">
        <f>R741-T741</f>
        <v/>
      </c>
      <c r="V741">
        <f>XLOOKUP(I741,Lookups!$H$7:$H$10,Lookups!$I$7:$I$10,"")</f>
        <v/>
      </c>
      <c r="W741">
        <f>IF(O741&gt;=50000,"HIGH VALUE","")</f>
        <v/>
      </c>
      <c r="X741">
        <f>IF(Q741&lt;0,"LOSS","")</f>
        <v/>
      </c>
      <c r="Y741">
        <f>IFS(M741&gt;=0.15,"Deep Discount",M741&gt;=0.1,"Moderate",TRUE,"Standard")</f>
        <v/>
      </c>
    </row>
    <row r="742">
      <c r="A742">
        <f>Raw_Data!A742</f>
        <v/>
      </c>
      <c r="B742" s="29">
        <f>Raw_Data!B742</f>
        <v/>
      </c>
      <c r="C742">
        <f>YEAR(B742)</f>
        <v/>
      </c>
      <c r="D742">
        <f>MONTH(B742)</f>
        <v/>
      </c>
      <c r="E742">
        <f>TEXT(B742,"MMM-YYYY")</f>
        <v/>
      </c>
      <c r="F742">
        <f>Raw_Data!C742</f>
        <v/>
      </c>
      <c r="G742">
        <f>Raw_Data!D742</f>
        <v/>
      </c>
      <c r="H742">
        <f>Raw_Data!E742</f>
        <v/>
      </c>
      <c r="I742">
        <f>Raw_Data!F742</f>
        <v/>
      </c>
      <c r="J742">
        <f>Raw_Data!G742</f>
        <v/>
      </c>
      <c r="K742">
        <f>Raw_Data!H742</f>
        <v/>
      </c>
      <c r="L742" s="30">
        <f>Raw_Data!I742</f>
        <v/>
      </c>
      <c r="M742" s="31">
        <f>Raw_Data!J742</f>
        <v/>
      </c>
      <c r="N742" s="17">
        <f>K742*L742</f>
        <v/>
      </c>
      <c r="O742" s="17">
        <f>N742*(1-M742)</f>
        <v/>
      </c>
      <c r="P742" s="17">
        <f>Raw_Data!L742</f>
        <v/>
      </c>
      <c r="Q742" s="17">
        <f>O742-P742</f>
        <v/>
      </c>
      <c r="R742" s="31">
        <f>IF(O742=0,0,Q742/O742)</f>
        <v/>
      </c>
      <c r="S742">
        <f>XLOOKUP(F742,Lookups!$B$7:$B$11,Lookups!$C$7:$C$11,"Unknown")</f>
        <v/>
      </c>
      <c r="T742" s="31">
        <f>XLOOKUP(G742,Lookups!$E$7:$E$11,Lookups!$F$7:$F$11,0)</f>
        <v/>
      </c>
      <c r="U742" s="32">
        <f>R742-T742</f>
        <v/>
      </c>
      <c r="V742">
        <f>XLOOKUP(I742,Lookups!$H$7:$H$10,Lookups!$I$7:$I$10,"")</f>
        <v/>
      </c>
      <c r="W742">
        <f>IF(O742&gt;=50000,"HIGH VALUE","")</f>
        <v/>
      </c>
      <c r="X742">
        <f>IF(Q742&lt;0,"LOSS","")</f>
        <v/>
      </c>
      <c r="Y742">
        <f>IFS(M742&gt;=0.15,"Deep Discount",M742&gt;=0.1,"Moderate",TRUE,"Standard")</f>
        <v/>
      </c>
    </row>
    <row r="743">
      <c r="A743">
        <f>Raw_Data!A743</f>
        <v/>
      </c>
      <c r="B743" s="29">
        <f>Raw_Data!B743</f>
        <v/>
      </c>
      <c r="C743">
        <f>YEAR(B743)</f>
        <v/>
      </c>
      <c r="D743">
        <f>MONTH(B743)</f>
        <v/>
      </c>
      <c r="E743">
        <f>TEXT(B743,"MMM-YYYY")</f>
        <v/>
      </c>
      <c r="F743">
        <f>Raw_Data!C743</f>
        <v/>
      </c>
      <c r="G743">
        <f>Raw_Data!D743</f>
        <v/>
      </c>
      <c r="H743">
        <f>Raw_Data!E743</f>
        <v/>
      </c>
      <c r="I743">
        <f>Raw_Data!F743</f>
        <v/>
      </c>
      <c r="J743">
        <f>Raw_Data!G743</f>
        <v/>
      </c>
      <c r="K743">
        <f>Raw_Data!H743</f>
        <v/>
      </c>
      <c r="L743" s="30">
        <f>Raw_Data!I743</f>
        <v/>
      </c>
      <c r="M743" s="31">
        <f>Raw_Data!J743</f>
        <v/>
      </c>
      <c r="N743" s="17">
        <f>K743*L743</f>
        <v/>
      </c>
      <c r="O743" s="17">
        <f>N743*(1-M743)</f>
        <v/>
      </c>
      <c r="P743" s="17">
        <f>Raw_Data!L743</f>
        <v/>
      </c>
      <c r="Q743" s="17">
        <f>O743-P743</f>
        <v/>
      </c>
      <c r="R743" s="31">
        <f>IF(O743=0,0,Q743/O743)</f>
        <v/>
      </c>
      <c r="S743">
        <f>XLOOKUP(F743,Lookups!$B$7:$B$11,Lookups!$C$7:$C$11,"Unknown")</f>
        <v/>
      </c>
      <c r="T743" s="31">
        <f>XLOOKUP(G743,Lookups!$E$7:$E$11,Lookups!$F$7:$F$11,0)</f>
        <v/>
      </c>
      <c r="U743" s="32">
        <f>R743-T743</f>
        <v/>
      </c>
      <c r="V743">
        <f>XLOOKUP(I743,Lookups!$H$7:$H$10,Lookups!$I$7:$I$10,"")</f>
        <v/>
      </c>
      <c r="W743">
        <f>IF(O743&gt;=50000,"HIGH VALUE","")</f>
        <v/>
      </c>
      <c r="X743">
        <f>IF(Q743&lt;0,"LOSS","")</f>
        <v/>
      </c>
      <c r="Y743">
        <f>IFS(M743&gt;=0.15,"Deep Discount",M743&gt;=0.1,"Moderate",TRUE,"Standard")</f>
        <v/>
      </c>
    </row>
    <row r="744">
      <c r="A744">
        <f>Raw_Data!A744</f>
        <v/>
      </c>
      <c r="B744" s="29">
        <f>Raw_Data!B744</f>
        <v/>
      </c>
      <c r="C744">
        <f>YEAR(B744)</f>
        <v/>
      </c>
      <c r="D744">
        <f>MONTH(B744)</f>
        <v/>
      </c>
      <c r="E744">
        <f>TEXT(B744,"MMM-YYYY")</f>
        <v/>
      </c>
      <c r="F744">
        <f>Raw_Data!C744</f>
        <v/>
      </c>
      <c r="G744">
        <f>Raw_Data!D744</f>
        <v/>
      </c>
      <c r="H744">
        <f>Raw_Data!E744</f>
        <v/>
      </c>
      <c r="I744">
        <f>Raw_Data!F744</f>
        <v/>
      </c>
      <c r="J744">
        <f>Raw_Data!G744</f>
        <v/>
      </c>
      <c r="K744">
        <f>Raw_Data!H744</f>
        <v/>
      </c>
      <c r="L744" s="30">
        <f>Raw_Data!I744</f>
        <v/>
      </c>
      <c r="M744" s="31">
        <f>Raw_Data!J744</f>
        <v/>
      </c>
      <c r="N744" s="17">
        <f>K744*L744</f>
        <v/>
      </c>
      <c r="O744" s="17">
        <f>N744*(1-M744)</f>
        <v/>
      </c>
      <c r="P744" s="17">
        <f>Raw_Data!L744</f>
        <v/>
      </c>
      <c r="Q744" s="17">
        <f>O744-P744</f>
        <v/>
      </c>
      <c r="R744" s="31">
        <f>IF(O744=0,0,Q744/O744)</f>
        <v/>
      </c>
      <c r="S744">
        <f>XLOOKUP(F744,Lookups!$B$7:$B$11,Lookups!$C$7:$C$11,"Unknown")</f>
        <v/>
      </c>
      <c r="T744" s="31">
        <f>XLOOKUP(G744,Lookups!$E$7:$E$11,Lookups!$F$7:$F$11,0)</f>
        <v/>
      </c>
      <c r="U744" s="32">
        <f>R744-T744</f>
        <v/>
      </c>
      <c r="V744">
        <f>XLOOKUP(I744,Lookups!$H$7:$H$10,Lookups!$I$7:$I$10,"")</f>
        <v/>
      </c>
      <c r="W744">
        <f>IF(O744&gt;=50000,"HIGH VALUE","")</f>
        <v/>
      </c>
      <c r="X744">
        <f>IF(Q744&lt;0,"LOSS","")</f>
        <v/>
      </c>
      <c r="Y744">
        <f>IFS(M744&gt;=0.15,"Deep Discount",M744&gt;=0.1,"Moderate",TRUE,"Standard")</f>
        <v/>
      </c>
    </row>
    <row r="745">
      <c r="A745">
        <f>Raw_Data!A745</f>
        <v/>
      </c>
      <c r="B745" s="29">
        <f>Raw_Data!B745</f>
        <v/>
      </c>
      <c r="C745">
        <f>YEAR(B745)</f>
        <v/>
      </c>
      <c r="D745">
        <f>MONTH(B745)</f>
        <v/>
      </c>
      <c r="E745">
        <f>TEXT(B745,"MMM-YYYY")</f>
        <v/>
      </c>
      <c r="F745">
        <f>Raw_Data!C745</f>
        <v/>
      </c>
      <c r="G745">
        <f>Raw_Data!D745</f>
        <v/>
      </c>
      <c r="H745">
        <f>Raw_Data!E745</f>
        <v/>
      </c>
      <c r="I745">
        <f>Raw_Data!F745</f>
        <v/>
      </c>
      <c r="J745">
        <f>Raw_Data!G745</f>
        <v/>
      </c>
      <c r="K745">
        <f>Raw_Data!H745</f>
        <v/>
      </c>
      <c r="L745" s="30">
        <f>Raw_Data!I745</f>
        <v/>
      </c>
      <c r="M745" s="31">
        <f>Raw_Data!J745</f>
        <v/>
      </c>
      <c r="N745" s="17">
        <f>K745*L745</f>
        <v/>
      </c>
      <c r="O745" s="17">
        <f>N745*(1-M745)</f>
        <v/>
      </c>
      <c r="P745" s="17">
        <f>Raw_Data!L745</f>
        <v/>
      </c>
      <c r="Q745" s="17">
        <f>O745-P745</f>
        <v/>
      </c>
      <c r="R745" s="31">
        <f>IF(O745=0,0,Q745/O745)</f>
        <v/>
      </c>
      <c r="S745">
        <f>XLOOKUP(F745,Lookups!$B$7:$B$11,Lookups!$C$7:$C$11,"Unknown")</f>
        <v/>
      </c>
      <c r="T745" s="31">
        <f>XLOOKUP(G745,Lookups!$E$7:$E$11,Lookups!$F$7:$F$11,0)</f>
        <v/>
      </c>
      <c r="U745" s="32">
        <f>R745-T745</f>
        <v/>
      </c>
      <c r="V745">
        <f>XLOOKUP(I745,Lookups!$H$7:$H$10,Lookups!$I$7:$I$10,"")</f>
        <v/>
      </c>
      <c r="W745">
        <f>IF(O745&gt;=50000,"HIGH VALUE","")</f>
        <v/>
      </c>
      <c r="X745">
        <f>IF(Q745&lt;0,"LOSS","")</f>
        <v/>
      </c>
      <c r="Y745">
        <f>IFS(M745&gt;=0.15,"Deep Discount",M745&gt;=0.1,"Moderate",TRUE,"Standard")</f>
        <v/>
      </c>
    </row>
    <row r="746">
      <c r="A746">
        <f>Raw_Data!A746</f>
        <v/>
      </c>
      <c r="B746" s="29">
        <f>Raw_Data!B746</f>
        <v/>
      </c>
      <c r="C746">
        <f>YEAR(B746)</f>
        <v/>
      </c>
      <c r="D746">
        <f>MONTH(B746)</f>
        <v/>
      </c>
      <c r="E746">
        <f>TEXT(B746,"MMM-YYYY")</f>
        <v/>
      </c>
      <c r="F746">
        <f>Raw_Data!C746</f>
        <v/>
      </c>
      <c r="G746">
        <f>Raw_Data!D746</f>
        <v/>
      </c>
      <c r="H746">
        <f>Raw_Data!E746</f>
        <v/>
      </c>
      <c r="I746">
        <f>Raw_Data!F746</f>
        <v/>
      </c>
      <c r="J746">
        <f>Raw_Data!G746</f>
        <v/>
      </c>
      <c r="K746">
        <f>Raw_Data!H746</f>
        <v/>
      </c>
      <c r="L746" s="30">
        <f>Raw_Data!I746</f>
        <v/>
      </c>
      <c r="M746" s="31">
        <f>Raw_Data!J746</f>
        <v/>
      </c>
      <c r="N746" s="17">
        <f>K746*L746</f>
        <v/>
      </c>
      <c r="O746" s="17">
        <f>N746*(1-M746)</f>
        <v/>
      </c>
      <c r="P746" s="17">
        <f>Raw_Data!L746</f>
        <v/>
      </c>
      <c r="Q746" s="17">
        <f>O746-P746</f>
        <v/>
      </c>
      <c r="R746" s="31">
        <f>IF(O746=0,0,Q746/O746)</f>
        <v/>
      </c>
      <c r="S746">
        <f>XLOOKUP(F746,Lookups!$B$7:$B$11,Lookups!$C$7:$C$11,"Unknown")</f>
        <v/>
      </c>
      <c r="T746" s="31">
        <f>XLOOKUP(G746,Lookups!$E$7:$E$11,Lookups!$F$7:$F$11,0)</f>
        <v/>
      </c>
      <c r="U746" s="32">
        <f>R746-T746</f>
        <v/>
      </c>
      <c r="V746">
        <f>XLOOKUP(I746,Lookups!$H$7:$H$10,Lookups!$I$7:$I$10,"")</f>
        <v/>
      </c>
      <c r="W746">
        <f>IF(O746&gt;=50000,"HIGH VALUE","")</f>
        <v/>
      </c>
      <c r="X746">
        <f>IF(Q746&lt;0,"LOSS","")</f>
        <v/>
      </c>
      <c r="Y746">
        <f>IFS(M746&gt;=0.15,"Deep Discount",M746&gt;=0.1,"Moderate",TRUE,"Standard")</f>
        <v/>
      </c>
    </row>
    <row r="747">
      <c r="A747">
        <f>Raw_Data!A747</f>
        <v/>
      </c>
      <c r="B747" s="29">
        <f>Raw_Data!B747</f>
        <v/>
      </c>
      <c r="C747">
        <f>YEAR(B747)</f>
        <v/>
      </c>
      <c r="D747">
        <f>MONTH(B747)</f>
        <v/>
      </c>
      <c r="E747">
        <f>TEXT(B747,"MMM-YYYY")</f>
        <v/>
      </c>
      <c r="F747">
        <f>Raw_Data!C747</f>
        <v/>
      </c>
      <c r="G747">
        <f>Raw_Data!D747</f>
        <v/>
      </c>
      <c r="H747">
        <f>Raw_Data!E747</f>
        <v/>
      </c>
      <c r="I747">
        <f>Raw_Data!F747</f>
        <v/>
      </c>
      <c r="J747">
        <f>Raw_Data!G747</f>
        <v/>
      </c>
      <c r="K747">
        <f>Raw_Data!H747</f>
        <v/>
      </c>
      <c r="L747" s="30">
        <f>Raw_Data!I747</f>
        <v/>
      </c>
      <c r="M747" s="31">
        <f>Raw_Data!J747</f>
        <v/>
      </c>
      <c r="N747" s="17">
        <f>K747*L747</f>
        <v/>
      </c>
      <c r="O747" s="17">
        <f>N747*(1-M747)</f>
        <v/>
      </c>
      <c r="P747" s="17">
        <f>Raw_Data!L747</f>
        <v/>
      </c>
      <c r="Q747" s="17">
        <f>O747-P747</f>
        <v/>
      </c>
      <c r="R747" s="31">
        <f>IF(O747=0,0,Q747/O747)</f>
        <v/>
      </c>
      <c r="S747">
        <f>XLOOKUP(F747,Lookups!$B$7:$B$11,Lookups!$C$7:$C$11,"Unknown")</f>
        <v/>
      </c>
      <c r="T747" s="31">
        <f>XLOOKUP(G747,Lookups!$E$7:$E$11,Lookups!$F$7:$F$11,0)</f>
        <v/>
      </c>
      <c r="U747" s="32">
        <f>R747-T747</f>
        <v/>
      </c>
      <c r="V747">
        <f>XLOOKUP(I747,Lookups!$H$7:$H$10,Lookups!$I$7:$I$10,"")</f>
        <v/>
      </c>
      <c r="W747">
        <f>IF(O747&gt;=50000,"HIGH VALUE","")</f>
        <v/>
      </c>
      <c r="X747">
        <f>IF(Q747&lt;0,"LOSS","")</f>
        <v/>
      </c>
      <c r="Y747">
        <f>IFS(M747&gt;=0.15,"Deep Discount",M747&gt;=0.1,"Moderate",TRUE,"Standard")</f>
        <v/>
      </c>
    </row>
    <row r="748">
      <c r="A748">
        <f>Raw_Data!A748</f>
        <v/>
      </c>
      <c r="B748" s="29">
        <f>Raw_Data!B748</f>
        <v/>
      </c>
      <c r="C748">
        <f>YEAR(B748)</f>
        <v/>
      </c>
      <c r="D748">
        <f>MONTH(B748)</f>
        <v/>
      </c>
      <c r="E748">
        <f>TEXT(B748,"MMM-YYYY")</f>
        <v/>
      </c>
      <c r="F748">
        <f>Raw_Data!C748</f>
        <v/>
      </c>
      <c r="G748">
        <f>Raw_Data!D748</f>
        <v/>
      </c>
      <c r="H748">
        <f>Raw_Data!E748</f>
        <v/>
      </c>
      <c r="I748">
        <f>Raw_Data!F748</f>
        <v/>
      </c>
      <c r="J748">
        <f>Raw_Data!G748</f>
        <v/>
      </c>
      <c r="K748">
        <f>Raw_Data!H748</f>
        <v/>
      </c>
      <c r="L748" s="30">
        <f>Raw_Data!I748</f>
        <v/>
      </c>
      <c r="M748" s="31">
        <f>Raw_Data!J748</f>
        <v/>
      </c>
      <c r="N748" s="17">
        <f>K748*L748</f>
        <v/>
      </c>
      <c r="O748" s="17">
        <f>N748*(1-M748)</f>
        <v/>
      </c>
      <c r="P748" s="17">
        <f>Raw_Data!L748</f>
        <v/>
      </c>
      <c r="Q748" s="17">
        <f>O748-P748</f>
        <v/>
      </c>
      <c r="R748" s="31">
        <f>IF(O748=0,0,Q748/O748)</f>
        <v/>
      </c>
      <c r="S748">
        <f>XLOOKUP(F748,Lookups!$B$7:$B$11,Lookups!$C$7:$C$11,"Unknown")</f>
        <v/>
      </c>
      <c r="T748" s="31">
        <f>XLOOKUP(G748,Lookups!$E$7:$E$11,Lookups!$F$7:$F$11,0)</f>
        <v/>
      </c>
      <c r="U748" s="32">
        <f>R748-T748</f>
        <v/>
      </c>
      <c r="V748">
        <f>XLOOKUP(I748,Lookups!$H$7:$H$10,Lookups!$I$7:$I$10,"")</f>
        <v/>
      </c>
      <c r="W748">
        <f>IF(O748&gt;=50000,"HIGH VALUE","")</f>
        <v/>
      </c>
      <c r="X748">
        <f>IF(Q748&lt;0,"LOSS","")</f>
        <v/>
      </c>
      <c r="Y748">
        <f>IFS(M748&gt;=0.15,"Deep Discount",M748&gt;=0.1,"Moderate",TRUE,"Standard")</f>
        <v/>
      </c>
    </row>
    <row r="749">
      <c r="A749">
        <f>Raw_Data!A749</f>
        <v/>
      </c>
      <c r="B749" s="29">
        <f>Raw_Data!B749</f>
        <v/>
      </c>
      <c r="C749">
        <f>YEAR(B749)</f>
        <v/>
      </c>
      <c r="D749">
        <f>MONTH(B749)</f>
        <v/>
      </c>
      <c r="E749">
        <f>TEXT(B749,"MMM-YYYY")</f>
        <v/>
      </c>
      <c r="F749">
        <f>Raw_Data!C749</f>
        <v/>
      </c>
      <c r="G749">
        <f>Raw_Data!D749</f>
        <v/>
      </c>
      <c r="H749">
        <f>Raw_Data!E749</f>
        <v/>
      </c>
      <c r="I749">
        <f>Raw_Data!F749</f>
        <v/>
      </c>
      <c r="J749">
        <f>Raw_Data!G749</f>
        <v/>
      </c>
      <c r="K749">
        <f>Raw_Data!H749</f>
        <v/>
      </c>
      <c r="L749" s="30">
        <f>Raw_Data!I749</f>
        <v/>
      </c>
      <c r="M749" s="31">
        <f>Raw_Data!J749</f>
        <v/>
      </c>
      <c r="N749" s="17">
        <f>K749*L749</f>
        <v/>
      </c>
      <c r="O749" s="17">
        <f>N749*(1-M749)</f>
        <v/>
      </c>
      <c r="P749" s="17">
        <f>Raw_Data!L749</f>
        <v/>
      </c>
      <c r="Q749" s="17">
        <f>O749-P749</f>
        <v/>
      </c>
      <c r="R749" s="31">
        <f>IF(O749=0,0,Q749/O749)</f>
        <v/>
      </c>
      <c r="S749">
        <f>XLOOKUP(F749,Lookups!$B$7:$B$11,Lookups!$C$7:$C$11,"Unknown")</f>
        <v/>
      </c>
      <c r="T749" s="31">
        <f>XLOOKUP(G749,Lookups!$E$7:$E$11,Lookups!$F$7:$F$11,0)</f>
        <v/>
      </c>
      <c r="U749" s="32">
        <f>R749-T749</f>
        <v/>
      </c>
      <c r="V749">
        <f>XLOOKUP(I749,Lookups!$H$7:$H$10,Lookups!$I$7:$I$10,"")</f>
        <v/>
      </c>
      <c r="W749">
        <f>IF(O749&gt;=50000,"HIGH VALUE","")</f>
        <v/>
      </c>
      <c r="X749">
        <f>IF(Q749&lt;0,"LOSS","")</f>
        <v/>
      </c>
      <c r="Y749">
        <f>IFS(M749&gt;=0.15,"Deep Discount",M749&gt;=0.1,"Moderate",TRUE,"Standard")</f>
        <v/>
      </c>
    </row>
    <row r="750">
      <c r="A750">
        <f>Raw_Data!A750</f>
        <v/>
      </c>
      <c r="B750" s="29">
        <f>Raw_Data!B750</f>
        <v/>
      </c>
      <c r="C750">
        <f>YEAR(B750)</f>
        <v/>
      </c>
      <c r="D750">
        <f>MONTH(B750)</f>
        <v/>
      </c>
      <c r="E750">
        <f>TEXT(B750,"MMM-YYYY")</f>
        <v/>
      </c>
      <c r="F750">
        <f>Raw_Data!C750</f>
        <v/>
      </c>
      <c r="G750">
        <f>Raw_Data!D750</f>
        <v/>
      </c>
      <c r="H750">
        <f>Raw_Data!E750</f>
        <v/>
      </c>
      <c r="I750">
        <f>Raw_Data!F750</f>
        <v/>
      </c>
      <c r="J750">
        <f>Raw_Data!G750</f>
        <v/>
      </c>
      <c r="K750">
        <f>Raw_Data!H750</f>
        <v/>
      </c>
      <c r="L750" s="30">
        <f>Raw_Data!I750</f>
        <v/>
      </c>
      <c r="M750" s="31">
        <f>Raw_Data!J750</f>
        <v/>
      </c>
      <c r="N750" s="17">
        <f>K750*L750</f>
        <v/>
      </c>
      <c r="O750" s="17">
        <f>N750*(1-M750)</f>
        <v/>
      </c>
      <c r="P750" s="17">
        <f>Raw_Data!L750</f>
        <v/>
      </c>
      <c r="Q750" s="17">
        <f>O750-P750</f>
        <v/>
      </c>
      <c r="R750" s="31">
        <f>IF(O750=0,0,Q750/O750)</f>
        <v/>
      </c>
      <c r="S750">
        <f>XLOOKUP(F750,Lookups!$B$7:$B$11,Lookups!$C$7:$C$11,"Unknown")</f>
        <v/>
      </c>
      <c r="T750" s="31">
        <f>XLOOKUP(G750,Lookups!$E$7:$E$11,Lookups!$F$7:$F$11,0)</f>
        <v/>
      </c>
      <c r="U750" s="32">
        <f>R750-T750</f>
        <v/>
      </c>
      <c r="V750">
        <f>XLOOKUP(I750,Lookups!$H$7:$H$10,Lookups!$I$7:$I$10,"")</f>
        <v/>
      </c>
      <c r="W750">
        <f>IF(O750&gt;=50000,"HIGH VALUE","")</f>
        <v/>
      </c>
      <c r="X750">
        <f>IF(Q750&lt;0,"LOSS","")</f>
        <v/>
      </c>
      <c r="Y750">
        <f>IFS(M750&gt;=0.15,"Deep Discount",M750&gt;=0.1,"Moderate",TRUE,"Standard")</f>
        <v/>
      </c>
    </row>
    <row r="751">
      <c r="A751">
        <f>Raw_Data!A751</f>
        <v/>
      </c>
      <c r="B751" s="29">
        <f>Raw_Data!B751</f>
        <v/>
      </c>
      <c r="C751">
        <f>YEAR(B751)</f>
        <v/>
      </c>
      <c r="D751">
        <f>MONTH(B751)</f>
        <v/>
      </c>
      <c r="E751">
        <f>TEXT(B751,"MMM-YYYY")</f>
        <v/>
      </c>
      <c r="F751">
        <f>Raw_Data!C751</f>
        <v/>
      </c>
      <c r="G751">
        <f>Raw_Data!D751</f>
        <v/>
      </c>
      <c r="H751">
        <f>Raw_Data!E751</f>
        <v/>
      </c>
      <c r="I751">
        <f>Raw_Data!F751</f>
        <v/>
      </c>
      <c r="J751">
        <f>Raw_Data!G751</f>
        <v/>
      </c>
      <c r="K751">
        <f>Raw_Data!H751</f>
        <v/>
      </c>
      <c r="L751" s="30">
        <f>Raw_Data!I751</f>
        <v/>
      </c>
      <c r="M751" s="31">
        <f>Raw_Data!J751</f>
        <v/>
      </c>
      <c r="N751" s="17">
        <f>K751*L751</f>
        <v/>
      </c>
      <c r="O751" s="17">
        <f>N751*(1-M751)</f>
        <v/>
      </c>
      <c r="P751" s="17">
        <f>Raw_Data!L751</f>
        <v/>
      </c>
      <c r="Q751" s="17">
        <f>O751-P751</f>
        <v/>
      </c>
      <c r="R751" s="31">
        <f>IF(O751=0,0,Q751/O751)</f>
        <v/>
      </c>
      <c r="S751">
        <f>XLOOKUP(F751,Lookups!$B$7:$B$11,Lookups!$C$7:$C$11,"Unknown")</f>
        <v/>
      </c>
      <c r="T751" s="31">
        <f>XLOOKUP(G751,Lookups!$E$7:$E$11,Lookups!$F$7:$F$11,0)</f>
        <v/>
      </c>
      <c r="U751" s="32">
        <f>R751-T751</f>
        <v/>
      </c>
      <c r="V751">
        <f>XLOOKUP(I751,Lookups!$H$7:$H$10,Lookups!$I$7:$I$10,"")</f>
        <v/>
      </c>
      <c r="W751">
        <f>IF(O751&gt;=50000,"HIGH VALUE","")</f>
        <v/>
      </c>
      <c r="X751">
        <f>IF(Q751&lt;0,"LOSS","")</f>
        <v/>
      </c>
      <c r="Y751">
        <f>IFS(M751&gt;=0.15,"Deep Discount",M751&gt;=0.1,"Moderate",TRUE,"Standard")</f>
        <v/>
      </c>
    </row>
    <row r="752">
      <c r="A752">
        <f>Raw_Data!A752</f>
        <v/>
      </c>
      <c r="B752" s="29">
        <f>Raw_Data!B752</f>
        <v/>
      </c>
      <c r="C752">
        <f>YEAR(B752)</f>
        <v/>
      </c>
      <c r="D752">
        <f>MONTH(B752)</f>
        <v/>
      </c>
      <c r="E752">
        <f>TEXT(B752,"MMM-YYYY")</f>
        <v/>
      </c>
      <c r="F752">
        <f>Raw_Data!C752</f>
        <v/>
      </c>
      <c r="G752">
        <f>Raw_Data!D752</f>
        <v/>
      </c>
      <c r="H752">
        <f>Raw_Data!E752</f>
        <v/>
      </c>
      <c r="I752">
        <f>Raw_Data!F752</f>
        <v/>
      </c>
      <c r="J752">
        <f>Raw_Data!G752</f>
        <v/>
      </c>
      <c r="K752">
        <f>Raw_Data!H752</f>
        <v/>
      </c>
      <c r="L752" s="30">
        <f>Raw_Data!I752</f>
        <v/>
      </c>
      <c r="M752" s="31">
        <f>Raw_Data!J752</f>
        <v/>
      </c>
      <c r="N752" s="17">
        <f>K752*L752</f>
        <v/>
      </c>
      <c r="O752" s="17">
        <f>N752*(1-M752)</f>
        <v/>
      </c>
      <c r="P752" s="17">
        <f>Raw_Data!L752</f>
        <v/>
      </c>
      <c r="Q752" s="17">
        <f>O752-P752</f>
        <v/>
      </c>
      <c r="R752" s="31">
        <f>IF(O752=0,0,Q752/O752)</f>
        <v/>
      </c>
      <c r="S752">
        <f>XLOOKUP(F752,Lookups!$B$7:$B$11,Lookups!$C$7:$C$11,"Unknown")</f>
        <v/>
      </c>
      <c r="T752" s="31">
        <f>XLOOKUP(G752,Lookups!$E$7:$E$11,Lookups!$F$7:$F$11,0)</f>
        <v/>
      </c>
      <c r="U752" s="32">
        <f>R752-T752</f>
        <v/>
      </c>
      <c r="V752">
        <f>XLOOKUP(I752,Lookups!$H$7:$H$10,Lookups!$I$7:$I$10,"")</f>
        <v/>
      </c>
      <c r="W752">
        <f>IF(O752&gt;=50000,"HIGH VALUE","")</f>
        <v/>
      </c>
      <c r="X752">
        <f>IF(Q752&lt;0,"LOSS","")</f>
        <v/>
      </c>
      <c r="Y752">
        <f>IFS(M752&gt;=0.15,"Deep Discount",M752&gt;=0.1,"Moderate",TRUE,"Standard")</f>
        <v/>
      </c>
    </row>
    <row r="753">
      <c r="A753">
        <f>Raw_Data!A753</f>
        <v/>
      </c>
      <c r="B753" s="29">
        <f>Raw_Data!B753</f>
        <v/>
      </c>
      <c r="C753">
        <f>YEAR(B753)</f>
        <v/>
      </c>
      <c r="D753">
        <f>MONTH(B753)</f>
        <v/>
      </c>
      <c r="E753">
        <f>TEXT(B753,"MMM-YYYY")</f>
        <v/>
      </c>
      <c r="F753">
        <f>Raw_Data!C753</f>
        <v/>
      </c>
      <c r="G753">
        <f>Raw_Data!D753</f>
        <v/>
      </c>
      <c r="H753">
        <f>Raw_Data!E753</f>
        <v/>
      </c>
      <c r="I753">
        <f>Raw_Data!F753</f>
        <v/>
      </c>
      <c r="J753">
        <f>Raw_Data!G753</f>
        <v/>
      </c>
      <c r="K753">
        <f>Raw_Data!H753</f>
        <v/>
      </c>
      <c r="L753" s="30">
        <f>Raw_Data!I753</f>
        <v/>
      </c>
      <c r="M753" s="31">
        <f>Raw_Data!J753</f>
        <v/>
      </c>
      <c r="N753" s="17">
        <f>K753*L753</f>
        <v/>
      </c>
      <c r="O753" s="17">
        <f>N753*(1-M753)</f>
        <v/>
      </c>
      <c r="P753" s="17">
        <f>Raw_Data!L753</f>
        <v/>
      </c>
      <c r="Q753" s="17">
        <f>O753-P753</f>
        <v/>
      </c>
      <c r="R753" s="31">
        <f>IF(O753=0,0,Q753/O753)</f>
        <v/>
      </c>
      <c r="S753">
        <f>XLOOKUP(F753,Lookups!$B$7:$B$11,Lookups!$C$7:$C$11,"Unknown")</f>
        <v/>
      </c>
      <c r="T753" s="31">
        <f>XLOOKUP(G753,Lookups!$E$7:$E$11,Lookups!$F$7:$F$11,0)</f>
        <v/>
      </c>
      <c r="U753" s="32">
        <f>R753-T753</f>
        <v/>
      </c>
      <c r="V753">
        <f>XLOOKUP(I753,Lookups!$H$7:$H$10,Lookups!$I$7:$I$10,"")</f>
        <v/>
      </c>
      <c r="W753">
        <f>IF(O753&gt;=50000,"HIGH VALUE","")</f>
        <v/>
      </c>
      <c r="X753">
        <f>IF(Q753&lt;0,"LOSS","")</f>
        <v/>
      </c>
      <c r="Y753">
        <f>IFS(M753&gt;=0.15,"Deep Discount",M753&gt;=0.1,"Moderate",TRUE,"Standard")</f>
        <v/>
      </c>
    </row>
    <row r="754">
      <c r="A754">
        <f>Raw_Data!A754</f>
        <v/>
      </c>
      <c r="B754" s="29">
        <f>Raw_Data!B754</f>
        <v/>
      </c>
      <c r="C754">
        <f>YEAR(B754)</f>
        <v/>
      </c>
      <c r="D754">
        <f>MONTH(B754)</f>
        <v/>
      </c>
      <c r="E754">
        <f>TEXT(B754,"MMM-YYYY")</f>
        <v/>
      </c>
      <c r="F754">
        <f>Raw_Data!C754</f>
        <v/>
      </c>
      <c r="G754">
        <f>Raw_Data!D754</f>
        <v/>
      </c>
      <c r="H754">
        <f>Raw_Data!E754</f>
        <v/>
      </c>
      <c r="I754">
        <f>Raw_Data!F754</f>
        <v/>
      </c>
      <c r="J754">
        <f>Raw_Data!G754</f>
        <v/>
      </c>
      <c r="K754">
        <f>Raw_Data!H754</f>
        <v/>
      </c>
      <c r="L754" s="30">
        <f>Raw_Data!I754</f>
        <v/>
      </c>
      <c r="M754" s="31">
        <f>Raw_Data!J754</f>
        <v/>
      </c>
      <c r="N754" s="17">
        <f>K754*L754</f>
        <v/>
      </c>
      <c r="O754" s="17">
        <f>N754*(1-M754)</f>
        <v/>
      </c>
      <c r="P754" s="17">
        <f>Raw_Data!L754</f>
        <v/>
      </c>
      <c r="Q754" s="17">
        <f>O754-P754</f>
        <v/>
      </c>
      <c r="R754" s="31">
        <f>IF(O754=0,0,Q754/O754)</f>
        <v/>
      </c>
      <c r="S754">
        <f>XLOOKUP(F754,Lookups!$B$7:$B$11,Lookups!$C$7:$C$11,"Unknown")</f>
        <v/>
      </c>
      <c r="T754" s="31">
        <f>XLOOKUP(G754,Lookups!$E$7:$E$11,Lookups!$F$7:$F$11,0)</f>
        <v/>
      </c>
      <c r="U754" s="32">
        <f>R754-T754</f>
        <v/>
      </c>
      <c r="V754">
        <f>XLOOKUP(I754,Lookups!$H$7:$H$10,Lookups!$I$7:$I$10,"")</f>
        <v/>
      </c>
      <c r="W754">
        <f>IF(O754&gt;=50000,"HIGH VALUE","")</f>
        <v/>
      </c>
      <c r="X754">
        <f>IF(Q754&lt;0,"LOSS","")</f>
        <v/>
      </c>
      <c r="Y754">
        <f>IFS(M754&gt;=0.15,"Deep Discount",M754&gt;=0.1,"Moderate",TRUE,"Standard")</f>
        <v/>
      </c>
    </row>
    <row r="755">
      <c r="A755">
        <f>Raw_Data!A755</f>
        <v/>
      </c>
      <c r="B755" s="29">
        <f>Raw_Data!B755</f>
        <v/>
      </c>
      <c r="C755">
        <f>YEAR(B755)</f>
        <v/>
      </c>
      <c r="D755">
        <f>MONTH(B755)</f>
        <v/>
      </c>
      <c r="E755">
        <f>TEXT(B755,"MMM-YYYY")</f>
        <v/>
      </c>
      <c r="F755">
        <f>Raw_Data!C755</f>
        <v/>
      </c>
      <c r="G755">
        <f>Raw_Data!D755</f>
        <v/>
      </c>
      <c r="H755">
        <f>Raw_Data!E755</f>
        <v/>
      </c>
      <c r="I755">
        <f>Raw_Data!F755</f>
        <v/>
      </c>
      <c r="J755">
        <f>Raw_Data!G755</f>
        <v/>
      </c>
      <c r="K755">
        <f>Raw_Data!H755</f>
        <v/>
      </c>
      <c r="L755" s="30">
        <f>Raw_Data!I755</f>
        <v/>
      </c>
      <c r="M755" s="31">
        <f>Raw_Data!J755</f>
        <v/>
      </c>
      <c r="N755" s="17">
        <f>K755*L755</f>
        <v/>
      </c>
      <c r="O755" s="17">
        <f>N755*(1-M755)</f>
        <v/>
      </c>
      <c r="P755" s="17">
        <f>Raw_Data!L755</f>
        <v/>
      </c>
      <c r="Q755" s="17">
        <f>O755-P755</f>
        <v/>
      </c>
      <c r="R755" s="31">
        <f>IF(O755=0,0,Q755/O755)</f>
        <v/>
      </c>
      <c r="S755">
        <f>XLOOKUP(F755,Lookups!$B$7:$B$11,Lookups!$C$7:$C$11,"Unknown")</f>
        <v/>
      </c>
      <c r="T755" s="31">
        <f>XLOOKUP(G755,Lookups!$E$7:$E$11,Lookups!$F$7:$F$11,0)</f>
        <v/>
      </c>
      <c r="U755" s="32">
        <f>R755-T755</f>
        <v/>
      </c>
      <c r="V755">
        <f>XLOOKUP(I755,Lookups!$H$7:$H$10,Lookups!$I$7:$I$10,"")</f>
        <v/>
      </c>
      <c r="W755">
        <f>IF(O755&gt;=50000,"HIGH VALUE","")</f>
        <v/>
      </c>
      <c r="X755">
        <f>IF(Q755&lt;0,"LOSS","")</f>
        <v/>
      </c>
      <c r="Y755">
        <f>IFS(M755&gt;=0.15,"Deep Discount",M755&gt;=0.1,"Moderate",TRUE,"Standard")</f>
        <v/>
      </c>
    </row>
    <row r="756">
      <c r="A756">
        <f>Raw_Data!A756</f>
        <v/>
      </c>
      <c r="B756" s="29">
        <f>Raw_Data!B756</f>
        <v/>
      </c>
      <c r="C756">
        <f>YEAR(B756)</f>
        <v/>
      </c>
      <c r="D756">
        <f>MONTH(B756)</f>
        <v/>
      </c>
      <c r="E756">
        <f>TEXT(B756,"MMM-YYYY")</f>
        <v/>
      </c>
      <c r="F756">
        <f>Raw_Data!C756</f>
        <v/>
      </c>
      <c r="G756">
        <f>Raw_Data!D756</f>
        <v/>
      </c>
      <c r="H756">
        <f>Raw_Data!E756</f>
        <v/>
      </c>
      <c r="I756">
        <f>Raw_Data!F756</f>
        <v/>
      </c>
      <c r="J756">
        <f>Raw_Data!G756</f>
        <v/>
      </c>
      <c r="K756">
        <f>Raw_Data!H756</f>
        <v/>
      </c>
      <c r="L756" s="30">
        <f>Raw_Data!I756</f>
        <v/>
      </c>
      <c r="M756" s="31">
        <f>Raw_Data!J756</f>
        <v/>
      </c>
      <c r="N756" s="17">
        <f>K756*L756</f>
        <v/>
      </c>
      <c r="O756" s="17">
        <f>N756*(1-M756)</f>
        <v/>
      </c>
      <c r="P756" s="17">
        <f>Raw_Data!L756</f>
        <v/>
      </c>
      <c r="Q756" s="17">
        <f>O756-P756</f>
        <v/>
      </c>
      <c r="R756" s="31">
        <f>IF(O756=0,0,Q756/O756)</f>
        <v/>
      </c>
      <c r="S756">
        <f>XLOOKUP(F756,Lookups!$B$7:$B$11,Lookups!$C$7:$C$11,"Unknown")</f>
        <v/>
      </c>
      <c r="T756" s="31">
        <f>XLOOKUP(G756,Lookups!$E$7:$E$11,Lookups!$F$7:$F$11,0)</f>
        <v/>
      </c>
      <c r="U756" s="32">
        <f>R756-T756</f>
        <v/>
      </c>
      <c r="V756">
        <f>XLOOKUP(I756,Lookups!$H$7:$H$10,Lookups!$I$7:$I$10,"")</f>
        <v/>
      </c>
      <c r="W756">
        <f>IF(O756&gt;=50000,"HIGH VALUE","")</f>
        <v/>
      </c>
      <c r="X756">
        <f>IF(Q756&lt;0,"LOSS","")</f>
        <v/>
      </c>
      <c r="Y756">
        <f>IFS(M756&gt;=0.15,"Deep Discount",M756&gt;=0.1,"Moderate",TRUE,"Standard")</f>
        <v/>
      </c>
    </row>
    <row r="757">
      <c r="A757">
        <f>Raw_Data!A757</f>
        <v/>
      </c>
      <c r="B757" s="29">
        <f>Raw_Data!B757</f>
        <v/>
      </c>
      <c r="C757">
        <f>YEAR(B757)</f>
        <v/>
      </c>
      <c r="D757">
        <f>MONTH(B757)</f>
        <v/>
      </c>
      <c r="E757">
        <f>TEXT(B757,"MMM-YYYY")</f>
        <v/>
      </c>
      <c r="F757">
        <f>Raw_Data!C757</f>
        <v/>
      </c>
      <c r="G757">
        <f>Raw_Data!D757</f>
        <v/>
      </c>
      <c r="H757">
        <f>Raw_Data!E757</f>
        <v/>
      </c>
      <c r="I757">
        <f>Raw_Data!F757</f>
        <v/>
      </c>
      <c r="J757">
        <f>Raw_Data!G757</f>
        <v/>
      </c>
      <c r="K757">
        <f>Raw_Data!H757</f>
        <v/>
      </c>
      <c r="L757" s="30">
        <f>Raw_Data!I757</f>
        <v/>
      </c>
      <c r="M757" s="31">
        <f>Raw_Data!J757</f>
        <v/>
      </c>
      <c r="N757" s="17">
        <f>K757*L757</f>
        <v/>
      </c>
      <c r="O757" s="17">
        <f>N757*(1-M757)</f>
        <v/>
      </c>
      <c r="P757" s="17">
        <f>Raw_Data!L757</f>
        <v/>
      </c>
      <c r="Q757" s="17">
        <f>O757-P757</f>
        <v/>
      </c>
      <c r="R757" s="31">
        <f>IF(O757=0,0,Q757/O757)</f>
        <v/>
      </c>
      <c r="S757">
        <f>XLOOKUP(F757,Lookups!$B$7:$B$11,Lookups!$C$7:$C$11,"Unknown")</f>
        <v/>
      </c>
      <c r="T757" s="31">
        <f>XLOOKUP(G757,Lookups!$E$7:$E$11,Lookups!$F$7:$F$11,0)</f>
        <v/>
      </c>
      <c r="U757" s="32">
        <f>R757-T757</f>
        <v/>
      </c>
      <c r="V757">
        <f>XLOOKUP(I757,Lookups!$H$7:$H$10,Lookups!$I$7:$I$10,"")</f>
        <v/>
      </c>
      <c r="W757">
        <f>IF(O757&gt;=50000,"HIGH VALUE","")</f>
        <v/>
      </c>
      <c r="X757">
        <f>IF(Q757&lt;0,"LOSS","")</f>
        <v/>
      </c>
      <c r="Y757">
        <f>IFS(M757&gt;=0.15,"Deep Discount",M757&gt;=0.1,"Moderate",TRUE,"Standard")</f>
        <v/>
      </c>
    </row>
    <row r="758">
      <c r="A758">
        <f>Raw_Data!A758</f>
        <v/>
      </c>
      <c r="B758" s="29">
        <f>Raw_Data!B758</f>
        <v/>
      </c>
      <c r="C758">
        <f>YEAR(B758)</f>
        <v/>
      </c>
      <c r="D758">
        <f>MONTH(B758)</f>
        <v/>
      </c>
      <c r="E758">
        <f>TEXT(B758,"MMM-YYYY")</f>
        <v/>
      </c>
      <c r="F758">
        <f>Raw_Data!C758</f>
        <v/>
      </c>
      <c r="G758">
        <f>Raw_Data!D758</f>
        <v/>
      </c>
      <c r="H758">
        <f>Raw_Data!E758</f>
        <v/>
      </c>
      <c r="I758">
        <f>Raw_Data!F758</f>
        <v/>
      </c>
      <c r="J758">
        <f>Raw_Data!G758</f>
        <v/>
      </c>
      <c r="K758">
        <f>Raw_Data!H758</f>
        <v/>
      </c>
      <c r="L758" s="30">
        <f>Raw_Data!I758</f>
        <v/>
      </c>
      <c r="M758" s="31">
        <f>Raw_Data!J758</f>
        <v/>
      </c>
      <c r="N758" s="17">
        <f>K758*L758</f>
        <v/>
      </c>
      <c r="O758" s="17">
        <f>N758*(1-M758)</f>
        <v/>
      </c>
      <c r="P758" s="17">
        <f>Raw_Data!L758</f>
        <v/>
      </c>
      <c r="Q758" s="17">
        <f>O758-P758</f>
        <v/>
      </c>
      <c r="R758" s="31">
        <f>IF(O758=0,0,Q758/O758)</f>
        <v/>
      </c>
      <c r="S758">
        <f>XLOOKUP(F758,Lookups!$B$7:$B$11,Lookups!$C$7:$C$11,"Unknown")</f>
        <v/>
      </c>
      <c r="T758" s="31">
        <f>XLOOKUP(G758,Lookups!$E$7:$E$11,Lookups!$F$7:$F$11,0)</f>
        <v/>
      </c>
      <c r="U758" s="32">
        <f>R758-T758</f>
        <v/>
      </c>
      <c r="V758">
        <f>XLOOKUP(I758,Lookups!$H$7:$H$10,Lookups!$I$7:$I$10,"")</f>
        <v/>
      </c>
      <c r="W758">
        <f>IF(O758&gt;=50000,"HIGH VALUE","")</f>
        <v/>
      </c>
      <c r="X758">
        <f>IF(Q758&lt;0,"LOSS","")</f>
        <v/>
      </c>
      <c r="Y758">
        <f>IFS(M758&gt;=0.15,"Deep Discount",M758&gt;=0.1,"Moderate",TRUE,"Standard")</f>
        <v/>
      </c>
    </row>
    <row r="759">
      <c r="A759">
        <f>Raw_Data!A759</f>
        <v/>
      </c>
      <c r="B759" s="29">
        <f>Raw_Data!B759</f>
        <v/>
      </c>
      <c r="C759">
        <f>YEAR(B759)</f>
        <v/>
      </c>
      <c r="D759">
        <f>MONTH(B759)</f>
        <v/>
      </c>
      <c r="E759">
        <f>TEXT(B759,"MMM-YYYY")</f>
        <v/>
      </c>
      <c r="F759">
        <f>Raw_Data!C759</f>
        <v/>
      </c>
      <c r="G759">
        <f>Raw_Data!D759</f>
        <v/>
      </c>
      <c r="H759">
        <f>Raw_Data!E759</f>
        <v/>
      </c>
      <c r="I759">
        <f>Raw_Data!F759</f>
        <v/>
      </c>
      <c r="J759">
        <f>Raw_Data!G759</f>
        <v/>
      </c>
      <c r="K759">
        <f>Raw_Data!H759</f>
        <v/>
      </c>
      <c r="L759" s="30">
        <f>Raw_Data!I759</f>
        <v/>
      </c>
      <c r="M759" s="31">
        <f>Raw_Data!J759</f>
        <v/>
      </c>
      <c r="N759" s="17">
        <f>K759*L759</f>
        <v/>
      </c>
      <c r="O759" s="17">
        <f>N759*(1-M759)</f>
        <v/>
      </c>
      <c r="P759" s="17">
        <f>Raw_Data!L759</f>
        <v/>
      </c>
      <c r="Q759" s="17">
        <f>O759-P759</f>
        <v/>
      </c>
      <c r="R759" s="31">
        <f>IF(O759=0,0,Q759/O759)</f>
        <v/>
      </c>
      <c r="S759">
        <f>XLOOKUP(F759,Lookups!$B$7:$B$11,Lookups!$C$7:$C$11,"Unknown")</f>
        <v/>
      </c>
      <c r="T759" s="31">
        <f>XLOOKUP(G759,Lookups!$E$7:$E$11,Lookups!$F$7:$F$11,0)</f>
        <v/>
      </c>
      <c r="U759" s="32">
        <f>R759-T759</f>
        <v/>
      </c>
      <c r="V759">
        <f>XLOOKUP(I759,Lookups!$H$7:$H$10,Lookups!$I$7:$I$10,"")</f>
        <v/>
      </c>
      <c r="W759">
        <f>IF(O759&gt;=50000,"HIGH VALUE","")</f>
        <v/>
      </c>
      <c r="X759">
        <f>IF(Q759&lt;0,"LOSS","")</f>
        <v/>
      </c>
      <c r="Y759">
        <f>IFS(M759&gt;=0.15,"Deep Discount",M759&gt;=0.1,"Moderate",TRUE,"Standard")</f>
        <v/>
      </c>
    </row>
    <row r="760">
      <c r="A760">
        <f>Raw_Data!A760</f>
        <v/>
      </c>
      <c r="B760" s="29">
        <f>Raw_Data!B760</f>
        <v/>
      </c>
      <c r="C760">
        <f>YEAR(B760)</f>
        <v/>
      </c>
      <c r="D760">
        <f>MONTH(B760)</f>
        <v/>
      </c>
      <c r="E760">
        <f>TEXT(B760,"MMM-YYYY")</f>
        <v/>
      </c>
      <c r="F760">
        <f>Raw_Data!C760</f>
        <v/>
      </c>
      <c r="G760">
        <f>Raw_Data!D760</f>
        <v/>
      </c>
      <c r="H760">
        <f>Raw_Data!E760</f>
        <v/>
      </c>
      <c r="I760">
        <f>Raw_Data!F760</f>
        <v/>
      </c>
      <c r="J760">
        <f>Raw_Data!G760</f>
        <v/>
      </c>
      <c r="K760">
        <f>Raw_Data!H760</f>
        <v/>
      </c>
      <c r="L760" s="30">
        <f>Raw_Data!I760</f>
        <v/>
      </c>
      <c r="M760" s="31">
        <f>Raw_Data!J760</f>
        <v/>
      </c>
      <c r="N760" s="17">
        <f>K760*L760</f>
        <v/>
      </c>
      <c r="O760" s="17">
        <f>N760*(1-M760)</f>
        <v/>
      </c>
      <c r="P760" s="17">
        <f>Raw_Data!L760</f>
        <v/>
      </c>
      <c r="Q760" s="17">
        <f>O760-P760</f>
        <v/>
      </c>
      <c r="R760" s="31">
        <f>IF(O760=0,0,Q760/O760)</f>
        <v/>
      </c>
      <c r="S760">
        <f>XLOOKUP(F760,Lookups!$B$7:$B$11,Lookups!$C$7:$C$11,"Unknown")</f>
        <v/>
      </c>
      <c r="T760" s="31">
        <f>XLOOKUP(G760,Lookups!$E$7:$E$11,Lookups!$F$7:$F$11,0)</f>
        <v/>
      </c>
      <c r="U760" s="32">
        <f>R760-T760</f>
        <v/>
      </c>
      <c r="V760">
        <f>XLOOKUP(I760,Lookups!$H$7:$H$10,Lookups!$I$7:$I$10,"")</f>
        <v/>
      </c>
      <c r="W760">
        <f>IF(O760&gt;=50000,"HIGH VALUE","")</f>
        <v/>
      </c>
      <c r="X760">
        <f>IF(Q760&lt;0,"LOSS","")</f>
        <v/>
      </c>
      <c r="Y760">
        <f>IFS(M760&gt;=0.15,"Deep Discount",M760&gt;=0.1,"Moderate",TRUE,"Standard")</f>
        <v/>
      </c>
    </row>
    <row r="761">
      <c r="A761">
        <f>Raw_Data!A761</f>
        <v/>
      </c>
      <c r="B761" s="29">
        <f>Raw_Data!B761</f>
        <v/>
      </c>
      <c r="C761">
        <f>YEAR(B761)</f>
        <v/>
      </c>
      <c r="D761">
        <f>MONTH(B761)</f>
        <v/>
      </c>
      <c r="E761">
        <f>TEXT(B761,"MMM-YYYY")</f>
        <v/>
      </c>
      <c r="F761">
        <f>Raw_Data!C761</f>
        <v/>
      </c>
      <c r="G761">
        <f>Raw_Data!D761</f>
        <v/>
      </c>
      <c r="H761">
        <f>Raw_Data!E761</f>
        <v/>
      </c>
      <c r="I761">
        <f>Raw_Data!F761</f>
        <v/>
      </c>
      <c r="J761">
        <f>Raw_Data!G761</f>
        <v/>
      </c>
      <c r="K761">
        <f>Raw_Data!H761</f>
        <v/>
      </c>
      <c r="L761" s="30">
        <f>Raw_Data!I761</f>
        <v/>
      </c>
      <c r="M761" s="31">
        <f>Raw_Data!J761</f>
        <v/>
      </c>
      <c r="N761" s="17">
        <f>K761*L761</f>
        <v/>
      </c>
      <c r="O761" s="17">
        <f>N761*(1-M761)</f>
        <v/>
      </c>
      <c r="P761" s="17">
        <f>Raw_Data!L761</f>
        <v/>
      </c>
      <c r="Q761" s="17">
        <f>O761-P761</f>
        <v/>
      </c>
      <c r="R761" s="31">
        <f>IF(O761=0,0,Q761/O761)</f>
        <v/>
      </c>
      <c r="S761">
        <f>XLOOKUP(F761,Lookups!$B$7:$B$11,Lookups!$C$7:$C$11,"Unknown")</f>
        <v/>
      </c>
      <c r="T761" s="31">
        <f>XLOOKUP(G761,Lookups!$E$7:$E$11,Lookups!$F$7:$F$11,0)</f>
        <v/>
      </c>
      <c r="U761" s="32">
        <f>R761-T761</f>
        <v/>
      </c>
      <c r="V761">
        <f>XLOOKUP(I761,Lookups!$H$7:$H$10,Lookups!$I$7:$I$10,"")</f>
        <v/>
      </c>
      <c r="W761">
        <f>IF(O761&gt;=50000,"HIGH VALUE","")</f>
        <v/>
      </c>
      <c r="X761">
        <f>IF(Q761&lt;0,"LOSS","")</f>
        <v/>
      </c>
      <c r="Y761">
        <f>IFS(M761&gt;=0.15,"Deep Discount",M761&gt;=0.1,"Moderate",TRUE,"Standard")</f>
        <v/>
      </c>
    </row>
    <row r="762">
      <c r="A762">
        <f>Raw_Data!A762</f>
        <v/>
      </c>
      <c r="B762" s="29">
        <f>Raw_Data!B762</f>
        <v/>
      </c>
      <c r="C762">
        <f>YEAR(B762)</f>
        <v/>
      </c>
      <c r="D762">
        <f>MONTH(B762)</f>
        <v/>
      </c>
      <c r="E762">
        <f>TEXT(B762,"MMM-YYYY")</f>
        <v/>
      </c>
      <c r="F762">
        <f>Raw_Data!C762</f>
        <v/>
      </c>
      <c r="G762">
        <f>Raw_Data!D762</f>
        <v/>
      </c>
      <c r="H762">
        <f>Raw_Data!E762</f>
        <v/>
      </c>
      <c r="I762">
        <f>Raw_Data!F762</f>
        <v/>
      </c>
      <c r="J762">
        <f>Raw_Data!G762</f>
        <v/>
      </c>
      <c r="K762">
        <f>Raw_Data!H762</f>
        <v/>
      </c>
      <c r="L762" s="30">
        <f>Raw_Data!I762</f>
        <v/>
      </c>
      <c r="M762" s="31">
        <f>Raw_Data!J762</f>
        <v/>
      </c>
      <c r="N762" s="17">
        <f>K762*L762</f>
        <v/>
      </c>
      <c r="O762" s="17">
        <f>N762*(1-M762)</f>
        <v/>
      </c>
      <c r="P762" s="17">
        <f>Raw_Data!L762</f>
        <v/>
      </c>
      <c r="Q762" s="17">
        <f>O762-P762</f>
        <v/>
      </c>
      <c r="R762" s="31">
        <f>IF(O762=0,0,Q762/O762)</f>
        <v/>
      </c>
      <c r="S762">
        <f>XLOOKUP(F762,Lookups!$B$7:$B$11,Lookups!$C$7:$C$11,"Unknown")</f>
        <v/>
      </c>
      <c r="T762" s="31">
        <f>XLOOKUP(G762,Lookups!$E$7:$E$11,Lookups!$F$7:$F$11,0)</f>
        <v/>
      </c>
      <c r="U762" s="32">
        <f>R762-T762</f>
        <v/>
      </c>
      <c r="V762">
        <f>XLOOKUP(I762,Lookups!$H$7:$H$10,Lookups!$I$7:$I$10,"")</f>
        <v/>
      </c>
      <c r="W762">
        <f>IF(O762&gt;=50000,"HIGH VALUE","")</f>
        <v/>
      </c>
      <c r="X762">
        <f>IF(Q762&lt;0,"LOSS","")</f>
        <v/>
      </c>
      <c r="Y762">
        <f>IFS(M762&gt;=0.15,"Deep Discount",M762&gt;=0.1,"Moderate",TRUE,"Standard")</f>
        <v/>
      </c>
    </row>
    <row r="763">
      <c r="A763">
        <f>Raw_Data!A763</f>
        <v/>
      </c>
      <c r="B763" s="29">
        <f>Raw_Data!B763</f>
        <v/>
      </c>
      <c r="C763">
        <f>YEAR(B763)</f>
        <v/>
      </c>
      <c r="D763">
        <f>MONTH(B763)</f>
        <v/>
      </c>
      <c r="E763">
        <f>TEXT(B763,"MMM-YYYY")</f>
        <v/>
      </c>
      <c r="F763">
        <f>Raw_Data!C763</f>
        <v/>
      </c>
      <c r="G763">
        <f>Raw_Data!D763</f>
        <v/>
      </c>
      <c r="H763">
        <f>Raw_Data!E763</f>
        <v/>
      </c>
      <c r="I763">
        <f>Raw_Data!F763</f>
        <v/>
      </c>
      <c r="J763">
        <f>Raw_Data!G763</f>
        <v/>
      </c>
      <c r="K763">
        <f>Raw_Data!H763</f>
        <v/>
      </c>
      <c r="L763" s="30">
        <f>Raw_Data!I763</f>
        <v/>
      </c>
      <c r="M763" s="31">
        <f>Raw_Data!J763</f>
        <v/>
      </c>
      <c r="N763" s="17">
        <f>K763*L763</f>
        <v/>
      </c>
      <c r="O763" s="17">
        <f>N763*(1-M763)</f>
        <v/>
      </c>
      <c r="P763" s="17">
        <f>Raw_Data!L763</f>
        <v/>
      </c>
      <c r="Q763" s="17">
        <f>O763-P763</f>
        <v/>
      </c>
      <c r="R763" s="31">
        <f>IF(O763=0,0,Q763/O763)</f>
        <v/>
      </c>
      <c r="S763">
        <f>XLOOKUP(F763,Lookups!$B$7:$B$11,Lookups!$C$7:$C$11,"Unknown")</f>
        <v/>
      </c>
      <c r="T763" s="31">
        <f>XLOOKUP(G763,Lookups!$E$7:$E$11,Lookups!$F$7:$F$11,0)</f>
        <v/>
      </c>
      <c r="U763" s="32">
        <f>R763-T763</f>
        <v/>
      </c>
      <c r="V763">
        <f>XLOOKUP(I763,Lookups!$H$7:$H$10,Lookups!$I$7:$I$10,"")</f>
        <v/>
      </c>
      <c r="W763">
        <f>IF(O763&gt;=50000,"HIGH VALUE","")</f>
        <v/>
      </c>
      <c r="X763">
        <f>IF(Q763&lt;0,"LOSS","")</f>
        <v/>
      </c>
      <c r="Y763">
        <f>IFS(M763&gt;=0.15,"Deep Discount",M763&gt;=0.1,"Moderate",TRUE,"Standard")</f>
        <v/>
      </c>
    </row>
    <row r="764">
      <c r="A764">
        <f>Raw_Data!A764</f>
        <v/>
      </c>
      <c r="B764" s="29">
        <f>Raw_Data!B764</f>
        <v/>
      </c>
      <c r="C764">
        <f>YEAR(B764)</f>
        <v/>
      </c>
      <c r="D764">
        <f>MONTH(B764)</f>
        <v/>
      </c>
      <c r="E764">
        <f>TEXT(B764,"MMM-YYYY")</f>
        <v/>
      </c>
      <c r="F764">
        <f>Raw_Data!C764</f>
        <v/>
      </c>
      <c r="G764">
        <f>Raw_Data!D764</f>
        <v/>
      </c>
      <c r="H764">
        <f>Raw_Data!E764</f>
        <v/>
      </c>
      <c r="I764">
        <f>Raw_Data!F764</f>
        <v/>
      </c>
      <c r="J764">
        <f>Raw_Data!G764</f>
        <v/>
      </c>
      <c r="K764">
        <f>Raw_Data!H764</f>
        <v/>
      </c>
      <c r="L764" s="30">
        <f>Raw_Data!I764</f>
        <v/>
      </c>
      <c r="M764" s="31">
        <f>Raw_Data!J764</f>
        <v/>
      </c>
      <c r="N764" s="17">
        <f>K764*L764</f>
        <v/>
      </c>
      <c r="O764" s="17">
        <f>N764*(1-M764)</f>
        <v/>
      </c>
      <c r="P764" s="17">
        <f>Raw_Data!L764</f>
        <v/>
      </c>
      <c r="Q764" s="17">
        <f>O764-P764</f>
        <v/>
      </c>
      <c r="R764" s="31">
        <f>IF(O764=0,0,Q764/O764)</f>
        <v/>
      </c>
      <c r="S764">
        <f>XLOOKUP(F764,Lookups!$B$7:$B$11,Lookups!$C$7:$C$11,"Unknown")</f>
        <v/>
      </c>
      <c r="T764" s="31">
        <f>XLOOKUP(G764,Lookups!$E$7:$E$11,Lookups!$F$7:$F$11,0)</f>
        <v/>
      </c>
      <c r="U764" s="32">
        <f>R764-T764</f>
        <v/>
      </c>
      <c r="V764">
        <f>XLOOKUP(I764,Lookups!$H$7:$H$10,Lookups!$I$7:$I$10,"")</f>
        <v/>
      </c>
      <c r="W764">
        <f>IF(O764&gt;=50000,"HIGH VALUE","")</f>
        <v/>
      </c>
      <c r="X764">
        <f>IF(Q764&lt;0,"LOSS","")</f>
        <v/>
      </c>
      <c r="Y764">
        <f>IFS(M764&gt;=0.15,"Deep Discount",M764&gt;=0.1,"Moderate",TRUE,"Standard")</f>
        <v/>
      </c>
    </row>
    <row r="765">
      <c r="A765">
        <f>Raw_Data!A765</f>
        <v/>
      </c>
      <c r="B765" s="29">
        <f>Raw_Data!B765</f>
        <v/>
      </c>
      <c r="C765">
        <f>YEAR(B765)</f>
        <v/>
      </c>
      <c r="D765">
        <f>MONTH(B765)</f>
        <v/>
      </c>
      <c r="E765">
        <f>TEXT(B765,"MMM-YYYY")</f>
        <v/>
      </c>
      <c r="F765">
        <f>Raw_Data!C765</f>
        <v/>
      </c>
      <c r="G765">
        <f>Raw_Data!D765</f>
        <v/>
      </c>
      <c r="H765">
        <f>Raw_Data!E765</f>
        <v/>
      </c>
      <c r="I765">
        <f>Raw_Data!F765</f>
        <v/>
      </c>
      <c r="J765">
        <f>Raw_Data!G765</f>
        <v/>
      </c>
      <c r="K765">
        <f>Raw_Data!H765</f>
        <v/>
      </c>
      <c r="L765" s="30">
        <f>Raw_Data!I765</f>
        <v/>
      </c>
      <c r="M765" s="31">
        <f>Raw_Data!J765</f>
        <v/>
      </c>
      <c r="N765" s="17">
        <f>K765*L765</f>
        <v/>
      </c>
      <c r="O765" s="17">
        <f>N765*(1-M765)</f>
        <v/>
      </c>
      <c r="P765" s="17">
        <f>Raw_Data!L765</f>
        <v/>
      </c>
      <c r="Q765" s="17">
        <f>O765-P765</f>
        <v/>
      </c>
      <c r="R765" s="31">
        <f>IF(O765=0,0,Q765/O765)</f>
        <v/>
      </c>
      <c r="S765">
        <f>XLOOKUP(F765,Lookups!$B$7:$B$11,Lookups!$C$7:$C$11,"Unknown")</f>
        <v/>
      </c>
      <c r="T765" s="31">
        <f>XLOOKUP(G765,Lookups!$E$7:$E$11,Lookups!$F$7:$F$11,0)</f>
        <v/>
      </c>
      <c r="U765" s="32">
        <f>R765-T765</f>
        <v/>
      </c>
      <c r="V765">
        <f>XLOOKUP(I765,Lookups!$H$7:$H$10,Lookups!$I$7:$I$10,"")</f>
        <v/>
      </c>
      <c r="W765">
        <f>IF(O765&gt;=50000,"HIGH VALUE","")</f>
        <v/>
      </c>
      <c r="X765">
        <f>IF(Q765&lt;0,"LOSS","")</f>
        <v/>
      </c>
      <c r="Y765">
        <f>IFS(M765&gt;=0.15,"Deep Discount",M765&gt;=0.1,"Moderate",TRUE,"Standard")</f>
        <v/>
      </c>
    </row>
    <row r="766">
      <c r="A766">
        <f>Raw_Data!A766</f>
        <v/>
      </c>
      <c r="B766" s="29">
        <f>Raw_Data!B766</f>
        <v/>
      </c>
      <c r="C766">
        <f>YEAR(B766)</f>
        <v/>
      </c>
      <c r="D766">
        <f>MONTH(B766)</f>
        <v/>
      </c>
      <c r="E766">
        <f>TEXT(B766,"MMM-YYYY")</f>
        <v/>
      </c>
      <c r="F766">
        <f>Raw_Data!C766</f>
        <v/>
      </c>
      <c r="G766">
        <f>Raw_Data!D766</f>
        <v/>
      </c>
      <c r="H766">
        <f>Raw_Data!E766</f>
        <v/>
      </c>
      <c r="I766">
        <f>Raw_Data!F766</f>
        <v/>
      </c>
      <c r="J766">
        <f>Raw_Data!G766</f>
        <v/>
      </c>
      <c r="K766">
        <f>Raw_Data!H766</f>
        <v/>
      </c>
      <c r="L766" s="30">
        <f>Raw_Data!I766</f>
        <v/>
      </c>
      <c r="M766" s="31">
        <f>Raw_Data!J766</f>
        <v/>
      </c>
      <c r="N766" s="17">
        <f>K766*L766</f>
        <v/>
      </c>
      <c r="O766" s="17">
        <f>N766*(1-M766)</f>
        <v/>
      </c>
      <c r="P766" s="17">
        <f>Raw_Data!L766</f>
        <v/>
      </c>
      <c r="Q766" s="17">
        <f>O766-P766</f>
        <v/>
      </c>
      <c r="R766" s="31">
        <f>IF(O766=0,0,Q766/O766)</f>
        <v/>
      </c>
      <c r="S766">
        <f>XLOOKUP(F766,Lookups!$B$7:$B$11,Lookups!$C$7:$C$11,"Unknown")</f>
        <v/>
      </c>
      <c r="T766" s="31">
        <f>XLOOKUP(G766,Lookups!$E$7:$E$11,Lookups!$F$7:$F$11,0)</f>
        <v/>
      </c>
      <c r="U766" s="32">
        <f>R766-T766</f>
        <v/>
      </c>
      <c r="V766">
        <f>XLOOKUP(I766,Lookups!$H$7:$H$10,Lookups!$I$7:$I$10,"")</f>
        <v/>
      </c>
      <c r="W766">
        <f>IF(O766&gt;=50000,"HIGH VALUE","")</f>
        <v/>
      </c>
      <c r="X766">
        <f>IF(Q766&lt;0,"LOSS","")</f>
        <v/>
      </c>
      <c r="Y766">
        <f>IFS(M766&gt;=0.15,"Deep Discount",M766&gt;=0.1,"Moderate",TRUE,"Standard")</f>
        <v/>
      </c>
    </row>
    <row r="767">
      <c r="A767">
        <f>Raw_Data!A767</f>
        <v/>
      </c>
      <c r="B767" s="29">
        <f>Raw_Data!B767</f>
        <v/>
      </c>
      <c r="C767">
        <f>YEAR(B767)</f>
        <v/>
      </c>
      <c r="D767">
        <f>MONTH(B767)</f>
        <v/>
      </c>
      <c r="E767">
        <f>TEXT(B767,"MMM-YYYY")</f>
        <v/>
      </c>
      <c r="F767">
        <f>Raw_Data!C767</f>
        <v/>
      </c>
      <c r="G767">
        <f>Raw_Data!D767</f>
        <v/>
      </c>
      <c r="H767">
        <f>Raw_Data!E767</f>
        <v/>
      </c>
      <c r="I767">
        <f>Raw_Data!F767</f>
        <v/>
      </c>
      <c r="J767">
        <f>Raw_Data!G767</f>
        <v/>
      </c>
      <c r="K767">
        <f>Raw_Data!H767</f>
        <v/>
      </c>
      <c r="L767" s="30">
        <f>Raw_Data!I767</f>
        <v/>
      </c>
      <c r="M767" s="31">
        <f>Raw_Data!J767</f>
        <v/>
      </c>
      <c r="N767" s="17">
        <f>K767*L767</f>
        <v/>
      </c>
      <c r="O767" s="17">
        <f>N767*(1-M767)</f>
        <v/>
      </c>
      <c r="P767" s="17">
        <f>Raw_Data!L767</f>
        <v/>
      </c>
      <c r="Q767" s="17">
        <f>O767-P767</f>
        <v/>
      </c>
      <c r="R767" s="31">
        <f>IF(O767=0,0,Q767/O767)</f>
        <v/>
      </c>
      <c r="S767">
        <f>XLOOKUP(F767,Lookups!$B$7:$B$11,Lookups!$C$7:$C$11,"Unknown")</f>
        <v/>
      </c>
      <c r="T767" s="31">
        <f>XLOOKUP(G767,Lookups!$E$7:$E$11,Lookups!$F$7:$F$11,0)</f>
        <v/>
      </c>
      <c r="U767" s="32">
        <f>R767-T767</f>
        <v/>
      </c>
      <c r="V767">
        <f>XLOOKUP(I767,Lookups!$H$7:$H$10,Lookups!$I$7:$I$10,"")</f>
        <v/>
      </c>
      <c r="W767">
        <f>IF(O767&gt;=50000,"HIGH VALUE","")</f>
        <v/>
      </c>
      <c r="X767">
        <f>IF(Q767&lt;0,"LOSS","")</f>
        <v/>
      </c>
      <c r="Y767">
        <f>IFS(M767&gt;=0.15,"Deep Discount",M767&gt;=0.1,"Moderate",TRUE,"Standard")</f>
        <v/>
      </c>
    </row>
    <row r="768">
      <c r="A768">
        <f>Raw_Data!A768</f>
        <v/>
      </c>
      <c r="B768" s="29">
        <f>Raw_Data!B768</f>
        <v/>
      </c>
      <c r="C768">
        <f>YEAR(B768)</f>
        <v/>
      </c>
      <c r="D768">
        <f>MONTH(B768)</f>
        <v/>
      </c>
      <c r="E768">
        <f>TEXT(B768,"MMM-YYYY")</f>
        <v/>
      </c>
      <c r="F768">
        <f>Raw_Data!C768</f>
        <v/>
      </c>
      <c r="G768">
        <f>Raw_Data!D768</f>
        <v/>
      </c>
      <c r="H768">
        <f>Raw_Data!E768</f>
        <v/>
      </c>
      <c r="I768">
        <f>Raw_Data!F768</f>
        <v/>
      </c>
      <c r="J768">
        <f>Raw_Data!G768</f>
        <v/>
      </c>
      <c r="K768">
        <f>Raw_Data!H768</f>
        <v/>
      </c>
      <c r="L768" s="30">
        <f>Raw_Data!I768</f>
        <v/>
      </c>
      <c r="M768" s="31">
        <f>Raw_Data!J768</f>
        <v/>
      </c>
      <c r="N768" s="17">
        <f>K768*L768</f>
        <v/>
      </c>
      <c r="O768" s="17">
        <f>N768*(1-M768)</f>
        <v/>
      </c>
      <c r="P768" s="17">
        <f>Raw_Data!L768</f>
        <v/>
      </c>
      <c r="Q768" s="17">
        <f>O768-P768</f>
        <v/>
      </c>
      <c r="R768" s="31">
        <f>IF(O768=0,0,Q768/O768)</f>
        <v/>
      </c>
      <c r="S768">
        <f>XLOOKUP(F768,Lookups!$B$7:$B$11,Lookups!$C$7:$C$11,"Unknown")</f>
        <v/>
      </c>
      <c r="T768" s="31">
        <f>XLOOKUP(G768,Lookups!$E$7:$E$11,Lookups!$F$7:$F$11,0)</f>
        <v/>
      </c>
      <c r="U768" s="32">
        <f>R768-T768</f>
        <v/>
      </c>
      <c r="V768">
        <f>XLOOKUP(I768,Lookups!$H$7:$H$10,Lookups!$I$7:$I$10,"")</f>
        <v/>
      </c>
      <c r="W768">
        <f>IF(O768&gt;=50000,"HIGH VALUE","")</f>
        <v/>
      </c>
      <c r="X768">
        <f>IF(Q768&lt;0,"LOSS","")</f>
        <v/>
      </c>
      <c r="Y768">
        <f>IFS(M768&gt;=0.15,"Deep Discount",M768&gt;=0.1,"Moderate",TRUE,"Standard")</f>
        <v/>
      </c>
    </row>
    <row r="769">
      <c r="A769">
        <f>Raw_Data!A769</f>
        <v/>
      </c>
      <c r="B769" s="29">
        <f>Raw_Data!B769</f>
        <v/>
      </c>
      <c r="C769">
        <f>YEAR(B769)</f>
        <v/>
      </c>
      <c r="D769">
        <f>MONTH(B769)</f>
        <v/>
      </c>
      <c r="E769">
        <f>TEXT(B769,"MMM-YYYY")</f>
        <v/>
      </c>
      <c r="F769">
        <f>Raw_Data!C769</f>
        <v/>
      </c>
      <c r="G769">
        <f>Raw_Data!D769</f>
        <v/>
      </c>
      <c r="H769">
        <f>Raw_Data!E769</f>
        <v/>
      </c>
      <c r="I769">
        <f>Raw_Data!F769</f>
        <v/>
      </c>
      <c r="J769">
        <f>Raw_Data!G769</f>
        <v/>
      </c>
      <c r="K769">
        <f>Raw_Data!H769</f>
        <v/>
      </c>
      <c r="L769" s="30">
        <f>Raw_Data!I769</f>
        <v/>
      </c>
      <c r="M769" s="31">
        <f>Raw_Data!J769</f>
        <v/>
      </c>
      <c r="N769" s="17">
        <f>K769*L769</f>
        <v/>
      </c>
      <c r="O769" s="17">
        <f>N769*(1-M769)</f>
        <v/>
      </c>
      <c r="P769" s="17">
        <f>Raw_Data!L769</f>
        <v/>
      </c>
      <c r="Q769" s="17">
        <f>O769-P769</f>
        <v/>
      </c>
      <c r="R769" s="31">
        <f>IF(O769=0,0,Q769/O769)</f>
        <v/>
      </c>
      <c r="S769">
        <f>XLOOKUP(F769,Lookups!$B$7:$B$11,Lookups!$C$7:$C$11,"Unknown")</f>
        <v/>
      </c>
      <c r="T769" s="31">
        <f>XLOOKUP(G769,Lookups!$E$7:$E$11,Lookups!$F$7:$F$11,0)</f>
        <v/>
      </c>
      <c r="U769" s="32">
        <f>R769-T769</f>
        <v/>
      </c>
      <c r="V769">
        <f>XLOOKUP(I769,Lookups!$H$7:$H$10,Lookups!$I$7:$I$10,"")</f>
        <v/>
      </c>
      <c r="W769">
        <f>IF(O769&gt;=50000,"HIGH VALUE","")</f>
        <v/>
      </c>
      <c r="X769">
        <f>IF(Q769&lt;0,"LOSS","")</f>
        <v/>
      </c>
      <c r="Y769">
        <f>IFS(M769&gt;=0.15,"Deep Discount",M769&gt;=0.1,"Moderate",TRUE,"Standard")</f>
        <v/>
      </c>
    </row>
    <row r="770">
      <c r="A770">
        <f>Raw_Data!A770</f>
        <v/>
      </c>
      <c r="B770" s="29">
        <f>Raw_Data!B770</f>
        <v/>
      </c>
      <c r="C770">
        <f>YEAR(B770)</f>
        <v/>
      </c>
      <c r="D770">
        <f>MONTH(B770)</f>
        <v/>
      </c>
      <c r="E770">
        <f>TEXT(B770,"MMM-YYYY")</f>
        <v/>
      </c>
      <c r="F770">
        <f>Raw_Data!C770</f>
        <v/>
      </c>
      <c r="G770">
        <f>Raw_Data!D770</f>
        <v/>
      </c>
      <c r="H770">
        <f>Raw_Data!E770</f>
        <v/>
      </c>
      <c r="I770">
        <f>Raw_Data!F770</f>
        <v/>
      </c>
      <c r="J770">
        <f>Raw_Data!G770</f>
        <v/>
      </c>
      <c r="K770">
        <f>Raw_Data!H770</f>
        <v/>
      </c>
      <c r="L770" s="30">
        <f>Raw_Data!I770</f>
        <v/>
      </c>
      <c r="M770" s="31">
        <f>Raw_Data!J770</f>
        <v/>
      </c>
      <c r="N770" s="17">
        <f>K770*L770</f>
        <v/>
      </c>
      <c r="O770" s="17">
        <f>N770*(1-M770)</f>
        <v/>
      </c>
      <c r="P770" s="17">
        <f>Raw_Data!L770</f>
        <v/>
      </c>
      <c r="Q770" s="17">
        <f>O770-P770</f>
        <v/>
      </c>
      <c r="R770" s="31">
        <f>IF(O770=0,0,Q770/O770)</f>
        <v/>
      </c>
      <c r="S770">
        <f>XLOOKUP(F770,Lookups!$B$7:$B$11,Lookups!$C$7:$C$11,"Unknown")</f>
        <v/>
      </c>
      <c r="T770" s="31">
        <f>XLOOKUP(G770,Lookups!$E$7:$E$11,Lookups!$F$7:$F$11,0)</f>
        <v/>
      </c>
      <c r="U770" s="32">
        <f>R770-T770</f>
        <v/>
      </c>
      <c r="V770">
        <f>XLOOKUP(I770,Lookups!$H$7:$H$10,Lookups!$I$7:$I$10,"")</f>
        <v/>
      </c>
      <c r="W770">
        <f>IF(O770&gt;=50000,"HIGH VALUE","")</f>
        <v/>
      </c>
      <c r="X770">
        <f>IF(Q770&lt;0,"LOSS","")</f>
        <v/>
      </c>
      <c r="Y770">
        <f>IFS(M770&gt;=0.15,"Deep Discount",M770&gt;=0.1,"Moderate",TRUE,"Standard")</f>
        <v/>
      </c>
    </row>
    <row r="771">
      <c r="A771">
        <f>Raw_Data!A771</f>
        <v/>
      </c>
      <c r="B771" s="29">
        <f>Raw_Data!B771</f>
        <v/>
      </c>
      <c r="C771">
        <f>YEAR(B771)</f>
        <v/>
      </c>
      <c r="D771">
        <f>MONTH(B771)</f>
        <v/>
      </c>
      <c r="E771">
        <f>TEXT(B771,"MMM-YYYY")</f>
        <v/>
      </c>
      <c r="F771">
        <f>Raw_Data!C771</f>
        <v/>
      </c>
      <c r="G771">
        <f>Raw_Data!D771</f>
        <v/>
      </c>
      <c r="H771">
        <f>Raw_Data!E771</f>
        <v/>
      </c>
      <c r="I771">
        <f>Raw_Data!F771</f>
        <v/>
      </c>
      <c r="J771">
        <f>Raw_Data!G771</f>
        <v/>
      </c>
      <c r="K771">
        <f>Raw_Data!H771</f>
        <v/>
      </c>
      <c r="L771" s="30">
        <f>Raw_Data!I771</f>
        <v/>
      </c>
      <c r="M771" s="31">
        <f>Raw_Data!J771</f>
        <v/>
      </c>
      <c r="N771" s="17">
        <f>K771*L771</f>
        <v/>
      </c>
      <c r="O771" s="17">
        <f>N771*(1-M771)</f>
        <v/>
      </c>
      <c r="P771" s="17">
        <f>Raw_Data!L771</f>
        <v/>
      </c>
      <c r="Q771" s="17">
        <f>O771-P771</f>
        <v/>
      </c>
      <c r="R771" s="31">
        <f>IF(O771=0,0,Q771/O771)</f>
        <v/>
      </c>
      <c r="S771">
        <f>XLOOKUP(F771,Lookups!$B$7:$B$11,Lookups!$C$7:$C$11,"Unknown")</f>
        <v/>
      </c>
      <c r="T771" s="31">
        <f>XLOOKUP(G771,Lookups!$E$7:$E$11,Lookups!$F$7:$F$11,0)</f>
        <v/>
      </c>
      <c r="U771" s="32">
        <f>R771-T771</f>
        <v/>
      </c>
      <c r="V771">
        <f>XLOOKUP(I771,Lookups!$H$7:$H$10,Lookups!$I$7:$I$10,"")</f>
        <v/>
      </c>
      <c r="W771">
        <f>IF(O771&gt;=50000,"HIGH VALUE","")</f>
        <v/>
      </c>
      <c r="X771">
        <f>IF(Q771&lt;0,"LOSS","")</f>
        <v/>
      </c>
      <c r="Y771">
        <f>IFS(M771&gt;=0.15,"Deep Discount",M771&gt;=0.1,"Moderate",TRUE,"Standard")</f>
        <v/>
      </c>
    </row>
    <row r="772">
      <c r="A772">
        <f>Raw_Data!A772</f>
        <v/>
      </c>
      <c r="B772" s="29">
        <f>Raw_Data!B772</f>
        <v/>
      </c>
      <c r="C772">
        <f>YEAR(B772)</f>
        <v/>
      </c>
      <c r="D772">
        <f>MONTH(B772)</f>
        <v/>
      </c>
      <c r="E772">
        <f>TEXT(B772,"MMM-YYYY")</f>
        <v/>
      </c>
      <c r="F772">
        <f>Raw_Data!C772</f>
        <v/>
      </c>
      <c r="G772">
        <f>Raw_Data!D772</f>
        <v/>
      </c>
      <c r="H772">
        <f>Raw_Data!E772</f>
        <v/>
      </c>
      <c r="I772">
        <f>Raw_Data!F772</f>
        <v/>
      </c>
      <c r="J772">
        <f>Raw_Data!G772</f>
        <v/>
      </c>
      <c r="K772">
        <f>Raw_Data!H772</f>
        <v/>
      </c>
      <c r="L772" s="30">
        <f>Raw_Data!I772</f>
        <v/>
      </c>
      <c r="M772" s="31">
        <f>Raw_Data!J772</f>
        <v/>
      </c>
      <c r="N772" s="17">
        <f>K772*L772</f>
        <v/>
      </c>
      <c r="O772" s="17">
        <f>N772*(1-M772)</f>
        <v/>
      </c>
      <c r="P772" s="17">
        <f>Raw_Data!L772</f>
        <v/>
      </c>
      <c r="Q772" s="17">
        <f>O772-P772</f>
        <v/>
      </c>
      <c r="R772" s="31">
        <f>IF(O772=0,0,Q772/O772)</f>
        <v/>
      </c>
      <c r="S772">
        <f>XLOOKUP(F772,Lookups!$B$7:$B$11,Lookups!$C$7:$C$11,"Unknown")</f>
        <v/>
      </c>
      <c r="T772" s="31">
        <f>XLOOKUP(G772,Lookups!$E$7:$E$11,Lookups!$F$7:$F$11,0)</f>
        <v/>
      </c>
      <c r="U772" s="32">
        <f>R772-T772</f>
        <v/>
      </c>
      <c r="V772">
        <f>XLOOKUP(I772,Lookups!$H$7:$H$10,Lookups!$I$7:$I$10,"")</f>
        <v/>
      </c>
      <c r="W772">
        <f>IF(O772&gt;=50000,"HIGH VALUE","")</f>
        <v/>
      </c>
      <c r="X772">
        <f>IF(Q772&lt;0,"LOSS","")</f>
        <v/>
      </c>
      <c r="Y772">
        <f>IFS(M772&gt;=0.15,"Deep Discount",M772&gt;=0.1,"Moderate",TRUE,"Standard")</f>
        <v/>
      </c>
    </row>
    <row r="773">
      <c r="A773">
        <f>Raw_Data!A773</f>
        <v/>
      </c>
      <c r="B773" s="29">
        <f>Raw_Data!B773</f>
        <v/>
      </c>
      <c r="C773">
        <f>YEAR(B773)</f>
        <v/>
      </c>
      <c r="D773">
        <f>MONTH(B773)</f>
        <v/>
      </c>
      <c r="E773">
        <f>TEXT(B773,"MMM-YYYY")</f>
        <v/>
      </c>
      <c r="F773">
        <f>Raw_Data!C773</f>
        <v/>
      </c>
      <c r="G773">
        <f>Raw_Data!D773</f>
        <v/>
      </c>
      <c r="H773">
        <f>Raw_Data!E773</f>
        <v/>
      </c>
      <c r="I773">
        <f>Raw_Data!F773</f>
        <v/>
      </c>
      <c r="J773">
        <f>Raw_Data!G773</f>
        <v/>
      </c>
      <c r="K773">
        <f>Raw_Data!H773</f>
        <v/>
      </c>
      <c r="L773" s="30">
        <f>Raw_Data!I773</f>
        <v/>
      </c>
      <c r="M773" s="31">
        <f>Raw_Data!J773</f>
        <v/>
      </c>
      <c r="N773" s="17">
        <f>K773*L773</f>
        <v/>
      </c>
      <c r="O773" s="17">
        <f>N773*(1-M773)</f>
        <v/>
      </c>
      <c r="P773" s="17">
        <f>Raw_Data!L773</f>
        <v/>
      </c>
      <c r="Q773" s="17">
        <f>O773-P773</f>
        <v/>
      </c>
      <c r="R773" s="31">
        <f>IF(O773=0,0,Q773/O773)</f>
        <v/>
      </c>
      <c r="S773">
        <f>XLOOKUP(F773,Lookups!$B$7:$B$11,Lookups!$C$7:$C$11,"Unknown")</f>
        <v/>
      </c>
      <c r="T773" s="31">
        <f>XLOOKUP(G773,Lookups!$E$7:$E$11,Lookups!$F$7:$F$11,0)</f>
        <v/>
      </c>
      <c r="U773" s="32">
        <f>R773-T773</f>
        <v/>
      </c>
      <c r="V773">
        <f>XLOOKUP(I773,Lookups!$H$7:$H$10,Lookups!$I$7:$I$10,"")</f>
        <v/>
      </c>
      <c r="W773">
        <f>IF(O773&gt;=50000,"HIGH VALUE","")</f>
        <v/>
      </c>
      <c r="X773">
        <f>IF(Q773&lt;0,"LOSS","")</f>
        <v/>
      </c>
      <c r="Y773">
        <f>IFS(M773&gt;=0.15,"Deep Discount",M773&gt;=0.1,"Moderate",TRUE,"Standard")</f>
        <v/>
      </c>
    </row>
    <row r="774">
      <c r="A774">
        <f>Raw_Data!A774</f>
        <v/>
      </c>
      <c r="B774" s="29">
        <f>Raw_Data!B774</f>
        <v/>
      </c>
      <c r="C774">
        <f>YEAR(B774)</f>
        <v/>
      </c>
      <c r="D774">
        <f>MONTH(B774)</f>
        <v/>
      </c>
      <c r="E774">
        <f>TEXT(B774,"MMM-YYYY")</f>
        <v/>
      </c>
      <c r="F774">
        <f>Raw_Data!C774</f>
        <v/>
      </c>
      <c r="G774">
        <f>Raw_Data!D774</f>
        <v/>
      </c>
      <c r="H774">
        <f>Raw_Data!E774</f>
        <v/>
      </c>
      <c r="I774">
        <f>Raw_Data!F774</f>
        <v/>
      </c>
      <c r="J774">
        <f>Raw_Data!G774</f>
        <v/>
      </c>
      <c r="K774">
        <f>Raw_Data!H774</f>
        <v/>
      </c>
      <c r="L774" s="30">
        <f>Raw_Data!I774</f>
        <v/>
      </c>
      <c r="M774" s="31">
        <f>Raw_Data!J774</f>
        <v/>
      </c>
      <c r="N774" s="17">
        <f>K774*L774</f>
        <v/>
      </c>
      <c r="O774" s="17">
        <f>N774*(1-M774)</f>
        <v/>
      </c>
      <c r="P774" s="17">
        <f>Raw_Data!L774</f>
        <v/>
      </c>
      <c r="Q774" s="17">
        <f>O774-P774</f>
        <v/>
      </c>
      <c r="R774" s="31">
        <f>IF(O774=0,0,Q774/O774)</f>
        <v/>
      </c>
      <c r="S774">
        <f>XLOOKUP(F774,Lookups!$B$7:$B$11,Lookups!$C$7:$C$11,"Unknown")</f>
        <v/>
      </c>
      <c r="T774" s="31">
        <f>XLOOKUP(G774,Lookups!$E$7:$E$11,Lookups!$F$7:$F$11,0)</f>
        <v/>
      </c>
      <c r="U774" s="32">
        <f>R774-T774</f>
        <v/>
      </c>
      <c r="V774">
        <f>XLOOKUP(I774,Lookups!$H$7:$H$10,Lookups!$I$7:$I$10,"")</f>
        <v/>
      </c>
      <c r="W774">
        <f>IF(O774&gt;=50000,"HIGH VALUE","")</f>
        <v/>
      </c>
      <c r="X774">
        <f>IF(Q774&lt;0,"LOSS","")</f>
        <v/>
      </c>
      <c r="Y774">
        <f>IFS(M774&gt;=0.15,"Deep Discount",M774&gt;=0.1,"Moderate",TRUE,"Standard")</f>
        <v/>
      </c>
    </row>
    <row r="775">
      <c r="A775">
        <f>Raw_Data!A775</f>
        <v/>
      </c>
      <c r="B775" s="29">
        <f>Raw_Data!B775</f>
        <v/>
      </c>
      <c r="C775">
        <f>YEAR(B775)</f>
        <v/>
      </c>
      <c r="D775">
        <f>MONTH(B775)</f>
        <v/>
      </c>
      <c r="E775">
        <f>TEXT(B775,"MMM-YYYY")</f>
        <v/>
      </c>
      <c r="F775">
        <f>Raw_Data!C775</f>
        <v/>
      </c>
      <c r="G775">
        <f>Raw_Data!D775</f>
        <v/>
      </c>
      <c r="H775">
        <f>Raw_Data!E775</f>
        <v/>
      </c>
      <c r="I775">
        <f>Raw_Data!F775</f>
        <v/>
      </c>
      <c r="J775">
        <f>Raw_Data!G775</f>
        <v/>
      </c>
      <c r="K775">
        <f>Raw_Data!H775</f>
        <v/>
      </c>
      <c r="L775" s="30">
        <f>Raw_Data!I775</f>
        <v/>
      </c>
      <c r="M775" s="31">
        <f>Raw_Data!J775</f>
        <v/>
      </c>
      <c r="N775" s="17">
        <f>K775*L775</f>
        <v/>
      </c>
      <c r="O775" s="17">
        <f>N775*(1-M775)</f>
        <v/>
      </c>
      <c r="P775" s="17">
        <f>Raw_Data!L775</f>
        <v/>
      </c>
      <c r="Q775" s="17">
        <f>O775-P775</f>
        <v/>
      </c>
      <c r="R775" s="31">
        <f>IF(O775=0,0,Q775/O775)</f>
        <v/>
      </c>
      <c r="S775">
        <f>XLOOKUP(F775,Lookups!$B$7:$B$11,Lookups!$C$7:$C$11,"Unknown")</f>
        <v/>
      </c>
      <c r="T775" s="31">
        <f>XLOOKUP(G775,Lookups!$E$7:$E$11,Lookups!$F$7:$F$11,0)</f>
        <v/>
      </c>
      <c r="U775" s="32">
        <f>R775-T775</f>
        <v/>
      </c>
      <c r="V775">
        <f>XLOOKUP(I775,Lookups!$H$7:$H$10,Lookups!$I$7:$I$10,"")</f>
        <v/>
      </c>
      <c r="W775">
        <f>IF(O775&gt;=50000,"HIGH VALUE","")</f>
        <v/>
      </c>
      <c r="X775">
        <f>IF(Q775&lt;0,"LOSS","")</f>
        <v/>
      </c>
      <c r="Y775">
        <f>IFS(M775&gt;=0.15,"Deep Discount",M775&gt;=0.1,"Moderate",TRUE,"Standard")</f>
        <v/>
      </c>
    </row>
    <row r="776">
      <c r="A776">
        <f>Raw_Data!A776</f>
        <v/>
      </c>
      <c r="B776" s="29">
        <f>Raw_Data!B776</f>
        <v/>
      </c>
      <c r="C776">
        <f>YEAR(B776)</f>
        <v/>
      </c>
      <c r="D776">
        <f>MONTH(B776)</f>
        <v/>
      </c>
      <c r="E776">
        <f>TEXT(B776,"MMM-YYYY")</f>
        <v/>
      </c>
      <c r="F776">
        <f>Raw_Data!C776</f>
        <v/>
      </c>
      <c r="G776">
        <f>Raw_Data!D776</f>
        <v/>
      </c>
      <c r="H776">
        <f>Raw_Data!E776</f>
        <v/>
      </c>
      <c r="I776">
        <f>Raw_Data!F776</f>
        <v/>
      </c>
      <c r="J776">
        <f>Raw_Data!G776</f>
        <v/>
      </c>
      <c r="K776">
        <f>Raw_Data!H776</f>
        <v/>
      </c>
      <c r="L776" s="30">
        <f>Raw_Data!I776</f>
        <v/>
      </c>
      <c r="M776" s="31">
        <f>Raw_Data!J776</f>
        <v/>
      </c>
      <c r="N776" s="17">
        <f>K776*L776</f>
        <v/>
      </c>
      <c r="O776" s="17">
        <f>N776*(1-M776)</f>
        <v/>
      </c>
      <c r="P776" s="17">
        <f>Raw_Data!L776</f>
        <v/>
      </c>
      <c r="Q776" s="17">
        <f>O776-P776</f>
        <v/>
      </c>
      <c r="R776" s="31">
        <f>IF(O776=0,0,Q776/O776)</f>
        <v/>
      </c>
      <c r="S776">
        <f>XLOOKUP(F776,Lookups!$B$7:$B$11,Lookups!$C$7:$C$11,"Unknown")</f>
        <v/>
      </c>
      <c r="T776" s="31">
        <f>XLOOKUP(G776,Lookups!$E$7:$E$11,Lookups!$F$7:$F$11,0)</f>
        <v/>
      </c>
      <c r="U776" s="32">
        <f>R776-T776</f>
        <v/>
      </c>
      <c r="V776">
        <f>XLOOKUP(I776,Lookups!$H$7:$H$10,Lookups!$I$7:$I$10,"")</f>
        <v/>
      </c>
      <c r="W776">
        <f>IF(O776&gt;=50000,"HIGH VALUE","")</f>
        <v/>
      </c>
      <c r="X776">
        <f>IF(Q776&lt;0,"LOSS","")</f>
        <v/>
      </c>
      <c r="Y776">
        <f>IFS(M776&gt;=0.15,"Deep Discount",M776&gt;=0.1,"Moderate",TRUE,"Standard")</f>
        <v/>
      </c>
    </row>
    <row r="777">
      <c r="A777">
        <f>Raw_Data!A777</f>
        <v/>
      </c>
      <c r="B777" s="29">
        <f>Raw_Data!B777</f>
        <v/>
      </c>
      <c r="C777">
        <f>YEAR(B777)</f>
        <v/>
      </c>
      <c r="D777">
        <f>MONTH(B777)</f>
        <v/>
      </c>
      <c r="E777">
        <f>TEXT(B777,"MMM-YYYY")</f>
        <v/>
      </c>
      <c r="F777">
        <f>Raw_Data!C777</f>
        <v/>
      </c>
      <c r="G777">
        <f>Raw_Data!D777</f>
        <v/>
      </c>
      <c r="H777">
        <f>Raw_Data!E777</f>
        <v/>
      </c>
      <c r="I777">
        <f>Raw_Data!F777</f>
        <v/>
      </c>
      <c r="J777">
        <f>Raw_Data!G777</f>
        <v/>
      </c>
      <c r="K777">
        <f>Raw_Data!H777</f>
        <v/>
      </c>
      <c r="L777" s="30">
        <f>Raw_Data!I777</f>
        <v/>
      </c>
      <c r="M777" s="31">
        <f>Raw_Data!J777</f>
        <v/>
      </c>
      <c r="N777" s="17">
        <f>K777*L777</f>
        <v/>
      </c>
      <c r="O777" s="17">
        <f>N777*(1-M777)</f>
        <v/>
      </c>
      <c r="P777" s="17">
        <f>Raw_Data!L777</f>
        <v/>
      </c>
      <c r="Q777" s="17">
        <f>O777-P777</f>
        <v/>
      </c>
      <c r="R777" s="31">
        <f>IF(O777=0,0,Q777/O777)</f>
        <v/>
      </c>
      <c r="S777">
        <f>XLOOKUP(F777,Lookups!$B$7:$B$11,Lookups!$C$7:$C$11,"Unknown")</f>
        <v/>
      </c>
      <c r="T777" s="31">
        <f>XLOOKUP(G777,Lookups!$E$7:$E$11,Lookups!$F$7:$F$11,0)</f>
        <v/>
      </c>
      <c r="U777" s="32">
        <f>R777-T777</f>
        <v/>
      </c>
      <c r="V777">
        <f>XLOOKUP(I777,Lookups!$H$7:$H$10,Lookups!$I$7:$I$10,"")</f>
        <v/>
      </c>
      <c r="W777">
        <f>IF(O777&gt;=50000,"HIGH VALUE","")</f>
        <v/>
      </c>
      <c r="X777">
        <f>IF(Q777&lt;0,"LOSS","")</f>
        <v/>
      </c>
      <c r="Y777">
        <f>IFS(M777&gt;=0.15,"Deep Discount",M777&gt;=0.1,"Moderate",TRUE,"Standard")</f>
        <v/>
      </c>
    </row>
    <row r="778">
      <c r="A778">
        <f>Raw_Data!A778</f>
        <v/>
      </c>
      <c r="B778" s="29">
        <f>Raw_Data!B778</f>
        <v/>
      </c>
      <c r="C778">
        <f>YEAR(B778)</f>
        <v/>
      </c>
      <c r="D778">
        <f>MONTH(B778)</f>
        <v/>
      </c>
      <c r="E778">
        <f>TEXT(B778,"MMM-YYYY")</f>
        <v/>
      </c>
      <c r="F778">
        <f>Raw_Data!C778</f>
        <v/>
      </c>
      <c r="G778">
        <f>Raw_Data!D778</f>
        <v/>
      </c>
      <c r="H778">
        <f>Raw_Data!E778</f>
        <v/>
      </c>
      <c r="I778">
        <f>Raw_Data!F778</f>
        <v/>
      </c>
      <c r="J778">
        <f>Raw_Data!G778</f>
        <v/>
      </c>
      <c r="K778">
        <f>Raw_Data!H778</f>
        <v/>
      </c>
      <c r="L778" s="30">
        <f>Raw_Data!I778</f>
        <v/>
      </c>
      <c r="M778" s="31">
        <f>Raw_Data!J778</f>
        <v/>
      </c>
      <c r="N778" s="17">
        <f>K778*L778</f>
        <v/>
      </c>
      <c r="O778" s="17">
        <f>N778*(1-M778)</f>
        <v/>
      </c>
      <c r="P778" s="17">
        <f>Raw_Data!L778</f>
        <v/>
      </c>
      <c r="Q778" s="17">
        <f>O778-P778</f>
        <v/>
      </c>
      <c r="R778" s="31">
        <f>IF(O778=0,0,Q778/O778)</f>
        <v/>
      </c>
      <c r="S778">
        <f>XLOOKUP(F778,Lookups!$B$7:$B$11,Lookups!$C$7:$C$11,"Unknown")</f>
        <v/>
      </c>
      <c r="T778" s="31">
        <f>XLOOKUP(G778,Lookups!$E$7:$E$11,Lookups!$F$7:$F$11,0)</f>
        <v/>
      </c>
      <c r="U778" s="32">
        <f>R778-T778</f>
        <v/>
      </c>
      <c r="V778">
        <f>XLOOKUP(I778,Lookups!$H$7:$H$10,Lookups!$I$7:$I$10,"")</f>
        <v/>
      </c>
      <c r="W778">
        <f>IF(O778&gt;=50000,"HIGH VALUE","")</f>
        <v/>
      </c>
      <c r="X778">
        <f>IF(Q778&lt;0,"LOSS","")</f>
        <v/>
      </c>
      <c r="Y778">
        <f>IFS(M778&gt;=0.15,"Deep Discount",M778&gt;=0.1,"Moderate",TRUE,"Standard")</f>
        <v/>
      </c>
    </row>
    <row r="779">
      <c r="A779">
        <f>Raw_Data!A779</f>
        <v/>
      </c>
      <c r="B779" s="29">
        <f>Raw_Data!B779</f>
        <v/>
      </c>
      <c r="C779">
        <f>YEAR(B779)</f>
        <v/>
      </c>
      <c r="D779">
        <f>MONTH(B779)</f>
        <v/>
      </c>
      <c r="E779">
        <f>TEXT(B779,"MMM-YYYY")</f>
        <v/>
      </c>
      <c r="F779">
        <f>Raw_Data!C779</f>
        <v/>
      </c>
      <c r="G779">
        <f>Raw_Data!D779</f>
        <v/>
      </c>
      <c r="H779">
        <f>Raw_Data!E779</f>
        <v/>
      </c>
      <c r="I779">
        <f>Raw_Data!F779</f>
        <v/>
      </c>
      <c r="J779">
        <f>Raw_Data!G779</f>
        <v/>
      </c>
      <c r="K779">
        <f>Raw_Data!H779</f>
        <v/>
      </c>
      <c r="L779" s="30">
        <f>Raw_Data!I779</f>
        <v/>
      </c>
      <c r="M779" s="31">
        <f>Raw_Data!J779</f>
        <v/>
      </c>
      <c r="N779" s="17">
        <f>K779*L779</f>
        <v/>
      </c>
      <c r="O779" s="17">
        <f>N779*(1-M779)</f>
        <v/>
      </c>
      <c r="P779" s="17">
        <f>Raw_Data!L779</f>
        <v/>
      </c>
      <c r="Q779" s="17">
        <f>O779-P779</f>
        <v/>
      </c>
      <c r="R779" s="31">
        <f>IF(O779=0,0,Q779/O779)</f>
        <v/>
      </c>
      <c r="S779">
        <f>XLOOKUP(F779,Lookups!$B$7:$B$11,Lookups!$C$7:$C$11,"Unknown")</f>
        <v/>
      </c>
      <c r="T779" s="31">
        <f>XLOOKUP(G779,Lookups!$E$7:$E$11,Lookups!$F$7:$F$11,0)</f>
        <v/>
      </c>
      <c r="U779" s="32">
        <f>R779-T779</f>
        <v/>
      </c>
      <c r="V779">
        <f>XLOOKUP(I779,Lookups!$H$7:$H$10,Lookups!$I$7:$I$10,"")</f>
        <v/>
      </c>
      <c r="W779">
        <f>IF(O779&gt;=50000,"HIGH VALUE","")</f>
        <v/>
      </c>
      <c r="X779">
        <f>IF(Q779&lt;0,"LOSS","")</f>
        <v/>
      </c>
      <c r="Y779">
        <f>IFS(M779&gt;=0.15,"Deep Discount",M779&gt;=0.1,"Moderate",TRUE,"Standard")</f>
        <v/>
      </c>
    </row>
    <row r="780">
      <c r="A780">
        <f>Raw_Data!A780</f>
        <v/>
      </c>
      <c r="B780" s="29">
        <f>Raw_Data!B780</f>
        <v/>
      </c>
      <c r="C780">
        <f>YEAR(B780)</f>
        <v/>
      </c>
      <c r="D780">
        <f>MONTH(B780)</f>
        <v/>
      </c>
      <c r="E780">
        <f>TEXT(B780,"MMM-YYYY")</f>
        <v/>
      </c>
      <c r="F780">
        <f>Raw_Data!C780</f>
        <v/>
      </c>
      <c r="G780">
        <f>Raw_Data!D780</f>
        <v/>
      </c>
      <c r="H780">
        <f>Raw_Data!E780</f>
        <v/>
      </c>
      <c r="I780">
        <f>Raw_Data!F780</f>
        <v/>
      </c>
      <c r="J780">
        <f>Raw_Data!G780</f>
        <v/>
      </c>
      <c r="K780">
        <f>Raw_Data!H780</f>
        <v/>
      </c>
      <c r="L780" s="30">
        <f>Raw_Data!I780</f>
        <v/>
      </c>
      <c r="M780" s="31">
        <f>Raw_Data!J780</f>
        <v/>
      </c>
      <c r="N780" s="17">
        <f>K780*L780</f>
        <v/>
      </c>
      <c r="O780" s="17">
        <f>N780*(1-M780)</f>
        <v/>
      </c>
      <c r="P780" s="17">
        <f>Raw_Data!L780</f>
        <v/>
      </c>
      <c r="Q780" s="17">
        <f>O780-P780</f>
        <v/>
      </c>
      <c r="R780" s="31">
        <f>IF(O780=0,0,Q780/O780)</f>
        <v/>
      </c>
      <c r="S780">
        <f>XLOOKUP(F780,Lookups!$B$7:$B$11,Lookups!$C$7:$C$11,"Unknown")</f>
        <v/>
      </c>
      <c r="T780" s="31">
        <f>XLOOKUP(G780,Lookups!$E$7:$E$11,Lookups!$F$7:$F$11,0)</f>
        <v/>
      </c>
      <c r="U780" s="32">
        <f>R780-T780</f>
        <v/>
      </c>
      <c r="V780">
        <f>XLOOKUP(I780,Lookups!$H$7:$H$10,Lookups!$I$7:$I$10,"")</f>
        <v/>
      </c>
      <c r="W780">
        <f>IF(O780&gt;=50000,"HIGH VALUE","")</f>
        <v/>
      </c>
      <c r="X780">
        <f>IF(Q780&lt;0,"LOSS","")</f>
        <v/>
      </c>
      <c r="Y780">
        <f>IFS(M780&gt;=0.15,"Deep Discount",M780&gt;=0.1,"Moderate",TRUE,"Standard")</f>
        <v/>
      </c>
    </row>
    <row r="781">
      <c r="A781">
        <f>Raw_Data!A781</f>
        <v/>
      </c>
      <c r="B781" s="29">
        <f>Raw_Data!B781</f>
        <v/>
      </c>
      <c r="C781">
        <f>YEAR(B781)</f>
        <v/>
      </c>
      <c r="D781">
        <f>MONTH(B781)</f>
        <v/>
      </c>
      <c r="E781">
        <f>TEXT(B781,"MMM-YYYY")</f>
        <v/>
      </c>
      <c r="F781">
        <f>Raw_Data!C781</f>
        <v/>
      </c>
      <c r="G781">
        <f>Raw_Data!D781</f>
        <v/>
      </c>
      <c r="H781">
        <f>Raw_Data!E781</f>
        <v/>
      </c>
      <c r="I781">
        <f>Raw_Data!F781</f>
        <v/>
      </c>
      <c r="J781">
        <f>Raw_Data!G781</f>
        <v/>
      </c>
      <c r="K781">
        <f>Raw_Data!H781</f>
        <v/>
      </c>
      <c r="L781" s="30">
        <f>Raw_Data!I781</f>
        <v/>
      </c>
      <c r="M781" s="31">
        <f>Raw_Data!J781</f>
        <v/>
      </c>
      <c r="N781" s="17">
        <f>K781*L781</f>
        <v/>
      </c>
      <c r="O781" s="17">
        <f>N781*(1-M781)</f>
        <v/>
      </c>
      <c r="P781" s="17">
        <f>Raw_Data!L781</f>
        <v/>
      </c>
      <c r="Q781" s="17">
        <f>O781-P781</f>
        <v/>
      </c>
      <c r="R781" s="31">
        <f>IF(O781=0,0,Q781/O781)</f>
        <v/>
      </c>
      <c r="S781">
        <f>XLOOKUP(F781,Lookups!$B$7:$B$11,Lookups!$C$7:$C$11,"Unknown")</f>
        <v/>
      </c>
      <c r="T781" s="31">
        <f>XLOOKUP(G781,Lookups!$E$7:$E$11,Lookups!$F$7:$F$11,0)</f>
        <v/>
      </c>
      <c r="U781" s="32">
        <f>R781-T781</f>
        <v/>
      </c>
      <c r="V781">
        <f>XLOOKUP(I781,Lookups!$H$7:$H$10,Lookups!$I$7:$I$10,"")</f>
        <v/>
      </c>
      <c r="W781">
        <f>IF(O781&gt;=50000,"HIGH VALUE","")</f>
        <v/>
      </c>
      <c r="X781">
        <f>IF(Q781&lt;0,"LOSS","")</f>
        <v/>
      </c>
      <c r="Y781">
        <f>IFS(M781&gt;=0.15,"Deep Discount",M781&gt;=0.1,"Moderate",TRUE,"Standard")</f>
        <v/>
      </c>
    </row>
    <row r="782">
      <c r="A782">
        <f>Raw_Data!A782</f>
        <v/>
      </c>
      <c r="B782" s="29">
        <f>Raw_Data!B782</f>
        <v/>
      </c>
      <c r="C782">
        <f>YEAR(B782)</f>
        <v/>
      </c>
      <c r="D782">
        <f>MONTH(B782)</f>
        <v/>
      </c>
      <c r="E782">
        <f>TEXT(B782,"MMM-YYYY")</f>
        <v/>
      </c>
      <c r="F782">
        <f>Raw_Data!C782</f>
        <v/>
      </c>
      <c r="G782">
        <f>Raw_Data!D782</f>
        <v/>
      </c>
      <c r="H782">
        <f>Raw_Data!E782</f>
        <v/>
      </c>
      <c r="I782">
        <f>Raw_Data!F782</f>
        <v/>
      </c>
      <c r="J782">
        <f>Raw_Data!G782</f>
        <v/>
      </c>
      <c r="K782">
        <f>Raw_Data!H782</f>
        <v/>
      </c>
      <c r="L782" s="30">
        <f>Raw_Data!I782</f>
        <v/>
      </c>
      <c r="M782" s="31">
        <f>Raw_Data!J782</f>
        <v/>
      </c>
      <c r="N782" s="17">
        <f>K782*L782</f>
        <v/>
      </c>
      <c r="O782" s="17">
        <f>N782*(1-M782)</f>
        <v/>
      </c>
      <c r="P782" s="17">
        <f>Raw_Data!L782</f>
        <v/>
      </c>
      <c r="Q782" s="17">
        <f>O782-P782</f>
        <v/>
      </c>
      <c r="R782" s="31">
        <f>IF(O782=0,0,Q782/O782)</f>
        <v/>
      </c>
      <c r="S782">
        <f>XLOOKUP(F782,Lookups!$B$7:$B$11,Lookups!$C$7:$C$11,"Unknown")</f>
        <v/>
      </c>
      <c r="T782" s="31">
        <f>XLOOKUP(G782,Lookups!$E$7:$E$11,Lookups!$F$7:$F$11,0)</f>
        <v/>
      </c>
      <c r="U782" s="32">
        <f>R782-T782</f>
        <v/>
      </c>
      <c r="V782">
        <f>XLOOKUP(I782,Lookups!$H$7:$H$10,Lookups!$I$7:$I$10,"")</f>
        <v/>
      </c>
      <c r="W782">
        <f>IF(O782&gt;=50000,"HIGH VALUE","")</f>
        <v/>
      </c>
      <c r="X782">
        <f>IF(Q782&lt;0,"LOSS","")</f>
        <v/>
      </c>
      <c r="Y782">
        <f>IFS(M782&gt;=0.15,"Deep Discount",M782&gt;=0.1,"Moderate",TRUE,"Standard")</f>
        <v/>
      </c>
    </row>
    <row r="783">
      <c r="A783">
        <f>Raw_Data!A783</f>
        <v/>
      </c>
      <c r="B783" s="29">
        <f>Raw_Data!B783</f>
        <v/>
      </c>
      <c r="C783">
        <f>YEAR(B783)</f>
        <v/>
      </c>
      <c r="D783">
        <f>MONTH(B783)</f>
        <v/>
      </c>
      <c r="E783">
        <f>TEXT(B783,"MMM-YYYY")</f>
        <v/>
      </c>
      <c r="F783">
        <f>Raw_Data!C783</f>
        <v/>
      </c>
      <c r="G783">
        <f>Raw_Data!D783</f>
        <v/>
      </c>
      <c r="H783">
        <f>Raw_Data!E783</f>
        <v/>
      </c>
      <c r="I783">
        <f>Raw_Data!F783</f>
        <v/>
      </c>
      <c r="J783">
        <f>Raw_Data!G783</f>
        <v/>
      </c>
      <c r="K783">
        <f>Raw_Data!H783</f>
        <v/>
      </c>
      <c r="L783" s="30">
        <f>Raw_Data!I783</f>
        <v/>
      </c>
      <c r="M783" s="31">
        <f>Raw_Data!J783</f>
        <v/>
      </c>
      <c r="N783" s="17">
        <f>K783*L783</f>
        <v/>
      </c>
      <c r="O783" s="17">
        <f>N783*(1-M783)</f>
        <v/>
      </c>
      <c r="P783" s="17">
        <f>Raw_Data!L783</f>
        <v/>
      </c>
      <c r="Q783" s="17">
        <f>O783-P783</f>
        <v/>
      </c>
      <c r="R783" s="31">
        <f>IF(O783=0,0,Q783/O783)</f>
        <v/>
      </c>
      <c r="S783">
        <f>XLOOKUP(F783,Lookups!$B$7:$B$11,Lookups!$C$7:$C$11,"Unknown")</f>
        <v/>
      </c>
      <c r="T783" s="31">
        <f>XLOOKUP(G783,Lookups!$E$7:$E$11,Lookups!$F$7:$F$11,0)</f>
        <v/>
      </c>
      <c r="U783" s="32">
        <f>R783-T783</f>
        <v/>
      </c>
      <c r="V783">
        <f>XLOOKUP(I783,Lookups!$H$7:$H$10,Lookups!$I$7:$I$10,"")</f>
        <v/>
      </c>
      <c r="W783">
        <f>IF(O783&gt;=50000,"HIGH VALUE","")</f>
        <v/>
      </c>
      <c r="X783">
        <f>IF(Q783&lt;0,"LOSS","")</f>
        <v/>
      </c>
      <c r="Y783">
        <f>IFS(M783&gt;=0.15,"Deep Discount",M783&gt;=0.1,"Moderate",TRUE,"Standard")</f>
        <v/>
      </c>
    </row>
    <row r="784">
      <c r="A784">
        <f>Raw_Data!A784</f>
        <v/>
      </c>
      <c r="B784" s="29">
        <f>Raw_Data!B784</f>
        <v/>
      </c>
      <c r="C784">
        <f>YEAR(B784)</f>
        <v/>
      </c>
      <c r="D784">
        <f>MONTH(B784)</f>
        <v/>
      </c>
      <c r="E784">
        <f>TEXT(B784,"MMM-YYYY")</f>
        <v/>
      </c>
      <c r="F784">
        <f>Raw_Data!C784</f>
        <v/>
      </c>
      <c r="G784">
        <f>Raw_Data!D784</f>
        <v/>
      </c>
      <c r="H784">
        <f>Raw_Data!E784</f>
        <v/>
      </c>
      <c r="I784">
        <f>Raw_Data!F784</f>
        <v/>
      </c>
      <c r="J784">
        <f>Raw_Data!G784</f>
        <v/>
      </c>
      <c r="K784">
        <f>Raw_Data!H784</f>
        <v/>
      </c>
      <c r="L784" s="30">
        <f>Raw_Data!I784</f>
        <v/>
      </c>
      <c r="M784" s="31">
        <f>Raw_Data!J784</f>
        <v/>
      </c>
      <c r="N784" s="17">
        <f>K784*L784</f>
        <v/>
      </c>
      <c r="O784" s="17">
        <f>N784*(1-M784)</f>
        <v/>
      </c>
      <c r="P784" s="17">
        <f>Raw_Data!L784</f>
        <v/>
      </c>
      <c r="Q784" s="17">
        <f>O784-P784</f>
        <v/>
      </c>
      <c r="R784" s="31">
        <f>IF(O784=0,0,Q784/O784)</f>
        <v/>
      </c>
      <c r="S784">
        <f>XLOOKUP(F784,Lookups!$B$7:$B$11,Lookups!$C$7:$C$11,"Unknown")</f>
        <v/>
      </c>
      <c r="T784" s="31">
        <f>XLOOKUP(G784,Lookups!$E$7:$E$11,Lookups!$F$7:$F$11,0)</f>
        <v/>
      </c>
      <c r="U784" s="32">
        <f>R784-T784</f>
        <v/>
      </c>
      <c r="V784">
        <f>XLOOKUP(I784,Lookups!$H$7:$H$10,Lookups!$I$7:$I$10,"")</f>
        <v/>
      </c>
      <c r="W784">
        <f>IF(O784&gt;=50000,"HIGH VALUE","")</f>
        <v/>
      </c>
      <c r="X784">
        <f>IF(Q784&lt;0,"LOSS","")</f>
        <v/>
      </c>
      <c r="Y784">
        <f>IFS(M784&gt;=0.15,"Deep Discount",M784&gt;=0.1,"Moderate",TRUE,"Standard")</f>
        <v/>
      </c>
    </row>
    <row r="785">
      <c r="A785">
        <f>Raw_Data!A785</f>
        <v/>
      </c>
      <c r="B785" s="29">
        <f>Raw_Data!B785</f>
        <v/>
      </c>
      <c r="C785">
        <f>YEAR(B785)</f>
        <v/>
      </c>
      <c r="D785">
        <f>MONTH(B785)</f>
        <v/>
      </c>
      <c r="E785">
        <f>TEXT(B785,"MMM-YYYY")</f>
        <v/>
      </c>
      <c r="F785">
        <f>Raw_Data!C785</f>
        <v/>
      </c>
      <c r="G785">
        <f>Raw_Data!D785</f>
        <v/>
      </c>
      <c r="H785">
        <f>Raw_Data!E785</f>
        <v/>
      </c>
      <c r="I785">
        <f>Raw_Data!F785</f>
        <v/>
      </c>
      <c r="J785">
        <f>Raw_Data!G785</f>
        <v/>
      </c>
      <c r="K785">
        <f>Raw_Data!H785</f>
        <v/>
      </c>
      <c r="L785" s="30">
        <f>Raw_Data!I785</f>
        <v/>
      </c>
      <c r="M785" s="31">
        <f>Raw_Data!J785</f>
        <v/>
      </c>
      <c r="N785" s="17">
        <f>K785*L785</f>
        <v/>
      </c>
      <c r="O785" s="17">
        <f>N785*(1-M785)</f>
        <v/>
      </c>
      <c r="P785" s="17">
        <f>Raw_Data!L785</f>
        <v/>
      </c>
      <c r="Q785" s="17">
        <f>O785-P785</f>
        <v/>
      </c>
      <c r="R785" s="31">
        <f>IF(O785=0,0,Q785/O785)</f>
        <v/>
      </c>
      <c r="S785">
        <f>XLOOKUP(F785,Lookups!$B$7:$B$11,Lookups!$C$7:$C$11,"Unknown")</f>
        <v/>
      </c>
      <c r="T785" s="31">
        <f>XLOOKUP(G785,Lookups!$E$7:$E$11,Lookups!$F$7:$F$11,0)</f>
        <v/>
      </c>
      <c r="U785" s="32">
        <f>R785-T785</f>
        <v/>
      </c>
      <c r="V785">
        <f>XLOOKUP(I785,Lookups!$H$7:$H$10,Lookups!$I$7:$I$10,"")</f>
        <v/>
      </c>
      <c r="W785">
        <f>IF(O785&gt;=50000,"HIGH VALUE","")</f>
        <v/>
      </c>
      <c r="X785">
        <f>IF(Q785&lt;0,"LOSS","")</f>
        <v/>
      </c>
      <c r="Y785">
        <f>IFS(M785&gt;=0.15,"Deep Discount",M785&gt;=0.1,"Moderate",TRUE,"Standard")</f>
        <v/>
      </c>
    </row>
    <row r="786">
      <c r="A786">
        <f>Raw_Data!A786</f>
        <v/>
      </c>
      <c r="B786" s="29">
        <f>Raw_Data!B786</f>
        <v/>
      </c>
      <c r="C786">
        <f>YEAR(B786)</f>
        <v/>
      </c>
      <c r="D786">
        <f>MONTH(B786)</f>
        <v/>
      </c>
      <c r="E786">
        <f>TEXT(B786,"MMM-YYYY")</f>
        <v/>
      </c>
      <c r="F786">
        <f>Raw_Data!C786</f>
        <v/>
      </c>
      <c r="G786">
        <f>Raw_Data!D786</f>
        <v/>
      </c>
      <c r="H786">
        <f>Raw_Data!E786</f>
        <v/>
      </c>
      <c r="I786">
        <f>Raw_Data!F786</f>
        <v/>
      </c>
      <c r="J786">
        <f>Raw_Data!G786</f>
        <v/>
      </c>
      <c r="K786">
        <f>Raw_Data!H786</f>
        <v/>
      </c>
      <c r="L786" s="30">
        <f>Raw_Data!I786</f>
        <v/>
      </c>
      <c r="M786" s="31">
        <f>Raw_Data!J786</f>
        <v/>
      </c>
      <c r="N786" s="17">
        <f>K786*L786</f>
        <v/>
      </c>
      <c r="O786" s="17">
        <f>N786*(1-M786)</f>
        <v/>
      </c>
      <c r="P786" s="17">
        <f>Raw_Data!L786</f>
        <v/>
      </c>
      <c r="Q786" s="17">
        <f>O786-P786</f>
        <v/>
      </c>
      <c r="R786" s="31">
        <f>IF(O786=0,0,Q786/O786)</f>
        <v/>
      </c>
      <c r="S786">
        <f>XLOOKUP(F786,Lookups!$B$7:$B$11,Lookups!$C$7:$C$11,"Unknown")</f>
        <v/>
      </c>
      <c r="T786" s="31">
        <f>XLOOKUP(G786,Lookups!$E$7:$E$11,Lookups!$F$7:$F$11,0)</f>
        <v/>
      </c>
      <c r="U786" s="32">
        <f>R786-T786</f>
        <v/>
      </c>
      <c r="V786">
        <f>XLOOKUP(I786,Lookups!$H$7:$H$10,Lookups!$I$7:$I$10,"")</f>
        <v/>
      </c>
      <c r="W786">
        <f>IF(O786&gt;=50000,"HIGH VALUE","")</f>
        <v/>
      </c>
      <c r="X786">
        <f>IF(Q786&lt;0,"LOSS","")</f>
        <v/>
      </c>
      <c r="Y786">
        <f>IFS(M786&gt;=0.15,"Deep Discount",M786&gt;=0.1,"Moderate",TRUE,"Standard")</f>
        <v/>
      </c>
    </row>
    <row r="787">
      <c r="A787">
        <f>Raw_Data!A787</f>
        <v/>
      </c>
      <c r="B787" s="29">
        <f>Raw_Data!B787</f>
        <v/>
      </c>
      <c r="C787">
        <f>YEAR(B787)</f>
        <v/>
      </c>
      <c r="D787">
        <f>MONTH(B787)</f>
        <v/>
      </c>
      <c r="E787">
        <f>TEXT(B787,"MMM-YYYY")</f>
        <v/>
      </c>
      <c r="F787">
        <f>Raw_Data!C787</f>
        <v/>
      </c>
      <c r="G787">
        <f>Raw_Data!D787</f>
        <v/>
      </c>
      <c r="H787">
        <f>Raw_Data!E787</f>
        <v/>
      </c>
      <c r="I787">
        <f>Raw_Data!F787</f>
        <v/>
      </c>
      <c r="J787">
        <f>Raw_Data!G787</f>
        <v/>
      </c>
      <c r="K787">
        <f>Raw_Data!H787</f>
        <v/>
      </c>
      <c r="L787" s="30">
        <f>Raw_Data!I787</f>
        <v/>
      </c>
      <c r="M787" s="31">
        <f>Raw_Data!J787</f>
        <v/>
      </c>
      <c r="N787" s="17">
        <f>K787*L787</f>
        <v/>
      </c>
      <c r="O787" s="17">
        <f>N787*(1-M787)</f>
        <v/>
      </c>
      <c r="P787" s="17">
        <f>Raw_Data!L787</f>
        <v/>
      </c>
      <c r="Q787" s="17">
        <f>O787-P787</f>
        <v/>
      </c>
      <c r="R787" s="31">
        <f>IF(O787=0,0,Q787/O787)</f>
        <v/>
      </c>
      <c r="S787">
        <f>XLOOKUP(F787,Lookups!$B$7:$B$11,Lookups!$C$7:$C$11,"Unknown")</f>
        <v/>
      </c>
      <c r="T787" s="31">
        <f>XLOOKUP(G787,Lookups!$E$7:$E$11,Lookups!$F$7:$F$11,0)</f>
        <v/>
      </c>
      <c r="U787" s="32">
        <f>R787-T787</f>
        <v/>
      </c>
      <c r="V787">
        <f>XLOOKUP(I787,Lookups!$H$7:$H$10,Lookups!$I$7:$I$10,"")</f>
        <v/>
      </c>
      <c r="W787">
        <f>IF(O787&gt;=50000,"HIGH VALUE","")</f>
        <v/>
      </c>
      <c r="X787">
        <f>IF(Q787&lt;0,"LOSS","")</f>
        <v/>
      </c>
      <c r="Y787">
        <f>IFS(M787&gt;=0.15,"Deep Discount",M787&gt;=0.1,"Moderate",TRUE,"Standard")</f>
        <v/>
      </c>
    </row>
    <row r="788">
      <c r="A788">
        <f>Raw_Data!A788</f>
        <v/>
      </c>
      <c r="B788" s="29">
        <f>Raw_Data!B788</f>
        <v/>
      </c>
      <c r="C788">
        <f>YEAR(B788)</f>
        <v/>
      </c>
      <c r="D788">
        <f>MONTH(B788)</f>
        <v/>
      </c>
      <c r="E788">
        <f>TEXT(B788,"MMM-YYYY")</f>
        <v/>
      </c>
      <c r="F788">
        <f>Raw_Data!C788</f>
        <v/>
      </c>
      <c r="G788">
        <f>Raw_Data!D788</f>
        <v/>
      </c>
      <c r="H788">
        <f>Raw_Data!E788</f>
        <v/>
      </c>
      <c r="I788">
        <f>Raw_Data!F788</f>
        <v/>
      </c>
      <c r="J788">
        <f>Raw_Data!G788</f>
        <v/>
      </c>
      <c r="K788">
        <f>Raw_Data!H788</f>
        <v/>
      </c>
      <c r="L788" s="30">
        <f>Raw_Data!I788</f>
        <v/>
      </c>
      <c r="M788" s="31">
        <f>Raw_Data!J788</f>
        <v/>
      </c>
      <c r="N788" s="17">
        <f>K788*L788</f>
        <v/>
      </c>
      <c r="O788" s="17">
        <f>N788*(1-M788)</f>
        <v/>
      </c>
      <c r="P788" s="17">
        <f>Raw_Data!L788</f>
        <v/>
      </c>
      <c r="Q788" s="17">
        <f>O788-P788</f>
        <v/>
      </c>
      <c r="R788" s="31">
        <f>IF(O788=0,0,Q788/O788)</f>
        <v/>
      </c>
      <c r="S788">
        <f>XLOOKUP(F788,Lookups!$B$7:$B$11,Lookups!$C$7:$C$11,"Unknown")</f>
        <v/>
      </c>
      <c r="T788" s="31">
        <f>XLOOKUP(G788,Lookups!$E$7:$E$11,Lookups!$F$7:$F$11,0)</f>
        <v/>
      </c>
      <c r="U788" s="32">
        <f>R788-T788</f>
        <v/>
      </c>
      <c r="V788">
        <f>XLOOKUP(I788,Lookups!$H$7:$H$10,Lookups!$I$7:$I$10,"")</f>
        <v/>
      </c>
      <c r="W788">
        <f>IF(O788&gt;=50000,"HIGH VALUE","")</f>
        <v/>
      </c>
      <c r="X788">
        <f>IF(Q788&lt;0,"LOSS","")</f>
        <v/>
      </c>
      <c r="Y788">
        <f>IFS(M788&gt;=0.15,"Deep Discount",M788&gt;=0.1,"Moderate",TRUE,"Standard")</f>
        <v/>
      </c>
    </row>
    <row r="789">
      <c r="A789">
        <f>Raw_Data!A789</f>
        <v/>
      </c>
      <c r="B789" s="29">
        <f>Raw_Data!B789</f>
        <v/>
      </c>
      <c r="C789">
        <f>YEAR(B789)</f>
        <v/>
      </c>
      <c r="D789">
        <f>MONTH(B789)</f>
        <v/>
      </c>
      <c r="E789">
        <f>TEXT(B789,"MMM-YYYY")</f>
        <v/>
      </c>
      <c r="F789">
        <f>Raw_Data!C789</f>
        <v/>
      </c>
      <c r="G789">
        <f>Raw_Data!D789</f>
        <v/>
      </c>
      <c r="H789">
        <f>Raw_Data!E789</f>
        <v/>
      </c>
      <c r="I789">
        <f>Raw_Data!F789</f>
        <v/>
      </c>
      <c r="J789">
        <f>Raw_Data!G789</f>
        <v/>
      </c>
      <c r="K789">
        <f>Raw_Data!H789</f>
        <v/>
      </c>
      <c r="L789" s="30">
        <f>Raw_Data!I789</f>
        <v/>
      </c>
      <c r="M789" s="31">
        <f>Raw_Data!J789</f>
        <v/>
      </c>
      <c r="N789" s="17">
        <f>K789*L789</f>
        <v/>
      </c>
      <c r="O789" s="17">
        <f>N789*(1-M789)</f>
        <v/>
      </c>
      <c r="P789" s="17">
        <f>Raw_Data!L789</f>
        <v/>
      </c>
      <c r="Q789" s="17">
        <f>O789-P789</f>
        <v/>
      </c>
      <c r="R789" s="31">
        <f>IF(O789=0,0,Q789/O789)</f>
        <v/>
      </c>
      <c r="S789">
        <f>XLOOKUP(F789,Lookups!$B$7:$B$11,Lookups!$C$7:$C$11,"Unknown")</f>
        <v/>
      </c>
      <c r="T789" s="31">
        <f>XLOOKUP(G789,Lookups!$E$7:$E$11,Lookups!$F$7:$F$11,0)</f>
        <v/>
      </c>
      <c r="U789" s="32">
        <f>R789-T789</f>
        <v/>
      </c>
      <c r="V789">
        <f>XLOOKUP(I789,Lookups!$H$7:$H$10,Lookups!$I$7:$I$10,"")</f>
        <v/>
      </c>
      <c r="W789">
        <f>IF(O789&gt;=50000,"HIGH VALUE","")</f>
        <v/>
      </c>
      <c r="X789">
        <f>IF(Q789&lt;0,"LOSS","")</f>
        <v/>
      </c>
      <c r="Y789">
        <f>IFS(M789&gt;=0.15,"Deep Discount",M789&gt;=0.1,"Moderate",TRUE,"Standard")</f>
        <v/>
      </c>
    </row>
    <row r="790">
      <c r="A790">
        <f>Raw_Data!A790</f>
        <v/>
      </c>
      <c r="B790" s="29">
        <f>Raw_Data!B790</f>
        <v/>
      </c>
      <c r="C790">
        <f>YEAR(B790)</f>
        <v/>
      </c>
      <c r="D790">
        <f>MONTH(B790)</f>
        <v/>
      </c>
      <c r="E790">
        <f>TEXT(B790,"MMM-YYYY")</f>
        <v/>
      </c>
      <c r="F790">
        <f>Raw_Data!C790</f>
        <v/>
      </c>
      <c r="G790">
        <f>Raw_Data!D790</f>
        <v/>
      </c>
      <c r="H790">
        <f>Raw_Data!E790</f>
        <v/>
      </c>
      <c r="I790">
        <f>Raw_Data!F790</f>
        <v/>
      </c>
      <c r="J790">
        <f>Raw_Data!G790</f>
        <v/>
      </c>
      <c r="K790">
        <f>Raw_Data!H790</f>
        <v/>
      </c>
      <c r="L790" s="30">
        <f>Raw_Data!I790</f>
        <v/>
      </c>
      <c r="M790" s="31">
        <f>Raw_Data!J790</f>
        <v/>
      </c>
      <c r="N790" s="17">
        <f>K790*L790</f>
        <v/>
      </c>
      <c r="O790" s="17">
        <f>N790*(1-M790)</f>
        <v/>
      </c>
      <c r="P790" s="17">
        <f>Raw_Data!L790</f>
        <v/>
      </c>
      <c r="Q790" s="17">
        <f>O790-P790</f>
        <v/>
      </c>
      <c r="R790" s="31">
        <f>IF(O790=0,0,Q790/O790)</f>
        <v/>
      </c>
      <c r="S790">
        <f>XLOOKUP(F790,Lookups!$B$7:$B$11,Lookups!$C$7:$C$11,"Unknown")</f>
        <v/>
      </c>
      <c r="T790" s="31">
        <f>XLOOKUP(G790,Lookups!$E$7:$E$11,Lookups!$F$7:$F$11,0)</f>
        <v/>
      </c>
      <c r="U790" s="32">
        <f>R790-T790</f>
        <v/>
      </c>
      <c r="V790">
        <f>XLOOKUP(I790,Lookups!$H$7:$H$10,Lookups!$I$7:$I$10,"")</f>
        <v/>
      </c>
      <c r="W790">
        <f>IF(O790&gt;=50000,"HIGH VALUE","")</f>
        <v/>
      </c>
      <c r="X790">
        <f>IF(Q790&lt;0,"LOSS","")</f>
        <v/>
      </c>
      <c r="Y790">
        <f>IFS(M790&gt;=0.15,"Deep Discount",M790&gt;=0.1,"Moderate",TRUE,"Standard")</f>
        <v/>
      </c>
    </row>
    <row r="791">
      <c r="A791">
        <f>Raw_Data!A791</f>
        <v/>
      </c>
      <c r="B791" s="29">
        <f>Raw_Data!B791</f>
        <v/>
      </c>
      <c r="C791">
        <f>YEAR(B791)</f>
        <v/>
      </c>
      <c r="D791">
        <f>MONTH(B791)</f>
        <v/>
      </c>
      <c r="E791">
        <f>TEXT(B791,"MMM-YYYY")</f>
        <v/>
      </c>
      <c r="F791">
        <f>Raw_Data!C791</f>
        <v/>
      </c>
      <c r="G791">
        <f>Raw_Data!D791</f>
        <v/>
      </c>
      <c r="H791">
        <f>Raw_Data!E791</f>
        <v/>
      </c>
      <c r="I791">
        <f>Raw_Data!F791</f>
        <v/>
      </c>
      <c r="J791">
        <f>Raw_Data!G791</f>
        <v/>
      </c>
      <c r="K791">
        <f>Raw_Data!H791</f>
        <v/>
      </c>
      <c r="L791" s="30">
        <f>Raw_Data!I791</f>
        <v/>
      </c>
      <c r="M791" s="31">
        <f>Raw_Data!J791</f>
        <v/>
      </c>
      <c r="N791" s="17">
        <f>K791*L791</f>
        <v/>
      </c>
      <c r="O791" s="17">
        <f>N791*(1-M791)</f>
        <v/>
      </c>
      <c r="P791" s="17">
        <f>Raw_Data!L791</f>
        <v/>
      </c>
      <c r="Q791" s="17">
        <f>O791-P791</f>
        <v/>
      </c>
      <c r="R791" s="31">
        <f>IF(O791=0,0,Q791/O791)</f>
        <v/>
      </c>
      <c r="S791">
        <f>XLOOKUP(F791,Lookups!$B$7:$B$11,Lookups!$C$7:$C$11,"Unknown")</f>
        <v/>
      </c>
      <c r="T791" s="31">
        <f>XLOOKUP(G791,Lookups!$E$7:$E$11,Lookups!$F$7:$F$11,0)</f>
        <v/>
      </c>
      <c r="U791" s="32">
        <f>R791-T791</f>
        <v/>
      </c>
      <c r="V791">
        <f>XLOOKUP(I791,Lookups!$H$7:$H$10,Lookups!$I$7:$I$10,"")</f>
        <v/>
      </c>
      <c r="W791">
        <f>IF(O791&gt;=50000,"HIGH VALUE","")</f>
        <v/>
      </c>
      <c r="X791">
        <f>IF(Q791&lt;0,"LOSS","")</f>
        <v/>
      </c>
      <c r="Y791">
        <f>IFS(M791&gt;=0.15,"Deep Discount",M791&gt;=0.1,"Moderate",TRUE,"Standard")</f>
        <v/>
      </c>
    </row>
    <row r="792">
      <c r="A792">
        <f>Raw_Data!A792</f>
        <v/>
      </c>
      <c r="B792" s="29">
        <f>Raw_Data!B792</f>
        <v/>
      </c>
      <c r="C792">
        <f>YEAR(B792)</f>
        <v/>
      </c>
      <c r="D792">
        <f>MONTH(B792)</f>
        <v/>
      </c>
      <c r="E792">
        <f>TEXT(B792,"MMM-YYYY")</f>
        <v/>
      </c>
      <c r="F792">
        <f>Raw_Data!C792</f>
        <v/>
      </c>
      <c r="G792">
        <f>Raw_Data!D792</f>
        <v/>
      </c>
      <c r="H792">
        <f>Raw_Data!E792</f>
        <v/>
      </c>
      <c r="I792">
        <f>Raw_Data!F792</f>
        <v/>
      </c>
      <c r="J792">
        <f>Raw_Data!G792</f>
        <v/>
      </c>
      <c r="K792">
        <f>Raw_Data!H792</f>
        <v/>
      </c>
      <c r="L792" s="30">
        <f>Raw_Data!I792</f>
        <v/>
      </c>
      <c r="M792" s="31">
        <f>Raw_Data!J792</f>
        <v/>
      </c>
      <c r="N792" s="17">
        <f>K792*L792</f>
        <v/>
      </c>
      <c r="O792" s="17">
        <f>N792*(1-M792)</f>
        <v/>
      </c>
      <c r="P792" s="17">
        <f>Raw_Data!L792</f>
        <v/>
      </c>
      <c r="Q792" s="17">
        <f>O792-P792</f>
        <v/>
      </c>
      <c r="R792" s="31">
        <f>IF(O792=0,0,Q792/O792)</f>
        <v/>
      </c>
      <c r="S792">
        <f>XLOOKUP(F792,Lookups!$B$7:$B$11,Lookups!$C$7:$C$11,"Unknown")</f>
        <v/>
      </c>
      <c r="T792" s="31">
        <f>XLOOKUP(G792,Lookups!$E$7:$E$11,Lookups!$F$7:$F$11,0)</f>
        <v/>
      </c>
      <c r="U792" s="32">
        <f>R792-T792</f>
        <v/>
      </c>
      <c r="V792">
        <f>XLOOKUP(I792,Lookups!$H$7:$H$10,Lookups!$I$7:$I$10,"")</f>
        <v/>
      </c>
      <c r="W792">
        <f>IF(O792&gt;=50000,"HIGH VALUE","")</f>
        <v/>
      </c>
      <c r="X792">
        <f>IF(Q792&lt;0,"LOSS","")</f>
        <v/>
      </c>
      <c r="Y792">
        <f>IFS(M792&gt;=0.15,"Deep Discount",M792&gt;=0.1,"Moderate",TRUE,"Standard")</f>
        <v/>
      </c>
    </row>
    <row r="793">
      <c r="A793">
        <f>Raw_Data!A793</f>
        <v/>
      </c>
      <c r="B793" s="29">
        <f>Raw_Data!B793</f>
        <v/>
      </c>
      <c r="C793">
        <f>YEAR(B793)</f>
        <v/>
      </c>
      <c r="D793">
        <f>MONTH(B793)</f>
        <v/>
      </c>
      <c r="E793">
        <f>TEXT(B793,"MMM-YYYY")</f>
        <v/>
      </c>
      <c r="F793">
        <f>Raw_Data!C793</f>
        <v/>
      </c>
      <c r="G793">
        <f>Raw_Data!D793</f>
        <v/>
      </c>
      <c r="H793">
        <f>Raw_Data!E793</f>
        <v/>
      </c>
      <c r="I793">
        <f>Raw_Data!F793</f>
        <v/>
      </c>
      <c r="J793">
        <f>Raw_Data!G793</f>
        <v/>
      </c>
      <c r="K793">
        <f>Raw_Data!H793</f>
        <v/>
      </c>
      <c r="L793" s="30">
        <f>Raw_Data!I793</f>
        <v/>
      </c>
      <c r="M793" s="31">
        <f>Raw_Data!J793</f>
        <v/>
      </c>
      <c r="N793" s="17">
        <f>K793*L793</f>
        <v/>
      </c>
      <c r="O793" s="17">
        <f>N793*(1-M793)</f>
        <v/>
      </c>
      <c r="P793" s="17">
        <f>Raw_Data!L793</f>
        <v/>
      </c>
      <c r="Q793" s="17">
        <f>O793-P793</f>
        <v/>
      </c>
      <c r="R793" s="31">
        <f>IF(O793=0,0,Q793/O793)</f>
        <v/>
      </c>
      <c r="S793">
        <f>XLOOKUP(F793,Lookups!$B$7:$B$11,Lookups!$C$7:$C$11,"Unknown")</f>
        <v/>
      </c>
      <c r="T793" s="31">
        <f>XLOOKUP(G793,Lookups!$E$7:$E$11,Lookups!$F$7:$F$11,0)</f>
        <v/>
      </c>
      <c r="U793" s="32">
        <f>R793-T793</f>
        <v/>
      </c>
      <c r="V793">
        <f>XLOOKUP(I793,Lookups!$H$7:$H$10,Lookups!$I$7:$I$10,"")</f>
        <v/>
      </c>
      <c r="W793">
        <f>IF(O793&gt;=50000,"HIGH VALUE","")</f>
        <v/>
      </c>
      <c r="X793">
        <f>IF(Q793&lt;0,"LOSS","")</f>
        <v/>
      </c>
      <c r="Y793">
        <f>IFS(M793&gt;=0.15,"Deep Discount",M793&gt;=0.1,"Moderate",TRUE,"Standard")</f>
        <v/>
      </c>
    </row>
    <row r="794">
      <c r="A794">
        <f>Raw_Data!A794</f>
        <v/>
      </c>
      <c r="B794" s="29">
        <f>Raw_Data!B794</f>
        <v/>
      </c>
      <c r="C794">
        <f>YEAR(B794)</f>
        <v/>
      </c>
      <c r="D794">
        <f>MONTH(B794)</f>
        <v/>
      </c>
      <c r="E794">
        <f>TEXT(B794,"MMM-YYYY")</f>
        <v/>
      </c>
      <c r="F794">
        <f>Raw_Data!C794</f>
        <v/>
      </c>
      <c r="G794">
        <f>Raw_Data!D794</f>
        <v/>
      </c>
      <c r="H794">
        <f>Raw_Data!E794</f>
        <v/>
      </c>
      <c r="I794">
        <f>Raw_Data!F794</f>
        <v/>
      </c>
      <c r="J794">
        <f>Raw_Data!G794</f>
        <v/>
      </c>
      <c r="K794">
        <f>Raw_Data!H794</f>
        <v/>
      </c>
      <c r="L794" s="30">
        <f>Raw_Data!I794</f>
        <v/>
      </c>
      <c r="M794" s="31">
        <f>Raw_Data!J794</f>
        <v/>
      </c>
      <c r="N794" s="17">
        <f>K794*L794</f>
        <v/>
      </c>
      <c r="O794" s="17">
        <f>N794*(1-M794)</f>
        <v/>
      </c>
      <c r="P794" s="17">
        <f>Raw_Data!L794</f>
        <v/>
      </c>
      <c r="Q794" s="17">
        <f>O794-P794</f>
        <v/>
      </c>
      <c r="R794" s="31">
        <f>IF(O794=0,0,Q794/O794)</f>
        <v/>
      </c>
      <c r="S794">
        <f>XLOOKUP(F794,Lookups!$B$7:$B$11,Lookups!$C$7:$C$11,"Unknown")</f>
        <v/>
      </c>
      <c r="T794" s="31">
        <f>XLOOKUP(G794,Lookups!$E$7:$E$11,Lookups!$F$7:$F$11,0)</f>
        <v/>
      </c>
      <c r="U794" s="32">
        <f>R794-T794</f>
        <v/>
      </c>
      <c r="V794">
        <f>XLOOKUP(I794,Lookups!$H$7:$H$10,Lookups!$I$7:$I$10,"")</f>
        <v/>
      </c>
      <c r="W794">
        <f>IF(O794&gt;=50000,"HIGH VALUE","")</f>
        <v/>
      </c>
      <c r="X794">
        <f>IF(Q794&lt;0,"LOSS","")</f>
        <v/>
      </c>
      <c r="Y794">
        <f>IFS(M794&gt;=0.15,"Deep Discount",M794&gt;=0.1,"Moderate",TRUE,"Standard")</f>
        <v/>
      </c>
    </row>
    <row r="795">
      <c r="A795">
        <f>Raw_Data!A795</f>
        <v/>
      </c>
      <c r="B795" s="29">
        <f>Raw_Data!B795</f>
        <v/>
      </c>
      <c r="C795">
        <f>YEAR(B795)</f>
        <v/>
      </c>
      <c r="D795">
        <f>MONTH(B795)</f>
        <v/>
      </c>
      <c r="E795">
        <f>TEXT(B795,"MMM-YYYY")</f>
        <v/>
      </c>
      <c r="F795">
        <f>Raw_Data!C795</f>
        <v/>
      </c>
      <c r="G795">
        <f>Raw_Data!D795</f>
        <v/>
      </c>
      <c r="H795">
        <f>Raw_Data!E795</f>
        <v/>
      </c>
      <c r="I795">
        <f>Raw_Data!F795</f>
        <v/>
      </c>
      <c r="J795">
        <f>Raw_Data!G795</f>
        <v/>
      </c>
      <c r="K795">
        <f>Raw_Data!H795</f>
        <v/>
      </c>
      <c r="L795" s="30">
        <f>Raw_Data!I795</f>
        <v/>
      </c>
      <c r="M795" s="31">
        <f>Raw_Data!J795</f>
        <v/>
      </c>
      <c r="N795" s="17">
        <f>K795*L795</f>
        <v/>
      </c>
      <c r="O795" s="17">
        <f>N795*(1-M795)</f>
        <v/>
      </c>
      <c r="P795" s="17">
        <f>Raw_Data!L795</f>
        <v/>
      </c>
      <c r="Q795" s="17">
        <f>O795-P795</f>
        <v/>
      </c>
      <c r="R795" s="31">
        <f>IF(O795=0,0,Q795/O795)</f>
        <v/>
      </c>
      <c r="S795">
        <f>XLOOKUP(F795,Lookups!$B$7:$B$11,Lookups!$C$7:$C$11,"Unknown")</f>
        <v/>
      </c>
      <c r="T795" s="31">
        <f>XLOOKUP(G795,Lookups!$E$7:$E$11,Lookups!$F$7:$F$11,0)</f>
        <v/>
      </c>
      <c r="U795" s="32">
        <f>R795-T795</f>
        <v/>
      </c>
      <c r="V795">
        <f>XLOOKUP(I795,Lookups!$H$7:$H$10,Lookups!$I$7:$I$10,"")</f>
        <v/>
      </c>
      <c r="W795">
        <f>IF(O795&gt;=50000,"HIGH VALUE","")</f>
        <v/>
      </c>
      <c r="X795">
        <f>IF(Q795&lt;0,"LOSS","")</f>
        <v/>
      </c>
      <c r="Y795">
        <f>IFS(M795&gt;=0.15,"Deep Discount",M795&gt;=0.1,"Moderate",TRUE,"Standard")</f>
        <v/>
      </c>
    </row>
    <row r="796">
      <c r="A796">
        <f>Raw_Data!A796</f>
        <v/>
      </c>
      <c r="B796" s="29">
        <f>Raw_Data!B796</f>
        <v/>
      </c>
      <c r="C796">
        <f>YEAR(B796)</f>
        <v/>
      </c>
      <c r="D796">
        <f>MONTH(B796)</f>
        <v/>
      </c>
      <c r="E796">
        <f>TEXT(B796,"MMM-YYYY")</f>
        <v/>
      </c>
      <c r="F796">
        <f>Raw_Data!C796</f>
        <v/>
      </c>
      <c r="G796">
        <f>Raw_Data!D796</f>
        <v/>
      </c>
      <c r="H796">
        <f>Raw_Data!E796</f>
        <v/>
      </c>
      <c r="I796">
        <f>Raw_Data!F796</f>
        <v/>
      </c>
      <c r="J796">
        <f>Raw_Data!G796</f>
        <v/>
      </c>
      <c r="K796">
        <f>Raw_Data!H796</f>
        <v/>
      </c>
      <c r="L796" s="30">
        <f>Raw_Data!I796</f>
        <v/>
      </c>
      <c r="M796" s="31">
        <f>Raw_Data!J796</f>
        <v/>
      </c>
      <c r="N796" s="17">
        <f>K796*L796</f>
        <v/>
      </c>
      <c r="O796" s="17">
        <f>N796*(1-M796)</f>
        <v/>
      </c>
      <c r="P796" s="17">
        <f>Raw_Data!L796</f>
        <v/>
      </c>
      <c r="Q796" s="17">
        <f>O796-P796</f>
        <v/>
      </c>
      <c r="R796" s="31">
        <f>IF(O796=0,0,Q796/O796)</f>
        <v/>
      </c>
      <c r="S796">
        <f>XLOOKUP(F796,Lookups!$B$7:$B$11,Lookups!$C$7:$C$11,"Unknown")</f>
        <v/>
      </c>
      <c r="T796" s="31">
        <f>XLOOKUP(G796,Lookups!$E$7:$E$11,Lookups!$F$7:$F$11,0)</f>
        <v/>
      </c>
      <c r="U796" s="32">
        <f>R796-T796</f>
        <v/>
      </c>
      <c r="V796">
        <f>XLOOKUP(I796,Lookups!$H$7:$H$10,Lookups!$I$7:$I$10,"")</f>
        <v/>
      </c>
      <c r="W796">
        <f>IF(O796&gt;=50000,"HIGH VALUE","")</f>
        <v/>
      </c>
      <c r="X796">
        <f>IF(Q796&lt;0,"LOSS","")</f>
        <v/>
      </c>
      <c r="Y796">
        <f>IFS(M796&gt;=0.15,"Deep Discount",M796&gt;=0.1,"Moderate",TRUE,"Standard")</f>
        <v/>
      </c>
    </row>
    <row r="797">
      <c r="A797">
        <f>Raw_Data!A797</f>
        <v/>
      </c>
      <c r="B797" s="29">
        <f>Raw_Data!B797</f>
        <v/>
      </c>
      <c r="C797">
        <f>YEAR(B797)</f>
        <v/>
      </c>
      <c r="D797">
        <f>MONTH(B797)</f>
        <v/>
      </c>
      <c r="E797">
        <f>TEXT(B797,"MMM-YYYY")</f>
        <v/>
      </c>
      <c r="F797">
        <f>Raw_Data!C797</f>
        <v/>
      </c>
      <c r="G797">
        <f>Raw_Data!D797</f>
        <v/>
      </c>
      <c r="H797">
        <f>Raw_Data!E797</f>
        <v/>
      </c>
      <c r="I797">
        <f>Raw_Data!F797</f>
        <v/>
      </c>
      <c r="J797">
        <f>Raw_Data!G797</f>
        <v/>
      </c>
      <c r="K797">
        <f>Raw_Data!H797</f>
        <v/>
      </c>
      <c r="L797" s="30">
        <f>Raw_Data!I797</f>
        <v/>
      </c>
      <c r="M797" s="31">
        <f>Raw_Data!J797</f>
        <v/>
      </c>
      <c r="N797" s="17">
        <f>K797*L797</f>
        <v/>
      </c>
      <c r="O797" s="17">
        <f>N797*(1-M797)</f>
        <v/>
      </c>
      <c r="P797" s="17">
        <f>Raw_Data!L797</f>
        <v/>
      </c>
      <c r="Q797" s="17">
        <f>O797-P797</f>
        <v/>
      </c>
      <c r="R797" s="31">
        <f>IF(O797=0,0,Q797/O797)</f>
        <v/>
      </c>
      <c r="S797">
        <f>XLOOKUP(F797,Lookups!$B$7:$B$11,Lookups!$C$7:$C$11,"Unknown")</f>
        <v/>
      </c>
      <c r="T797" s="31">
        <f>XLOOKUP(G797,Lookups!$E$7:$E$11,Lookups!$F$7:$F$11,0)</f>
        <v/>
      </c>
      <c r="U797" s="32">
        <f>R797-T797</f>
        <v/>
      </c>
      <c r="V797">
        <f>XLOOKUP(I797,Lookups!$H$7:$H$10,Lookups!$I$7:$I$10,"")</f>
        <v/>
      </c>
      <c r="W797">
        <f>IF(O797&gt;=50000,"HIGH VALUE","")</f>
        <v/>
      </c>
      <c r="X797">
        <f>IF(Q797&lt;0,"LOSS","")</f>
        <v/>
      </c>
      <c r="Y797">
        <f>IFS(M797&gt;=0.15,"Deep Discount",M797&gt;=0.1,"Moderate",TRUE,"Standard")</f>
        <v/>
      </c>
    </row>
    <row r="798">
      <c r="A798">
        <f>Raw_Data!A798</f>
        <v/>
      </c>
      <c r="B798" s="29">
        <f>Raw_Data!B798</f>
        <v/>
      </c>
      <c r="C798">
        <f>YEAR(B798)</f>
        <v/>
      </c>
      <c r="D798">
        <f>MONTH(B798)</f>
        <v/>
      </c>
      <c r="E798">
        <f>TEXT(B798,"MMM-YYYY")</f>
        <v/>
      </c>
      <c r="F798">
        <f>Raw_Data!C798</f>
        <v/>
      </c>
      <c r="G798">
        <f>Raw_Data!D798</f>
        <v/>
      </c>
      <c r="H798">
        <f>Raw_Data!E798</f>
        <v/>
      </c>
      <c r="I798">
        <f>Raw_Data!F798</f>
        <v/>
      </c>
      <c r="J798">
        <f>Raw_Data!G798</f>
        <v/>
      </c>
      <c r="K798">
        <f>Raw_Data!H798</f>
        <v/>
      </c>
      <c r="L798" s="30">
        <f>Raw_Data!I798</f>
        <v/>
      </c>
      <c r="M798" s="31">
        <f>Raw_Data!J798</f>
        <v/>
      </c>
      <c r="N798" s="17">
        <f>K798*L798</f>
        <v/>
      </c>
      <c r="O798" s="17">
        <f>N798*(1-M798)</f>
        <v/>
      </c>
      <c r="P798" s="17">
        <f>Raw_Data!L798</f>
        <v/>
      </c>
      <c r="Q798" s="17">
        <f>O798-P798</f>
        <v/>
      </c>
      <c r="R798" s="31">
        <f>IF(O798=0,0,Q798/O798)</f>
        <v/>
      </c>
      <c r="S798">
        <f>XLOOKUP(F798,Lookups!$B$7:$B$11,Lookups!$C$7:$C$11,"Unknown")</f>
        <v/>
      </c>
      <c r="T798" s="31">
        <f>XLOOKUP(G798,Lookups!$E$7:$E$11,Lookups!$F$7:$F$11,0)</f>
        <v/>
      </c>
      <c r="U798" s="32">
        <f>R798-T798</f>
        <v/>
      </c>
      <c r="V798">
        <f>XLOOKUP(I798,Lookups!$H$7:$H$10,Lookups!$I$7:$I$10,"")</f>
        <v/>
      </c>
      <c r="W798">
        <f>IF(O798&gt;=50000,"HIGH VALUE","")</f>
        <v/>
      </c>
      <c r="X798">
        <f>IF(Q798&lt;0,"LOSS","")</f>
        <v/>
      </c>
      <c r="Y798">
        <f>IFS(M798&gt;=0.15,"Deep Discount",M798&gt;=0.1,"Moderate",TRUE,"Standard")</f>
        <v/>
      </c>
    </row>
    <row r="799">
      <c r="A799">
        <f>Raw_Data!A799</f>
        <v/>
      </c>
      <c r="B799" s="29">
        <f>Raw_Data!B799</f>
        <v/>
      </c>
      <c r="C799">
        <f>YEAR(B799)</f>
        <v/>
      </c>
      <c r="D799">
        <f>MONTH(B799)</f>
        <v/>
      </c>
      <c r="E799">
        <f>TEXT(B799,"MMM-YYYY")</f>
        <v/>
      </c>
      <c r="F799">
        <f>Raw_Data!C799</f>
        <v/>
      </c>
      <c r="G799">
        <f>Raw_Data!D799</f>
        <v/>
      </c>
      <c r="H799">
        <f>Raw_Data!E799</f>
        <v/>
      </c>
      <c r="I799">
        <f>Raw_Data!F799</f>
        <v/>
      </c>
      <c r="J799">
        <f>Raw_Data!G799</f>
        <v/>
      </c>
      <c r="K799">
        <f>Raw_Data!H799</f>
        <v/>
      </c>
      <c r="L799" s="30">
        <f>Raw_Data!I799</f>
        <v/>
      </c>
      <c r="M799" s="31">
        <f>Raw_Data!J799</f>
        <v/>
      </c>
      <c r="N799" s="17">
        <f>K799*L799</f>
        <v/>
      </c>
      <c r="O799" s="17">
        <f>N799*(1-M799)</f>
        <v/>
      </c>
      <c r="P799" s="17">
        <f>Raw_Data!L799</f>
        <v/>
      </c>
      <c r="Q799" s="17">
        <f>O799-P799</f>
        <v/>
      </c>
      <c r="R799" s="31">
        <f>IF(O799=0,0,Q799/O799)</f>
        <v/>
      </c>
      <c r="S799">
        <f>XLOOKUP(F799,Lookups!$B$7:$B$11,Lookups!$C$7:$C$11,"Unknown")</f>
        <v/>
      </c>
      <c r="T799" s="31">
        <f>XLOOKUP(G799,Lookups!$E$7:$E$11,Lookups!$F$7:$F$11,0)</f>
        <v/>
      </c>
      <c r="U799" s="32">
        <f>R799-T799</f>
        <v/>
      </c>
      <c r="V799">
        <f>XLOOKUP(I799,Lookups!$H$7:$H$10,Lookups!$I$7:$I$10,"")</f>
        <v/>
      </c>
      <c r="W799">
        <f>IF(O799&gt;=50000,"HIGH VALUE","")</f>
        <v/>
      </c>
      <c r="X799">
        <f>IF(Q799&lt;0,"LOSS","")</f>
        <v/>
      </c>
      <c r="Y799">
        <f>IFS(M799&gt;=0.15,"Deep Discount",M799&gt;=0.1,"Moderate",TRUE,"Standard")</f>
        <v/>
      </c>
    </row>
    <row r="800">
      <c r="A800">
        <f>Raw_Data!A800</f>
        <v/>
      </c>
      <c r="B800" s="29">
        <f>Raw_Data!B800</f>
        <v/>
      </c>
      <c r="C800">
        <f>YEAR(B800)</f>
        <v/>
      </c>
      <c r="D800">
        <f>MONTH(B800)</f>
        <v/>
      </c>
      <c r="E800">
        <f>TEXT(B800,"MMM-YYYY")</f>
        <v/>
      </c>
      <c r="F800">
        <f>Raw_Data!C800</f>
        <v/>
      </c>
      <c r="G800">
        <f>Raw_Data!D800</f>
        <v/>
      </c>
      <c r="H800">
        <f>Raw_Data!E800</f>
        <v/>
      </c>
      <c r="I800">
        <f>Raw_Data!F800</f>
        <v/>
      </c>
      <c r="J800">
        <f>Raw_Data!G800</f>
        <v/>
      </c>
      <c r="K800">
        <f>Raw_Data!H800</f>
        <v/>
      </c>
      <c r="L800" s="30">
        <f>Raw_Data!I800</f>
        <v/>
      </c>
      <c r="M800" s="31">
        <f>Raw_Data!J800</f>
        <v/>
      </c>
      <c r="N800" s="17">
        <f>K800*L800</f>
        <v/>
      </c>
      <c r="O800" s="17">
        <f>N800*(1-M800)</f>
        <v/>
      </c>
      <c r="P800" s="17">
        <f>Raw_Data!L800</f>
        <v/>
      </c>
      <c r="Q800" s="17">
        <f>O800-P800</f>
        <v/>
      </c>
      <c r="R800" s="31">
        <f>IF(O800=0,0,Q800/O800)</f>
        <v/>
      </c>
      <c r="S800">
        <f>XLOOKUP(F800,Lookups!$B$7:$B$11,Lookups!$C$7:$C$11,"Unknown")</f>
        <v/>
      </c>
      <c r="T800" s="31">
        <f>XLOOKUP(G800,Lookups!$E$7:$E$11,Lookups!$F$7:$F$11,0)</f>
        <v/>
      </c>
      <c r="U800" s="32">
        <f>R800-T800</f>
        <v/>
      </c>
      <c r="V800">
        <f>XLOOKUP(I800,Lookups!$H$7:$H$10,Lookups!$I$7:$I$10,"")</f>
        <v/>
      </c>
      <c r="W800">
        <f>IF(O800&gt;=50000,"HIGH VALUE","")</f>
        <v/>
      </c>
      <c r="X800">
        <f>IF(Q800&lt;0,"LOSS","")</f>
        <v/>
      </c>
      <c r="Y800">
        <f>IFS(M800&gt;=0.15,"Deep Discount",M800&gt;=0.1,"Moderate",TRUE,"Standard")</f>
        <v/>
      </c>
    </row>
    <row r="801">
      <c r="A801">
        <f>Raw_Data!A801</f>
        <v/>
      </c>
      <c r="B801" s="29">
        <f>Raw_Data!B801</f>
        <v/>
      </c>
      <c r="C801">
        <f>YEAR(B801)</f>
        <v/>
      </c>
      <c r="D801">
        <f>MONTH(B801)</f>
        <v/>
      </c>
      <c r="E801">
        <f>TEXT(B801,"MMM-YYYY")</f>
        <v/>
      </c>
      <c r="F801">
        <f>Raw_Data!C801</f>
        <v/>
      </c>
      <c r="G801">
        <f>Raw_Data!D801</f>
        <v/>
      </c>
      <c r="H801">
        <f>Raw_Data!E801</f>
        <v/>
      </c>
      <c r="I801">
        <f>Raw_Data!F801</f>
        <v/>
      </c>
      <c r="J801">
        <f>Raw_Data!G801</f>
        <v/>
      </c>
      <c r="K801">
        <f>Raw_Data!H801</f>
        <v/>
      </c>
      <c r="L801" s="30">
        <f>Raw_Data!I801</f>
        <v/>
      </c>
      <c r="M801" s="31">
        <f>Raw_Data!J801</f>
        <v/>
      </c>
      <c r="N801" s="17">
        <f>K801*L801</f>
        <v/>
      </c>
      <c r="O801" s="17">
        <f>N801*(1-M801)</f>
        <v/>
      </c>
      <c r="P801" s="17">
        <f>Raw_Data!L801</f>
        <v/>
      </c>
      <c r="Q801" s="17">
        <f>O801-P801</f>
        <v/>
      </c>
      <c r="R801" s="31">
        <f>IF(O801=0,0,Q801/O801)</f>
        <v/>
      </c>
      <c r="S801">
        <f>XLOOKUP(F801,Lookups!$B$7:$B$11,Lookups!$C$7:$C$11,"Unknown")</f>
        <v/>
      </c>
      <c r="T801" s="31">
        <f>XLOOKUP(G801,Lookups!$E$7:$E$11,Lookups!$F$7:$F$11,0)</f>
        <v/>
      </c>
      <c r="U801" s="32">
        <f>R801-T801</f>
        <v/>
      </c>
      <c r="V801">
        <f>XLOOKUP(I801,Lookups!$H$7:$H$10,Lookups!$I$7:$I$10,"")</f>
        <v/>
      </c>
      <c r="W801">
        <f>IF(O801&gt;=50000,"HIGH VALUE","")</f>
        <v/>
      </c>
      <c r="X801">
        <f>IF(Q801&lt;0,"LOSS","")</f>
        <v/>
      </c>
      <c r="Y801">
        <f>IFS(M801&gt;=0.15,"Deep Discount",M801&gt;=0.1,"Moderate",TRUE,"Standard")</f>
        <v/>
      </c>
    </row>
    <row r="802">
      <c r="A802">
        <f>Raw_Data!A802</f>
        <v/>
      </c>
      <c r="B802" s="29">
        <f>Raw_Data!B802</f>
        <v/>
      </c>
      <c r="C802">
        <f>YEAR(B802)</f>
        <v/>
      </c>
      <c r="D802">
        <f>MONTH(B802)</f>
        <v/>
      </c>
      <c r="E802">
        <f>TEXT(B802,"MMM-YYYY")</f>
        <v/>
      </c>
      <c r="F802">
        <f>Raw_Data!C802</f>
        <v/>
      </c>
      <c r="G802">
        <f>Raw_Data!D802</f>
        <v/>
      </c>
      <c r="H802">
        <f>Raw_Data!E802</f>
        <v/>
      </c>
      <c r="I802">
        <f>Raw_Data!F802</f>
        <v/>
      </c>
      <c r="J802">
        <f>Raw_Data!G802</f>
        <v/>
      </c>
      <c r="K802">
        <f>Raw_Data!H802</f>
        <v/>
      </c>
      <c r="L802" s="30">
        <f>Raw_Data!I802</f>
        <v/>
      </c>
      <c r="M802" s="31">
        <f>Raw_Data!J802</f>
        <v/>
      </c>
      <c r="N802" s="17">
        <f>K802*L802</f>
        <v/>
      </c>
      <c r="O802" s="17">
        <f>N802*(1-M802)</f>
        <v/>
      </c>
      <c r="P802" s="17">
        <f>Raw_Data!L802</f>
        <v/>
      </c>
      <c r="Q802" s="17">
        <f>O802-P802</f>
        <v/>
      </c>
      <c r="R802" s="31">
        <f>IF(O802=0,0,Q802/O802)</f>
        <v/>
      </c>
      <c r="S802">
        <f>XLOOKUP(F802,Lookups!$B$7:$B$11,Lookups!$C$7:$C$11,"Unknown")</f>
        <v/>
      </c>
      <c r="T802" s="31">
        <f>XLOOKUP(G802,Lookups!$E$7:$E$11,Lookups!$F$7:$F$11,0)</f>
        <v/>
      </c>
      <c r="U802" s="32">
        <f>R802-T802</f>
        <v/>
      </c>
      <c r="V802">
        <f>XLOOKUP(I802,Lookups!$H$7:$H$10,Lookups!$I$7:$I$10,"")</f>
        <v/>
      </c>
      <c r="W802">
        <f>IF(O802&gt;=50000,"HIGH VALUE","")</f>
        <v/>
      </c>
      <c r="X802">
        <f>IF(Q802&lt;0,"LOSS","")</f>
        <v/>
      </c>
      <c r="Y802">
        <f>IFS(M802&gt;=0.15,"Deep Discount",M802&gt;=0.1,"Moderate",TRUE,"Standard")</f>
        <v/>
      </c>
    </row>
    <row r="803">
      <c r="A803">
        <f>Raw_Data!A803</f>
        <v/>
      </c>
      <c r="B803" s="29">
        <f>Raw_Data!B803</f>
        <v/>
      </c>
      <c r="C803">
        <f>YEAR(B803)</f>
        <v/>
      </c>
      <c r="D803">
        <f>MONTH(B803)</f>
        <v/>
      </c>
      <c r="E803">
        <f>TEXT(B803,"MMM-YYYY")</f>
        <v/>
      </c>
      <c r="F803">
        <f>Raw_Data!C803</f>
        <v/>
      </c>
      <c r="G803">
        <f>Raw_Data!D803</f>
        <v/>
      </c>
      <c r="H803">
        <f>Raw_Data!E803</f>
        <v/>
      </c>
      <c r="I803">
        <f>Raw_Data!F803</f>
        <v/>
      </c>
      <c r="J803">
        <f>Raw_Data!G803</f>
        <v/>
      </c>
      <c r="K803">
        <f>Raw_Data!H803</f>
        <v/>
      </c>
      <c r="L803" s="30">
        <f>Raw_Data!I803</f>
        <v/>
      </c>
      <c r="M803" s="31">
        <f>Raw_Data!J803</f>
        <v/>
      </c>
      <c r="N803" s="17">
        <f>K803*L803</f>
        <v/>
      </c>
      <c r="O803" s="17">
        <f>N803*(1-M803)</f>
        <v/>
      </c>
      <c r="P803" s="17">
        <f>Raw_Data!L803</f>
        <v/>
      </c>
      <c r="Q803" s="17">
        <f>O803-P803</f>
        <v/>
      </c>
      <c r="R803" s="31">
        <f>IF(O803=0,0,Q803/O803)</f>
        <v/>
      </c>
      <c r="S803">
        <f>XLOOKUP(F803,Lookups!$B$7:$B$11,Lookups!$C$7:$C$11,"Unknown")</f>
        <v/>
      </c>
      <c r="T803" s="31">
        <f>XLOOKUP(G803,Lookups!$E$7:$E$11,Lookups!$F$7:$F$11,0)</f>
        <v/>
      </c>
      <c r="U803" s="32">
        <f>R803-T803</f>
        <v/>
      </c>
      <c r="V803">
        <f>XLOOKUP(I803,Lookups!$H$7:$H$10,Lookups!$I$7:$I$10,"")</f>
        <v/>
      </c>
      <c r="W803">
        <f>IF(O803&gt;=50000,"HIGH VALUE","")</f>
        <v/>
      </c>
      <c r="X803">
        <f>IF(Q803&lt;0,"LOSS","")</f>
        <v/>
      </c>
      <c r="Y803">
        <f>IFS(M803&gt;=0.15,"Deep Discount",M803&gt;=0.1,"Moderate",TRUE,"Standard")</f>
        <v/>
      </c>
    </row>
    <row r="804">
      <c r="A804">
        <f>Raw_Data!A804</f>
        <v/>
      </c>
      <c r="B804" s="29">
        <f>Raw_Data!B804</f>
        <v/>
      </c>
      <c r="C804">
        <f>YEAR(B804)</f>
        <v/>
      </c>
      <c r="D804">
        <f>MONTH(B804)</f>
        <v/>
      </c>
      <c r="E804">
        <f>TEXT(B804,"MMM-YYYY")</f>
        <v/>
      </c>
      <c r="F804">
        <f>Raw_Data!C804</f>
        <v/>
      </c>
      <c r="G804">
        <f>Raw_Data!D804</f>
        <v/>
      </c>
      <c r="H804">
        <f>Raw_Data!E804</f>
        <v/>
      </c>
      <c r="I804">
        <f>Raw_Data!F804</f>
        <v/>
      </c>
      <c r="J804">
        <f>Raw_Data!G804</f>
        <v/>
      </c>
      <c r="K804">
        <f>Raw_Data!H804</f>
        <v/>
      </c>
      <c r="L804" s="30">
        <f>Raw_Data!I804</f>
        <v/>
      </c>
      <c r="M804" s="31">
        <f>Raw_Data!J804</f>
        <v/>
      </c>
      <c r="N804" s="17">
        <f>K804*L804</f>
        <v/>
      </c>
      <c r="O804" s="17">
        <f>N804*(1-M804)</f>
        <v/>
      </c>
      <c r="P804" s="17">
        <f>Raw_Data!L804</f>
        <v/>
      </c>
      <c r="Q804" s="17">
        <f>O804-P804</f>
        <v/>
      </c>
      <c r="R804" s="31">
        <f>IF(O804=0,0,Q804/O804)</f>
        <v/>
      </c>
      <c r="S804">
        <f>XLOOKUP(F804,Lookups!$B$7:$B$11,Lookups!$C$7:$C$11,"Unknown")</f>
        <v/>
      </c>
      <c r="T804" s="31">
        <f>XLOOKUP(G804,Lookups!$E$7:$E$11,Lookups!$F$7:$F$11,0)</f>
        <v/>
      </c>
      <c r="U804" s="32">
        <f>R804-T804</f>
        <v/>
      </c>
      <c r="V804">
        <f>XLOOKUP(I804,Lookups!$H$7:$H$10,Lookups!$I$7:$I$10,"")</f>
        <v/>
      </c>
      <c r="W804">
        <f>IF(O804&gt;=50000,"HIGH VALUE","")</f>
        <v/>
      </c>
      <c r="X804">
        <f>IF(Q804&lt;0,"LOSS","")</f>
        <v/>
      </c>
      <c r="Y804">
        <f>IFS(M804&gt;=0.15,"Deep Discount",M804&gt;=0.1,"Moderate",TRUE,"Standard")</f>
        <v/>
      </c>
    </row>
    <row r="805">
      <c r="A805">
        <f>Raw_Data!A805</f>
        <v/>
      </c>
      <c r="B805" s="29">
        <f>Raw_Data!B805</f>
        <v/>
      </c>
      <c r="C805">
        <f>YEAR(B805)</f>
        <v/>
      </c>
      <c r="D805">
        <f>MONTH(B805)</f>
        <v/>
      </c>
      <c r="E805">
        <f>TEXT(B805,"MMM-YYYY")</f>
        <v/>
      </c>
      <c r="F805">
        <f>Raw_Data!C805</f>
        <v/>
      </c>
      <c r="G805">
        <f>Raw_Data!D805</f>
        <v/>
      </c>
      <c r="H805">
        <f>Raw_Data!E805</f>
        <v/>
      </c>
      <c r="I805">
        <f>Raw_Data!F805</f>
        <v/>
      </c>
      <c r="J805">
        <f>Raw_Data!G805</f>
        <v/>
      </c>
      <c r="K805">
        <f>Raw_Data!H805</f>
        <v/>
      </c>
      <c r="L805" s="30">
        <f>Raw_Data!I805</f>
        <v/>
      </c>
      <c r="M805" s="31">
        <f>Raw_Data!J805</f>
        <v/>
      </c>
      <c r="N805" s="17">
        <f>K805*L805</f>
        <v/>
      </c>
      <c r="O805" s="17">
        <f>N805*(1-M805)</f>
        <v/>
      </c>
      <c r="P805" s="17">
        <f>Raw_Data!L805</f>
        <v/>
      </c>
      <c r="Q805" s="17">
        <f>O805-P805</f>
        <v/>
      </c>
      <c r="R805" s="31">
        <f>IF(O805=0,0,Q805/O805)</f>
        <v/>
      </c>
      <c r="S805">
        <f>XLOOKUP(F805,Lookups!$B$7:$B$11,Lookups!$C$7:$C$11,"Unknown")</f>
        <v/>
      </c>
      <c r="T805" s="31">
        <f>XLOOKUP(G805,Lookups!$E$7:$E$11,Lookups!$F$7:$F$11,0)</f>
        <v/>
      </c>
      <c r="U805" s="32">
        <f>R805-T805</f>
        <v/>
      </c>
      <c r="V805">
        <f>XLOOKUP(I805,Lookups!$H$7:$H$10,Lookups!$I$7:$I$10,"")</f>
        <v/>
      </c>
      <c r="W805">
        <f>IF(O805&gt;=50000,"HIGH VALUE","")</f>
        <v/>
      </c>
      <c r="X805">
        <f>IF(Q805&lt;0,"LOSS","")</f>
        <v/>
      </c>
      <c r="Y805">
        <f>IFS(M805&gt;=0.15,"Deep Discount",M805&gt;=0.1,"Moderate",TRUE,"Standard")</f>
        <v/>
      </c>
    </row>
    <row r="806">
      <c r="A806">
        <f>Raw_Data!A806</f>
        <v/>
      </c>
      <c r="B806" s="29">
        <f>Raw_Data!B806</f>
        <v/>
      </c>
      <c r="C806">
        <f>YEAR(B806)</f>
        <v/>
      </c>
      <c r="D806">
        <f>MONTH(B806)</f>
        <v/>
      </c>
      <c r="E806">
        <f>TEXT(B806,"MMM-YYYY")</f>
        <v/>
      </c>
      <c r="F806">
        <f>Raw_Data!C806</f>
        <v/>
      </c>
      <c r="G806">
        <f>Raw_Data!D806</f>
        <v/>
      </c>
      <c r="H806">
        <f>Raw_Data!E806</f>
        <v/>
      </c>
      <c r="I806">
        <f>Raw_Data!F806</f>
        <v/>
      </c>
      <c r="J806">
        <f>Raw_Data!G806</f>
        <v/>
      </c>
      <c r="K806">
        <f>Raw_Data!H806</f>
        <v/>
      </c>
      <c r="L806" s="30">
        <f>Raw_Data!I806</f>
        <v/>
      </c>
      <c r="M806" s="31">
        <f>Raw_Data!J806</f>
        <v/>
      </c>
      <c r="N806" s="17">
        <f>K806*L806</f>
        <v/>
      </c>
      <c r="O806" s="17">
        <f>N806*(1-M806)</f>
        <v/>
      </c>
      <c r="P806" s="17">
        <f>Raw_Data!L806</f>
        <v/>
      </c>
      <c r="Q806" s="17">
        <f>O806-P806</f>
        <v/>
      </c>
      <c r="R806" s="31">
        <f>IF(O806=0,0,Q806/O806)</f>
        <v/>
      </c>
      <c r="S806">
        <f>XLOOKUP(F806,Lookups!$B$7:$B$11,Lookups!$C$7:$C$11,"Unknown")</f>
        <v/>
      </c>
      <c r="T806" s="31">
        <f>XLOOKUP(G806,Lookups!$E$7:$E$11,Lookups!$F$7:$F$11,0)</f>
        <v/>
      </c>
      <c r="U806" s="32">
        <f>R806-T806</f>
        <v/>
      </c>
      <c r="V806">
        <f>XLOOKUP(I806,Lookups!$H$7:$H$10,Lookups!$I$7:$I$10,"")</f>
        <v/>
      </c>
      <c r="W806">
        <f>IF(O806&gt;=50000,"HIGH VALUE","")</f>
        <v/>
      </c>
      <c r="X806">
        <f>IF(Q806&lt;0,"LOSS","")</f>
        <v/>
      </c>
      <c r="Y806">
        <f>IFS(M806&gt;=0.15,"Deep Discount",M806&gt;=0.1,"Moderate",TRUE,"Standard")</f>
        <v/>
      </c>
    </row>
    <row r="807">
      <c r="A807">
        <f>Raw_Data!A807</f>
        <v/>
      </c>
      <c r="B807" s="29">
        <f>Raw_Data!B807</f>
        <v/>
      </c>
      <c r="C807">
        <f>YEAR(B807)</f>
        <v/>
      </c>
      <c r="D807">
        <f>MONTH(B807)</f>
        <v/>
      </c>
      <c r="E807">
        <f>TEXT(B807,"MMM-YYYY")</f>
        <v/>
      </c>
      <c r="F807">
        <f>Raw_Data!C807</f>
        <v/>
      </c>
      <c r="G807">
        <f>Raw_Data!D807</f>
        <v/>
      </c>
      <c r="H807">
        <f>Raw_Data!E807</f>
        <v/>
      </c>
      <c r="I807">
        <f>Raw_Data!F807</f>
        <v/>
      </c>
      <c r="J807">
        <f>Raw_Data!G807</f>
        <v/>
      </c>
      <c r="K807">
        <f>Raw_Data!H807</f>
        <v/>
      </c>
      <c r="L807" s="30">
        <f>Raw_Data!I807</f>
        <v/>
      </c>
      <c r="M807" s="31">
        <f>Raw_Data!J807</f>
        <v/>
      </c>
      <c r="N807" s="17">
        <f>K807*L807</f>
        <v/>
      </c>
      <c r="O807" s="17">
        <f>N807*(1-M807)</f>
        <v/>
      </c>
      <c r="P807" s="17">
        <f>Raw_Data!L807</f>
        <v/>
      </c>
      <c r="Q807" s="17">
        <f>O807-P807</f>
        <v/>
      </c>
      <c r="R807" s="31">
        <f>IF(O807=0,0,Q807/O807)</f>
        <v/>
      </c>
      <c r="S807">
        <f>XLOOKUP(F807,Lookups!$B$7:$B$11,Lookups!$C$7:$C$11,"Unknown")</f>
        <v/>
      </c>
      <c r="T807" s="31">
        <f>XLOOKUP(G807,Lookups!$E$7:$E$11,Lookups!$F$7:$F$11,0)</f>
        <v/>
      </c>
      <c r="U807" s="32">
        <f>R807-T807</f>
        <v/>
      </c>
      <c r="V807">
        <f>XLOOKUP(I807,Lookups!$H$7:$H$10,Lookups!$I$7:$I$10,"")</f>
        <v/>
      </c>
      <c r="W807">
        <f>IF(O807&gt;=50000,"HIGH VALUE","")</f>
        <v/>
      </c>
      <c r="X807">
        <f>IF(Q807&lt;0,"LOSS","")</f>
        <v/>
      </c>
      <c r="Y807">
        <f>IFS(M807&gt;=0.15,"Deep Discount",M807&gt;=0.1,"Moderate",TRUE,"Standard")</f>
        <v/>
      </c>
    </row>
    <row r="808">
      <c r="A808">
        <f>Raw_Data!A808</f>
        <v/>
      </c>
      <c r="B808" s="29">
        <f>Raw_Data!B808</f>
        <v/>
      </c>
      <c r="C808">
        <f>YEAR(B808)</f>
        <v/>
      </c>
      <c r="D808">
        <f>MONTH(B808)</f>
        <v/>
      </c>
      <c r="E808">
        <f>TEXT(B808,"MMM-YYYY")</f>
        <v/>
      </c>
      <c r="F808">
        <f>Raw_Data!C808</f>
        <v/>
      </c>
      <c r="G808">
        <f>Raw_Data!D808</f>
        <v/>
      </c>
      <c r="H808">
        <f>Raw_Data!E808</f>
        <v/>
      </c>
      <c r="I808">
        <f>Raw_Data!F808</f>
        <v/>
      </c>
      <c r="J808">
        <f>Raw_Data!G808</f>
        <v/>
      </c>
      <c r="K808">
        <f>Raw_Data!H808</f>
        <v/>
      </c>
      <c r="L808" s="30">
        <f>Raw_Data!I808</f>
        <v/>
      </c>
      <c r="M808" s="31">
        <f>Raw_Data!J808</f>
        <v/>
      </c>
      <c r="N808" s="17">
        <f>K808*L808</f>
        <v/>
      </c>
      <c r="O808" s="17">
        <f>N808*(1-M808)</f>
        <v/>
      </c>
      <c r="P808" s="17">
        <f>Raw_Data!L808</f>
        <v/>
      </c>
      <c r="Q808" s="17">
        <f>O808-P808</f>
        <v/>
      </c>
      <c r="R808" s="31">
        <f>IF(O808=0,0,Q808/O808)</f>
        <v/>
      </c>
      <c r="S808">
        <f>XLOOKUP(F808,Lookups!$B$7:$B$11,Lookups!$C$7:$C$11,"Unknown")</f>
        <v/>
      </c>
      <c r="T808" s="31">
        <f>XLOOKUP(G808,Lookups!$E$7:$E$11,Lookups!$F$7:$F$11,0)</f>
        <v/>
      </c>
      <c r="U808" s="32">
        <f>R808-T808</f>
        <v/>
      </c>
      <c r="V808">
        <f>XLOOKUP(I808,Lookups!$H$7:$H$10,Lookups!$I$7:$I$10,"")</f>
        <v/>
      </c>
      <c r="W808">
        <f>IF(O808&gt;=50000,"HIGH VALUE","")</f>
        <v/>
      </c>
      <c r="X808">
        <f>IF(Q808&lt;0,"LOSS","")</f>
        <v/>
      </c>
      <c r="Y808">
        <f>IFS(M808&gt;=0.15,"Deep Discount",M808&gt;=0.1,"Moderate",TRUE,"Standard")</f>
        <v/>
      </c>
    </row>
    <row r="809">
      <c r="A809">
        <f>Raw_Data!A809</f>
        <v/>
      </c>
      <c r="B809" s="29">
        <f>Raw_Data!B809</f>
        <v/>
      </c>
      <c r="C809">
        <f>YEAR(B809)</f>
        <v/>
      </c>
      <c r="D809">
        <f>MONTH(B809)</f>
        <v/>
      </c>
      <c r="E809">
        <f>TEXT(B809,"MMM-YYYY")</f>
        <v/>
      </c>
      <c r="F809">
        <f>Raw_Data!C809</f>
        <v/>
      </c>
      <c r="G809">
        <f>Raw_Data!D809</f>
        <v/>
      </c>
      <c r="H809">
        <f>Raw_Data!E809</f>
        <v/>
      </c>
      <c r="I809">
        <f>Raw_Data!F809</f>
        <v/>
      </c>
      <c r="J809">
        <f>Raw_Data!G809</f>
        <v/>
      </c>
      <c r="K809">
        <f>Raw_Data!H809</f>
        <v/>
      </c>
      <c r="L809" s="30">
        <f>Raw_Data!I809</f>
        <v/>
      </c>
      <c r="M809" s="31">
        <f>Raw_Data!J809</f>
        <v/>
      </c>
      <c r="N809" s="17">
        <f>K809*L809</f>
        <v/>
      </c>
      <c r="O809" s="17">
        <f>N809*(1-M809)</f>
        <v/>
      </c>
      <c r="P809" s="17">
        <f>Raw_Data!L809</f>
        <v/>
      </c>
      <c r="Q809" s="17">
        <f>O809-P809</f>
        <v/>
      </c>
      <c r="R809" s="31">
        <f>IF(O809=0,0,Q809/O809)</f>
        <v/>
      </c>
      <c r="S809">
        <f>XLOOKUP(F809,Lookups!$B$7:$B$11,Lookups!$C$7:$C$11,"Unknown")</f>
        <v/>
      </c>
      <c r="T809" s="31">
        <f>XLOOKUP(G809,Lookups!$E$7:$E$11,Lookups!$F$7:$F$11,0)</f>
        <v/>
      </c>
      <c r="U809" s="32">
        <f>R809-T809</f>
        <v/>
      </c>
      <c r="V809">
        <f>XLOOKUP(I809,Lookups!$H$7:$H$10,Lookups!$I$7:$I$10,"")</f>
        <v/>
      </c>
      <c r="W809">
        <f>IF(O809&gt;=50000,"HIGH VALUE","")</f>
        <v/>
      </c>
      <c r="X809">
        <f>IF(Q809&lt;0,"LOSS","")</f>
        <v/>
      </c>
      <c r="Y809">
        <f>IFS(M809&gt;=0.15,"Deep Discount",M809&gt;=0.1,"Moderate",TRUE,"Standard")</f>
        <v/>
      </c>
    </row>
    <row r="810">
      <c r="A810">
        <f>Raw_Data!A810</f>
        <v/>
      </c>
      <c r="B810" s="29">
        <f>Raw_Data!B810</f>
        <v/>
      </c>
      <c r="C810">
        <f>YEAR(B810)</f>
        <v/>
      </c>
      <c r="D810">
        <f>MONTH(B810)</f>
        <v/>
      </c>
      <c r="E810">
        <f>TEXT(B810,"MMM-YYYY")</f>
        <v/>
      </c>
      <c r="F810">
        <f>Raw_Data!C810</f>
        <v/>
      </c>
      <c r="G810">
        <f>Raw_Data!D810</f>
        <v/>
      </c>
      <c r="H810">
        <f>Raw_Data!E810</f>
        <v/>
      </c>
      <c r="I810">
        <f>Raw_Data!F810</f>
        <v/>
      </c>
      <c r="J810">
        <f>Raw_Data!G810</f>
        <v/>
      </c>
      <c r="K810">
        <f>Raw_Data!H810</f>
        <v/>
      </c>
      <c r="L810" s="30">
        <f>Raw_Data!I810</f>
        <v/>
      </c>
      <c r="M810" s="31">
        <f>Raw_Data!J810</f>
        <v/>
      </c>
      <c r="N810" s="17">
        <f>K810*L810</f>
        <v/>
      </c>
      <c r="O810" s="17">
        <f>N810*(1-M810)</f>
        <v/>
      </c>
      <c r="P810" s="17">
        <f>Raw_Data!L810</f>
        <v/>
      </c>
      <c r="Q810" s="17">
        <f>O810-P810</f>
        <v/>
      </c>
      <c r="R810" s="31">
        <f>IF(O810=0,0,Q810/O810)</f>
        <v/>
      </c>
      <c r="S810">
        <f>XLOOKUP(F810,Lookups!$B$7:$B$11,Lookups!$C$7:$C$11,"Unknown")</f>
        <v/>
      </c>
      <c r="T810" s="31">
        <f>XLOOKUP(G810,Lookups!$E$7:$E$11,Lookups!$F$7:$F$11,0)</f>
        <v/>
      </c>
      <c r="U810" s="32">
        <f>R810-T810</f>
        <v/>
      </c>
      <c r="V810">
        <f>XLOOKUP(I810,Lookups!$H$7:$H$10,Lookups!$I$7:$I$10,"")</f>
        <v/>
      </c>
      <c r="W810">
        <f>IF(O810&gt;=50000,"HIGH VALUE","")</f>
        <v/>
      </c>
      <c r="X810">
        <f>IF(Q810&lt;0,"LOSS","")</f>
        <v/>
      </c>
      <c r="Y810">
        <f>IFS(M810&gt;=0.15,"Deep Discount",M810&gt;=0.1,"Moderate",TRUE,"Standard")</f>
        <v/>
      </c>
    </row>
    <row r="811">
      <c r="A811">
        <f>Raw_Data!A811</f>
        <v/>
      </c>
      <c r="B811" s="29">
        <f>Raw_Data!B811</f>
        <v/>
      </c>
      <c r="C811">
        <f>YEAR(B811)</f>
        <v/>
      </c>
      <c r="D811">
        <f>MONTH(B811)</f>
        <v/>
      </c>
      <c r="E811">
        <f>TEXT(B811,"MMM-YYYY")</f>
        <v/>
      </c>
      <c r="F811">
        <f>Raw_Data!C811</f>
        <v/>
      </c>
      <c r="G811">
        <f>Raw_Data!D811</f>
        <v/>
      </c>
      <c r="H811">
        <f>Raw_Data!E811</f>
        <v/>
      </c>
      <c r="I811">
        <f>Raw_Data!F811</f>
        <v/>
      </c>
      <c r="J811">
        <f>Raw_Data!G811</f>
        <v/>
      </c>
      <c r="K811">
        <f>Raw_Data!H811</f>
        <v/>
      </c>
      <c r="L811" s="30">
        <f>Raw_Data!I811</f>
        <v/>
      </c>
      <c r="M811" s="31">
        <f>Raw_Data!J811</f>
        <v/>
      </c>
      <c r="N811" s="17">
        <f>K811*L811</f>
        <v/>
      </c>
      <c r="O811" s="17">
        <f>N811*(1-M811)</f>
        <v/>
      </c>
      <c r="P811" s="17">
        <f>Raw_Data!L811</f>
        <v/>
      </c>
      <c r="Q811" s="17">
        <f>O811-P811</f>
        <v/>
      </c>
      <c r="R811" s="31">
        <f>IF(O811=0,0,Q811/O811)</f>
        <v/>
      </c>
      <c r="S811">
        <f>XLOOKUP(F811,Lookups!$B$7:$B$11,Lookups!$C$7:$C$11,"Unknown")</f>
        <v/>
      </c>
      <c r="T811" s="31">
        <f>XLOOKUP(G811,Lookups!$E$7:$E$11,Lookups!$F$7:$F$11,0)</f>
        <v/>
      </c>
      <c r="U811" s="32">
        <f>R811-T811</f>
        <v/>
      </c>
      <c r="V811">
        <f>XLOOKUP(I811,Lookups!$H$7:$H$10,Lookups!$I$7:$I$10,"")</f>
        <v/>
      </c>
      <c r="W811">
        <f>IF(O811&gt;=50000,"HIGH VALUE","")</f>
        <v/>
      </c>
      <c r="X811">
        <f>IF(Q811&lt;0,"LOSS","")</f>
        <v/>
      </c>
      <c r="Y811">
        <f>IFS(M811&gt;=0.15,"Deep Discount",M811&gt;=0.1,"Moderate",TRUE,"Standard")</f>
        <v/>
      </c>
    </row>
    <row r="812">
      <c r="A812">
        <f>Raw_Data!A812</f>
        <v/>
      </c>
      <c r="B812" s="29">
        <f>Raw_Data!B812</f>
        <v/>
      </c>
      <c r="C812">
        <f>YEAR(B812)</f>
        <v/>
      </c>
      <c r="D812">
        <f>MONTH(B812)</f>
        <v/>
      </c>
      <c r="E812">
        <f>TEXT(B812,"MMM-YYYY")</f>
        <v/>
      </c>
      <c r="F812">
        <f>Raw_Data!C812</f>
        <v/>
      </c>
      <c r="G812">
        <f>Raw_Data!D812</f>
        <v/>
      </c>
      <c r="H812">
        <f>Raw_Data!E812</f>
        <v/>
      </c>
      <c r="I812">
        <f>Raw_Data!F812</f>
        <v/>
      </c>
      <c r="J812">
        <f>Raw_Data!G812</f>
        <v/>
      </c>
      <c r="K812">
        <f>Raw_Data!H812</f>
        <v/>
      </c>
      <c r="L812" s="30">
        <f>Raw_Data!I812</f>
        <v/>
      </c>
      <c r="M812" s="31">
        <f>Raw_Data!J812</f>
        <v/>
      </c>
      <c r="N812" s="17">
        <f>K812*L812</f>
        <v/>
      </c>
      <c r="O812" s="17">
        <f>N812*(1-M812)</f>
        <v/>
      </c>
      <c r="P812" s="17">
        <f>Raw_Data!L812</f>
        <v/>
      </c>
      <c r="Q812" s="17">
        <f>O812-P812</f>
        <v/>
      </c>
      <c r="R812" s="31">
        <f>IF(O812=0,0,Q812/O812)</f>
        <v/>
      </c>
      <c r="S812">
        <f>XLOOKUP(F812,Lookups!$B$7:$B$11,Lookups!$C$7:$C$11,"Unknown")</f>
        <v/>
      </c>
      <c r="T812" s="31">
        <f>XLOOKUP(G812,Lookups!$E$7:$E$11,Lookups!$F$7:$F$11,0)</f>
        <v/>
      </c>
      <c r="U812" s="32">
        <f>R812-T812</f>
        <v/>
      </c>
      <c r="V812">
        <f>XLOOKUP(I812,Lookups!$H$7:$H$10,Lookups!$I$7:$I$10,"")</f>
        <v/>
      </c>
      <c r="W812">
        <f>IF(O812&gt;=50000,"HIGH VALUE","")</f>
        <v/>
      </c>
      <c r="X812">
        <f>IF(Q812&lt;0,"LOSS","")</f>
        <v/>
      </c>
      <c r="Y812">
        <f>IFS(M812&gt;=0.15,"Deep Discount",M812&gt;=0.1,"Moderate",TRUE,"Standard")</f>
        <v/>
      </c>
    </row>
    <row r="813">
      <c r="A813">
        <f>Raw_Data!A813</f>
        <v/>
      </c>
      <c r="B813" s="29">
        <f>Raw_Data!B813</f>
        <v/>
      </c>
      <c r="C813">
        <f>YEAR(B813)</f>
        <v/>
      </c>
      <c r="D813">
        <f>MONTH(B813)</f>
        <v/>
      </c>
      <c r="E813">
        <f>TEXT(B813,"MMM-YYYY")</f>
        <v/>
      </c>
      <c r="F813">
        <f>Raw_Data!C813</f>
        <v/>
      </c>
      <c r="G813">
        <f>Raw_Data!D813</f>
        <v/>
      </c>
      <c r="H813">
        <f>Raw_Data!E813</f>
        <v/>
      </c>
      <c r="I813">
        <f>Raw_Data!F813</f>
        <v/>
      </c>
      <c r="J813">
        <f>Raw_Data!G813</f>
        <v/>
      </c>
      <c r="K813">
        <f>Raw_Data!H813</f>
        <v/>
      </c>
      <c r="L813" s="30">
        <f>Raw_Data!I813</f>
        <v/>
      </c>
      <c r="M813" s="31">
        <f>Raw_Data!J813</f>
        <v/>
      </c>
      <c r="N813" s="17">
        <f>K813*L813</f>
        <v/>
      </c>
      <c r="O813" s="17">
        <f>N813*(1-M813)</f>
        <v/>
      </c>
      <c r="P813" s="17">
        <f>Raw_Data!L813</f>
        <v/>
      </c>
      <c r="Q813" s="17">
        <f>O813-P813</f>
        <v/>
      </c>
      <c r="R813" s="31">
        <f>IF(O813=0,0,Q813/O813)</f>
        <v/>
      </c>
      <c r="S813">
        <f>XLOOKUP(F813,Lookups!$B$7:$B$11,Lookups!$C$7:$C$11,"Unknown")</f>
        <v/>
      </c>
      <c r="T813" s="31">
        <f>XLOOKUP(G813,Lookups!$E$7:$E$11,Lookups!$F$7:$F$11,0)</f>
        <v/>
      </c>
      <c r="U813" s="32">
        <f>R813-T813</f>
        <v/>
      </c>
      <c r="V813">
        <f>XLOOKUP(I813,Lookups!$H$7:$H$10,Lookups!$I$7:$I$10,"")</f>
        <v/>
      </c>
      <c r="W813">
        <f>IF(O813&gt;=50000,"HIGH VALUE","")</f>
        <v/>
      </c>
      <c r="X813">
        <f>IF(Q813&lt;0,"LOSS","")</f>
        <v/>
      </c>
      <c r="Y813">
        <f>IFS(M813&gt;=0.15,"Deep Discount",M813&gt;=0.1,"Moderate",TRUE,"Standard")</f>
        <v/>
      </c>
    </row>
    <row r="814">
      <c r="A814">
        <f>Raw_Data!A814</f>
        <v/>
      </c>
      <c r="B814" s="29">
        <f>Raw_Data!B814</f>
        <v/>
      </c>
      <c r="C814">
        <f>YEAR(B814)</f>
        <v/>
      </c>
      <c r="D814">
        <f>MONTH(B814)</f>
        <v/>
      </c>
      <c r="E814">
        <f>TEXT(B814,"MMM-YYYY")</f>
        <v/>
      </c>
      <c r="F814">
        <f>Raw_Data!C814</f>
        <v/>
      </c>
      <c r="G814">
        <f>Raw_Data!D814</f>
        <v/>
      </c>
      <c r="H814">
        <f>Raw_Data!E814</f>
        <v/>
      </c>
      <c r="I814">
        <f>Raw_Data!F814</f>
        <v/>
      </c>
      <c r="J814">
        <f>Raw_Data!G814</f>
        <v/>
      </c>
      <c r="K814">
        <f>Raw_Data!H814</f>
        <v/>
      </c>
      <c r="L814" s="30">
        <f>Raw_Data!I814</f>
        <v/>
      </c>
      <c r="M814" s="31">
        <f>Raw_Data!J814</f>
        <v/>
      </c>
      <c r="N814" s="17">
        <f>K814*L814</f>
        <v/>
      </c>
      <c r="O814" s="17">
        <f>N814*(1-M814)</f>
        <v/>
      </c>
      <c r="P814" s="17">
        <f>Raw_Data!L814</f>
        <v/>
      </c>
      <c r="Q814" s="17">
        <f>O814-P814</f>
        <v/>
      </c>
      <c r="R814" s="31">
        <f>IF(O814=0,0,Q814/O814)</f>
        <v/>
      </c>
      <c r="S814">
        <f>XLOOKUP(F814,Lookups!$B$7:$B$11,Lookups!$C$7:$C$11,"Unknown")</f>
        <v/>
      </c>
      <c r="T814" s="31">
        <f>XLOOKUP(G814,Lookups!$E$7:$E$11,Lookups!$F$7:$F$11,0)</f>
        <v/>
      </c>
      <c r="U814" s="32">
        <f>R814-T814</f>
        <v/>
      </c>
      <c r="V814">
        <f>XLOOKUP(I814,Lookups!$H$7:$H$10,Lookups!$I$7:$I$10,"")</f>
        <v/>
      </c>
      <c r="W814">
        <f>IF(O814&gt;=50000,"HIGH VALUE","")</f>
        <v/>
      </c>
      <c r="X814">
        <f>IF(Q814&lt;0,"LOSS","")</f>
        <v/>
      </c>
      <c r="Y814">
        <f>IFS(M814&gt;=0.15,"Deep Discount",M814&gt;=0.1,"Moderate",TRUE,"Standard")</f>
        <v/>
      </c>
    </row>
    <row r="815">
      <c r="A815">
        <f>Raw_Data!A815</f>
        <v/>
      </c>
      <c r="B815" s="29">
        <f>Raw_Data!B815</f>
        <v/>
      </c>
      <c r="C815">
        <f>YEAR(B815)</f>
        <v/>
      </c>
      <c r="D815">
        <f>MONTH(B815)</f>
        <v/>
      </c>
      <c r="E815">
        <f>TEXT(B815,"MMM-YYYY")</f>
        <v/>
      </c>
      <c r="F815">
        <f>Raw_Data!C815</f>
        <v/>
      </c>
      <c r="G815">
        <f>Raw_Data!D815</f>
        <v/>
      </c>
      <c r="H815">
        <f>Raw_Data!E815</f>
        <v/>
      </c>
      <c r="I815">
        <f>Raw_Data!F815</f>
        <v/>
      </c>
      <c r="J815">
        <f>Raw_Data!G815</f>
        <v/>
      </c>
      <c r="K815">
        <f>Raw_Data!H815</f>
        <v/>
      </c>
      <c r="L815" s="30">
        <f>Raw_Data!I815</f>
        <v/>
      </c>
      <c r="M815" s="31">
        <f>Raw_Data!J815</f>
        <v/>
      </c>
      <c r="N815" s="17">
        <f>K815*L815</f>
        <v/>
      </c>
      <c r="O815" s="17">
        <f>N815*(1-M815)</f>
        <v/>
      </c>
      <c r="P815" s="17">
        <f>Raw_Data!L815</f>
        <v/>
      </c>
      <c r="Q815" s="17">
        <f>O815-P815</f>
        <v/>
      </c>
      <c r="R815" s="31">
        <f>IF(O815=0,0,Q815/O815)</f>
        <v/>
      </c>
      <c r="S815">
        <f>XLOOKUP(F815,Lookups!$B$7:$B$11,Lookups!$C$7:$C$11,"Unknown")</f>
        <v/>
      </c>
      <c r="T815" s="31">
        <f>XLOOKUP(G815,Lookups!$E$7:$E$11,Lookups!$F$7:$F$11,0)</f>
        <v/>
      </c>
      <c r="U815" s="32">
        <f>R815-T815</f>
        <v/>
      </c>
      <c r="V815">
        <f>XLOOKUP(I815,Lookups!$H$7:$H$10,Lookups!$I$7:$I$10,"")</f>
        <v/>
      </c>
      <c r="W815">
        <f>IF(O815&gt;=50000,"HIGH VALUE","")</f>
        <v/>
      </c>
      <c r="X815">
        <f>IF(Q815&lt;0,"LOSS","")</f>
        <v/>
      </c>
      <c r="Y815">
        <f>IFS(M815&gt;=0.15,"Deep Discount",M815&gt;=0.1,"Moderate",TRUE,"Standard")</f>
        <v/>
      </c>
    </row>
    <row r="816">
      <c r="A816">
        <f>Raw_Data!A816</f>
        <v/>
      </c>
      <c r="B816" s="29">
        <f>Raw_Data!B816</f>
        <v/>
      </c>
      <c r="C816">
        <f>YEAR(B816)</f>
        <v/>
      </c>
      <c r="D816">
        <f>MONTH(B816)</f>
        <v/>
      </c>
      <c r="E816">
        <f>TEXT(B816,"MMM-YYYY")</f>
        <v/>
      </c>
      <c r="F816">
        <f>Raw_Data!C816</f>
        <v/>
      </c>
      <c r="G816">
        <f>Raw_Data!D816</f>
        <v/>
      </c>
      <c r="H816">
        <f>Raw_Data!E816</f>
        <v/>
      </c>
      <c r="I816">
        <f>Raw_Data!F816</f>
        <v/>
      </c>
      <c r="J816">
        <f>Raw_Data!G816</f>
        <v/>
      </c>
      <c r="K816">
        <f>Raw_Data!H816</f>
        <v/>
      </c>
      <c r="L816" s="30">
        <f>Raw_Data!I816</f>
        <v/>
      </c>
      <c r="M816" s="31">
        <f>Raw_Data!J816</f>
        <v/>
      </c>
      <c r="N816" s="17">
        <f>K816*L816</f>
        <v/>
      </c>
      <c r="O816" s="17">
        <f>N816*(1-M816)</f>
        <v/>
      </c>
      <c r="P816" s="17">
        <f>Raw_Data!L816</f>
        <v/>
      </c>
      <c r="Q816" s="17">
        <f>O816-P816</f>
        <v/>
      </c>
      <c r="R816" s="31">
        <f>IF(O816=0,0,Q816/O816)</f>
        <v/>
      </c>
      <c r="S816">
        <f>XLOOKUP(F816,Lookups!$B$7:$B$11,Lookups!$C$7:$C$11,"Unknown")</f>
        <v/>
      </c>
      <c r="T816" s="31">
        <f>XLOOKUP(G816,Lookups!$E$7:$E$11,Lookups!$F$7:$F$11,0)</f>
        <v/>
      </c>
      <c r="U816" s="32">
        <f>R816-T816</f>
        <v/>
      </c>
      <c r="V816">
        <f>XLOOKUP(I816,Lookups!$H$7:$H$10,Lookups!$I$7:$I$10,"")</f>
        <v/>
      </c>
      <c r="W816">
        <f>IF(O816&gt;=50000,"HIGH VALUE","")</f>
        <v/>
      </c>
      <c r="X816">
        <f>IF(Q816&lt;0,"LOSS","")</f>
        <v/>
      </c>
      <c r="Y816">
        <f>IFS(M816&gt;=0.15,"Deep Discount",M816&gt;=0.1,"Moderate",TRUE,"Standard")</f>
        <v/>
      </c>
    </row>
    <row r="817">
      <c r="A817">
        <f>Raw_Data!A817</f>
        <v/>
      </c>
      <c r="B817" s="29">
        <f>Raw_Data!B817</f>
        <v/>
      </c>
      <c r="C817">
        <f>YEAR(B817)</f>
        <v/>
      </c>
      <c r="D817">
        <f>MONTH(B817)</f>
        <v/>
      </c>
      <c r="E817">
        <f>TEXT(B817,"MMM-YYYY")</f>
        <v/>
      </c>
      <c r="F817">
        <f>Raw_Data!C817</f>
        <v/>
      </c>
      <c r="G817">
        <f>Raw_Data!D817</f>
        <v/>
      </c>
      <c r="H817">
        <f>Raw_Data!E817</f>
        <v/>
      </c>
      <c r="I817">
        <f>Raw_Data!F817</f>
        <v/>
      </c>
      <c r="J817">
        <f>Raw_Data!G817</f>
        <v/>
      </c>
      <c r="K817">
        <f>Raw_Data!H817</f>
        <v/>
      </c>
      <c r="L817" s="30">
        <f>Raw_Data!I817</f>
        <v/>
      </c>
      <c r="M817" s="31">
        <f>Raw_Data!J817</f>
        <v/>
      </c>
      <c r="N817" s="17">
        <f>K817*L817</f>
        <v/>
      </c>
      <c r="O817" s="17">
        <f>N817*(1-M817)</f>
        <v/>
      </c>
      <c r="P817" s="17">
        <f>Raw_Data!L817</f>
        <v/>
      </c>
      <c r="Q817" s="17">
        <f>O817-P817</f>
        <v/>
      </c>
      <c r="R817" s="31">
        <f>IF(O817=0,0,Q817/O817)</f>
        <v/>
      </c>
      <c r="S817">
        <f>XLOOKUP(F817,Lookups!$B$7:$B$11,Lookups!$C$7:$C$11,"Unknown")</f>
        <v/>
      </c>
      <c r="T817" s="31">
        <f>XLOOKUP(G817,Lookups!$E$7:$E$11,Lookups!$F$7:$F$11,0)</f>
        <v/>
      </c>
      <c r="U817" s="32">
        <f>R817-T817</f>
        <v/>
      </c>
      <c r="V817">
        <f>XLOOKUP(I817,Lookups!$H$7:$H$10,Lookups!$I$7:$I$10,"")</f>
        <v/>
      </c>
      <c r="W817">
        <f>IF(O817&gt;=50000,"HIGH VALUE","")</f>
        <v/>
      </c>
      <c r="X817">
        <f>IF(Q817&lt;0,"LOSS","")</f>
        <v/>
      </c>
      <c r="Y817">
        <f>IFS(M817&gt;=0.15,"Deep Discount",M817&gt;=0.1,"Moderate",TRUE,"Standard")</f>
        <v/>
      </c>
    </row>
    <row r="818">
      <c r="A818">
        <f>Raw_Data!A818</f>
        <v/>
      </c>
      <c r="B818" s="29">
        <f>Raw_Data!B818</f>
        <v/>
      </c>
      <c r="C818">
        <f>YEAR(B818)</f>
        <v/>
      </c>
      <c r="D818">
        <f>MONTH(B818)</f>
        <v/>
      </c>
      <c r="E818">
        <f>TEXT(B818,"MMM-YYYY")</f>
        <v/>
      </c>
      <c r="F818">
        <f>Raw_Data!C818</f>
        <v/>
      </c>
      <c r="G818">
        <f>Raw_Data!D818</f>
        <v/>
      </c>
      <c r="H818">
        <f>Raw_Data!E818</f>
        <v/>
      </c>
      <c r="I818">
        <f>Raw_Data!F818</f>
        <v/>
      </c>
      <c r="J818">
        <f>Raw_Data!G818</f>
        <v/>
      </c>
      <c r="K818">
        <f>Raw_Data!H818</f>
        <v/>
      </c>
      <c r="L818" s="30">
        <f>Raw_Data!I818</f>
        <v/>
      </c>
      <c r="M818" s="31">
        <f>Raw_Data!J818</f>
        <v/>
      </c>
      <c r="N818" s="17">
        <f>K818*L818</f>
        <v/>
      </c>
      <c r="O818" s="17">
        <f>N818*(1-M818)</f>
        <v/>
      </c>
      <c r="P818" s="17">
        <f>Raw_Data!L818</f>
        <v/>
      </c>
      <c r="Q818" s="17">
        <f>O818-P818</f>
        <v/>
      </c>
      <c r="R818" s="31">
        <f>IF(O818=0,0,Q818/O818)</f>
        <v/>
      </c>
      <c r="S818">
        <f>XLOOKUP(F818,Lookups!$B$7:$B$11,Lookups!$C$7:$C$11,"Unknown")</f>
        <v/>
      </c>
      <c r="T818" s="31">
        <f>XLOOKUP(G818,Lookups!$E$7:$E$11,Lookups!$F$7:$F$11,0)</f>
        <v/>
      </c>
      <c r="U818" s="32">
        <f>R818-T818</f>
        <v/>
      </c>
      <c r="V818">
        <f>XLOOKUP(I818,Lookups!$H$7:$H$10,Lookups!$I$7:$I$10,"")</f>
        <v/>
      </c>
      <c r="W818">
        <f>IF(O818&gt;=50000,"HIGH VALUE","")</f>
        <v/>
      </c>
      <c r="X818">
        <f>IF(Q818&lt;0,"LOSS","")</f>
        <v/>
      </c>
      <c r="Y818">
        <f>IFS(M818&gt;=0.15,"Deep Discount",M818&gt;=0.1,"Moderate",TRUE,"Standard")</f>
        <v/>
      </c>
    </row>
    <row r="819">
      <c r="A819">
        <f>Raw_Data!A819</f>
        <v/>
      </c>
      <c r="B819" s="29">
        <f>Raw_Data!B819</f>
        <v/>
      </c>
      <c r="C819">
        <f>YEAR(B819)</f>
        <v/>
      </c>
      <c r="D819">
        <f>MONTH(B819)</f>
        <v/>
      </c>
      <c r="E819">
        <f>TEXT(B819,"MMM-YYYY")</f>
        <v/>
      </c>
      <c r="F819">
        <f>Raw_Data!C819</f>
        <v/>
      </c>
      <c r="G819">
        <f>Raw_Data!D819</f>
        <v/>
      </c>
      <c r="H819">
        <f>Raw_Data!E819</f>
        <v/>
      </c>
      <c r="I819">
        <f>Raw_Data!F819</f>
        <v/>
      </c>
      <c r="J819">
        <f>Raw_Data!G819</f>
        <v/>
      </c>
      <c r="K819">
        <f>Raw_Data!H819</f>
        <v/>
      </c>
      <c r="L819" s="30">
        <f>Raw_Data!I819</f>
        <v/>
      </c>
      <c r="M819" s="31">
        <f>Raw_Data!J819</f>
        <v/>
      </c>
      <c r="N819" s="17">
        <f>K819*L819</f>
        <v/>
      </c>
      <c r="O819" s="17">
        <f>N819*(1-M819)</f>
        <v/>
      </c>
      <c r="P819" s="17">
        <f>Raw_Data!L819</f>
        <v/>
      </c>
      <c r="Q819" s="17">
        <f>O819-P819</f>
        <v/>
      </c>
      <c r="R819" s="31">
        <f>IF(O819=0,0,Q819/O819)</f>
        <v/>
      </c>
      <c r="S819">
        <f>XLOOKUP(F819,Lookups!$B$7:$B$11,Lookups!$C$7:$C$11,"Unknown")</f>
        <v/>
      </c>
      <c r="T819" s="31">
        <f>XLOOKUP(G819,Lookups!$E$7:$E$11,Lookups!$F$7:$F$11,0)</f>
        <v/>
      </c>
      <c r="U819" s="32">
        <f>R819-T819</f>
        <v/>
      </c>
      <c r="V819">
        <f>XLOOKUP(I819,Lookups!$H$7:$H$10,Lookups!$I$7:$I$10,"")</f>
        <v/>
      </c>
      <c r="W819">
        <f>IF(O819&gt;=50000,"HIGH VALUE","")</f>
        <v/>
      </c>
      <c r="X819">
        <f>IF(Q819&lt;0,"LOSS","")</f>
        <v/>
      </c>
      <c r="Y819">
        <f>IFS(M819&gt;=0.15,"Deep Discount",M819&gt;=0.1,"Moderate",TRUE,"Standard")</f>
        <v/>
      </c>
    </row>
    <row r="820">
      <c r="A820">
        <f>Raw_Data!A820</f>
        <v/>
      </c>
      <c r="B820" s="29">
        <f>Raw_Data!B820</f>
        <v/>
      </c>
      <c r="C820">
        <f>YEAR(B820)</f>
        <v/>
      </c>
      <c r="D820">
        <f>MONTH(B820)</f>
        <v/>
      </c>
      <c r="E820">
        <f>TEXT(B820,"MMM-YYYY")</f>
        <v/>
      </c>
      <c r="F820">
        <f>Raw_Data!C820</f>
        <v/>
      </c>
      <c r="G820">
        <f>Raw_Data!D820</f>
        <v/>
      </c>
      <c r="H820">
        <f>Raw_Data!E820</f>
        <v/>
      </c>
      <c r="I820">
        <f>Raw_Data!F820</f>
        <v/>
      </c>
      <c r="J820">
        <f>Raw_Data!G820</f>
        <v/>
      </c>
      <c r="K820">
        <f>Raw_Data!H820</f>
        <v/>
      </c>
      <c r="L820" s="30">
        <f>Raw_Data!I820</f>
        <v/>
      </c>
      <c r="M820" s="31">
        <f>Raw_Data!J820</f>
        <v/>
      </c>
      <c r="N820" s="17">
        <f>K820*L820</f>
        <v/>
      </c>
      <c r="O820" s="17">
        <f>N820*(1-M820)</f>
        <v/>
      </c>
      <c r="P820" s="17">
        <f>Raw_Data!L820</f>
        <v/>
      </c>
      <c r="Q820" s="17">
        <f>O820-P820</f>
        <v/>
      </c>
      <c r="R820" s="31">
        <f>IF(O820=0,0,Q820/O820)</f>
        <v/>
      </c>
      <c r="S820">
        <f>XLOOKUP(F820,Lookups!$B$7:$B$11,Lookups!$C$7:$C$11,"Unknown")</f>
        <v/>
      </c>
      <c r="T820" s="31">
        <f>XLOOKUP(G820,Lookups!$E$7:$E$11,Lookups!$F$7:$F$11,0)</f>
        <v/>
      </c>
      <c r="U820" s="32">
        <f>R820-T820</f>
        <v/>
      </c>
      <c r="V820">
        <f>XLOOKUP(I820,Lookups!$H$7:$H$10,Lookups!$I$7:$I$10,"")</f>
        <v/>
      </c>
      <c r="W820">
        <f>IF(O820&gt;=50000,"HIGH VALUE","")</f>
        <v/>
      </c>
      <c r="X820">
        <f>IF(Q820&lt;0,"LOSS","")</f>
        <v/>
      </c>
      <c r="Y820">
        <f>IFS(M820&gt;=0.15,"Deep Discount",M820&gt;=0.1,"Moderate",TRUE,"Standard")</f>
        <v/>
      </c>
    </row>
    <row r="821">
      <c r="A821">
        <f>Raw_Data!A821</f>
        <v/>
      </c>
      <c r="B821" s="29">
        <f>Raw_Data!B821</f>
        <v/>
      </c>
      <c r="C821">
        <f>YEAR(B821)</f>
        <v/>
      </c>
      <c r="D821">
        <f>MONTH(B821)</f>
        <v/>
      </c>
      <c r="E821">
        <f>TEXT(B821,"MMM-YYYY")</f>
        <v/>
      </c>
      <c r="F821">
        <f>Raw_Data!C821</f>
        <v/>
      </c>
      <c r="G821">
        <f>Raw_Data!D821</f>
        <v/>
      </c>
      <c r="H821">
        <f>Raw_Data!E821</f>
        <v/>
      </c>
      <c r="I821">
        <f>Raw_Data!F821</f>
        <v/>
      </c>
      <c r="J821">
        <f>Raw_Data!G821</f>
        <v/>
      </c>
      <c r="K821">
        <f>Raw_Data!H821</f>
        <v/>
      </c>
      <c r="L821" s="30">
        <f>Raw_Data!I821</f>
        <v/>
      </c>
      <c r="M821" s="31">
        <f>Raw_Data!J821</f>
        <v/>
      </c>
      <c r="N821" s="17">
        <f>K821*L821</f>
        <v/>
      </c>
      <c r="O821" s="17">
        <f>N821*(1-M821)</f>
        <v/>
      </c>
      <c r="P821" s="17">
        <f>Raw_Data!L821</f>
        <v/>
      </c>
      <c r="Q821" s="17">
        <f>O821-P821</f>
        <v/>
      </c>
      <c r="R821" s="31">
        <f>IF(O821=0,0,Q821/O821)</f>
        <v/>
      </c>
      <c r="S821">
        <f>XLOOKUP(F821,Lookups!$B$7:$B$11,Lookups!$C$7:$C$11,"Unknown")</f>
        <v/>
      </c>
      <c r="T821" s="31">
        <f>XLOOKUP(G821,Lookups!$E$7:$E$11,Lookups!$F$7:$F$11,0)</f>
        <v/>
      </c>
      <c r="U821" s="32">
        <f>R821-T821</f>
        <v/>
      </c>
      <c r="V821">
        <f>XLOOKUP(I821,Lookups!$H$7:$H$10,Lookups!$I$7:$I$10,"")</f>
        <v/>
      </c>
      <c r="W821">
        <f>IF(O821&gt;=50000,"HIGH VALUE","")</f>
        <v/>
      </c>
      <c r="X821">
        <f>IF(Q821&lt;0,"LOSS","")</f>
        <v/>
      </c>
      <c r="Y821">
        <f>IFS(M821&gt;=0.15,"Deep Discount",M821&gt;=0.1,"Moderate",TRUE,"Standard")</f>
        <v/>
      </c>
    </row>
    <row r="822">
      <c r="A822">
        <f>Raw_Data!A822</f>
        <v/>
      </c>
      <c r="B822" s="29">
        <f>Raw_Data!B822</f>
        <v/>
      </c>
      <c r="C822">
        <f>YEAR(B822)</f>
        <v/>
      </c>
      <c r="D822">
        <f>MONTH(B822)</f>
        <v/>
      </c>
      <c r="E822">
        <f>TEXT(B822,"MMM-YYYY")</f>
        <v/>
      </c>
      <c r="F822">
        <f>Raw_Data!C822</f>
        <v/>
      </c>
      <c r="G822">
        <f>Raw_Data!D822</f>
        <v/>
      </c>
      <c r="H822">
        <f>Raw_Data!E822</f>
        <v/>
      </c>
      <c r="I822">
        <f>Raw_Data!F822</f>
        <v/>
      </c>
      <c r="J822">
        <f>Raw_Data!G822</f>
        <v/>
      </c>
      <c r="K822">
        <f>Raw_Data!H822</f>
        <v/>
      </c>
      <c r="L822" s="30">
        <f>Raw_Data!I822</f>
        <v/>
      </c>
      <c r="M822" s="31">
        <f>Raw_Data!J822</f>
        <v/>
      </c>
      <c r="N822" s="17">
        <f>K822*L822</f>
        <v/>
      </c>
      <c r="O822" s="17">
        <f>N822*(1-M822)</f>
        <v/>
      </c>
      <c r="P822" s="17">
        <f>Raw_Data!L822</f>
        <v/>
      </c>
      <c r="Q822" s="17">
        <f>O822-P822</f>
        <v/>
      </c>
      <c r="R822" s="31">
        <f>IF(O822=0,0,Q822/O822)</f>
        <v/>
      </c>
      <c r="S822">
        <f>XLOOKUP(F822,Lookups!$B$7:$B$11,Lookups!$C$7:$C$11,"Unknown")</f>
        <v/>
      </c>
      <c r="T822" s="31">
        <f>XLOOKUP(G822,Lookups!$E$7:$E$11,Lookups!$F$7:$F$11,0)</f>
        <v/>
      </c>
      <c r="U822" s="32">
        <f>R822-T822</f>
        <v/>
      </c>
      <c r="V822">
        <f>XLOOKUP(I822,Lookups!$H$7:$H$10,Lookups!$I$7:$I$10,"")</f>
        <v/>
      </c>
      <c r="W822">
        <f>IF(O822&gt;=50000,"HIGH VALUE","")</f>
        <v/>
      </c>
      <c r="X822">
        <f>IF(Q822&lt;0,"LOSS","")</f>
        <v/>
      </c>
      <c r="Y822">
        <f>IFS(M822&gt;=0.15,"Deep Discount",M822&gt;=0.1,"Moderate",TRUE,"Standard")</f>
        <v/>
      </c>
    </row>
    <row r="823">
      <c r="A823">
        <f>Raw_Data!A823</f>
        <v/>
      </c>
      <c r="B823" s="29">
        <f>Raw_Data!B823</f>
        <v/>
      </c>
      <c r="C823">
        <f>YEAR(B823)</f>
        <v/>
      </c>
      <c r="D823">
        <f>MONTH(B823)</f>
        <v/>
      </c>
      <c r="E823">
        <f>TEXT(B823,"MMM-YYYY")</f>
        <v/>
      </c>
      <c r="F823">
        <f>Raw_Data!C823</f>
        <v/>
      </c>
      <c r="G823">
        <f>Raw_Data!D823</f>
        <v/>
      </c>
      <c r="H823">
        <f>Raw_Data!E823</f>
        <v/>
      </c>
      <c r="I823">
        <f>Raw_Data!F823</f>
        <v/>
      </c>
      <c r="J823">
        <f>Raw_Data!G823</f>
        <v/>
      </c>
      <c r="K823">
        <f>Raw_Data!H823</f>
        <v/>
      </c>
      <c r="L823" s="30">
        <f>Raw_Data!I823</f>
        <v/>
      </c>
      <c r="M823" s="31">
        <f>Raw_Data!J823</f>
        <v/>
      </c>
      <c r="N823" s="17">
        <f>K823*L823</f>
        <v/>
      </c>
      <c r="O823" s="17">
        <f>N823*(1-M823)</f>
        <v/>
      </c>
      <c r="P823" s="17">
        <f>Raw_Data!L823</f>
        <v/>
      </c>
      <c r="Q823" s="17">
        <f>O823-P823</f>
        <v/>
      </c>
      <c r="R823" s="31">
        <f>IF(O823=0,0,Q823/O823)</f>
        <v/>
      </c>
      <c r="S823">
        <f>XLOOKUP(F823,Lookups!$B$7:$B$11,Lookups!$C$7:$C$11,"Unknown")</f>
        <v/>
      </c>
      <c r="T823" s="31">
        <f>XLOOKUP(G823,Lookups!$E$7:$E$11,Lookups!$F$7:$F$11,0)</f>
        <v/>
      </c>
      <c r="U823" s="32">
        <f>R823-T823</f>
        <v/>
      </c>
      <c r="V823">
        <f>XLOOKUP(I823,Lookups!$H$7:$H$10,Lookups!$I$7:$I$10,"")</f>
        <v/>
      </c>
      <c r="W823">
        <f>IF(O823&gt;=50000,"HIGH VALUE","")</f>
        <v/>
      </c>
      <c r="X823">
        <f>IF(Q823&lt;0,"LOSS","")</f>
        <v/>
      </c>
      <c r="Y823">
        <f>IFS(M823&gt;=0.15,"Deep Discount",M823&gt;=0.1,"Moderate",TRUE,"Standard")</f>
        <v/>
      </c>
    </row>
    <row r="824">
      <c r="A824">
        <f>Raw_Data!A824</f>
        <v/>
      </c>
      <c r="B824" s="29">
        <f>Raw_Data!B824</f>
        <v/>
      </c>
      <c r="C824">
        <f>YEAR(B824)</f>
        <v/>
      </c>
      <c r="D824">
        <f>MONTH(B824)</f>
        <v/>
      </c>
      <c r="E824">
        <f>TEXT(B824,"MMM-YYYY")</f>
        <v/>
      </c>
      <c r="F824">
        <f>Raw_Data!C824</f>
        <v/>
      </c>
      <c r="G824">
        <f>Raw_Data!D824</f>
        <v/>
      </c>
      <c r="H824">
        <f>Raw_Data!E824</f>
        <v/>
      </c>
      <c r="I824">
        <f>Raw_Data!F824</f>
        <v/>
      </c>
      <c r="J824">
        <f>Raw_Data!G824</f>
        <v/>
      </c>
      <c r="K824">
        <f>Raw_Data!H824</f>
        <v/>
      </c>
      <c r="L824" s="30">
        <f>Raw_Data!I824</f>
        <v/>
      </c>
      <c r="M824" s="31">
        <f>Raw_Data!J824</f>
        <v/>
      </c>
      <c r="N824" s="17">
        <f>K824*L824</f>
        <v/>
      </c>
      <c r="O824" s="17">
        <f>N824*(1-M824)</f>
        <v/>
      </c>
      <c r="P824" s="17">
        <f>Raw_Data!L824</f>
        <v/>
      </c>
      <c r="Q824" s="17">
        <f>O824-P824</f>
        <v/>
      </c>
      <c r="R824" s="31">
        <f>IF(O824=0,0,Q824/O824)</f>
        <v/>
      </c>
      <c r="S824">
        <f>XLOOKUP(F824,Lookups!$B$7:$B$11,Lookups!$C$7:$C$11,"Unknown")</f>
        <v/>
      </c>
      <c r="T824" s="31">
        <f>XLOOKUP(G824,Lookups!$E$7:$E$11,Lookups!$F$7:$F$11,0)</f>
        <v/>
      </c>
      <c r="U824" s="32">
        <f>R824-T824</f>
        <v/>
      </c>
      <c r="V824">
        <f>XLOOKUP(I824,Lookups!$H$7:$H$10,Lookups!$I$7:$I$10,"")</f>
        <v/>
      </c>
      <c r="W824">
        <f>IF(O824&gt;=50000,"HIGH VALUE","")</f>
        <v/>
      </c>
      <c r="X824">
        <f>IF(Q824&lt;0,"LOSS","")</f>
        <v/>
      </c>
      <c r="Y824">
        <f>IFS(M824&gt;=0.15,"Deep Discount",M824&gt;=0.1,"Moderate",TRUE,"Standard")</f>
        <v/>
      </c>
    </row>
    <row r="825">
      <c r="A825">
        <f>Raw_Data!A825</f>
        <v/>
      </c>
      <c r="B825" s="29">
        <f>Raw_Data!B825</f>
        <v/>
      </c>
      <c r="C825">
        <f>YEAR(B825)</f>
        <v/>
      </c>
      <c r="D825">
        <f>MONTH(B825)</f>
        <v/>
      </c>
      <c r="E825">
        <f>TEXT(B825,"MMM-YYYY")</f>
        <v/>
      </c>
      <c r="F825">
        <f>Raw_Data!C825</f>
        <v/>
      </c>
      <c r="G825">
        <f>Raw_Data!D825</f>
        <v/>
      </c>
      <c r="H825">
        <f>Raw_Data!E825</f>
        <v/>
      </c>
      <c r="I825">
        <f>Raw_Data!F825</f>
        <v/>
      </c>
      <c r="J825">
        <f>Raw_Data!G825</f>
        <v/>
      </c>
      <c r="K825">
        <f>Raw_Data!H825</f>
        <v/>
      </c>
      <c r="L825" s="30">
        <f>Raw_Data!I825</f>
        <v/>
      </c>
      <c r="M825" s="31">
        <f>Raw_Data!J825</f>
        <v/>
      </c>
      <c r="N825" s="17">
        <f>K825*L825</f>
        <v/>
      </c>
      <c r="O825" s="17">
        <f>N825*(1-M825)</f>
        <v/>
      </c>
      <c r="P825" s="17">
        <f>Raw_Data!L825</f>
        <v/>
      </c>
      <c r="Q825" s="17">
        <f>O825-P825</f>
        <v/>
      </c>
      <c r="R825" s="31">
        <f>IF(O825=0,0,Q825/O825)</f>
        <v/>
      </c>
      <c r="S825">
        <f>XLOOKUP(F825,Lookups!$B$7:$B$11,Lookups!$C$7:$C$11,"Unknown")</f>
        <v/>
      </c>
      <c r="T825" s="31">
        <f>XLOOKUP(G825,Lookups!$E$7:$E$11,Lookups!$F$7:$F$11,0)</f>
        <v/>
      </c>
      <c r="U825" s="32">
        <f>R825-T825</f>
        <v/>
      </c>
      <c r="V825">
        <f>XLOOKUP(I825,Lookups!$H$7:$H$10,Lookups!$I$7:$I$10,"")</f>
        <v/>
      </c>
      <c r="W825">
        <f>IF(O825&gt;=50000,"HIGH VALUE","")</f>
        <v/>
      </c>
      <c r="X825">
        <f>IF(Q825&lt;0,"LOSS","")</f>
        <v/>
      </c>
      <c r="Y825">
        <f>IFS(M825&gt;=0.15,"Deep Discount",M825&gt;=0.1,"Moderate",TRUE,"Standard")</f>
        <v/>
      </c>
    </row>
    <row r="826">
      <c r="A826">
        <f>Raw_Data!A826</f>
        <v/>
      </c>
      <c r="B826" s="29">
        <f>Raw_Data!B826</f>
        <v/>
      </c>
      <c r="C826">
        <f>YEAR(B826)</f>
        <v/>
      </c>
      <c r="D826">
        <f>MONTH(B826)</f>
        <v/>
      </c>
      <c r="E826">
        <f>TEXT(B826,"MMM-YYYY")</f>
        <v/>
      </c>
      <c r="F826">
        <f>Raw_Data!C826</f>
        <v/>
      </c>
      <c r="G826">
        <f>Raw_Data!D826</f>
        <v/>
      </c>
      <c r="H826">
        <f>Raw_Data!E826</f>
        <v/>
      </c>
      <c r="I826">
        <f>Raw_Data!F826</f>
        <v/>
      </c>
      <c r="J826">
        <f>Raw_Data!G826</f>
        <v/>
      </c>
      <c r="K826">
        <f>Raw_Data!H826</f>
        <v/>
      </c>
      <c r="L826" s="30">
        <f>Raw_Data!I826</f>
        <v/>
      </c>
      <c r="M826" s="31">
        <f>Raw_Data!J826</f>
        <v/>
      </c>
      <c r="N826" s="17">
        <f>K826*L826</f>
        <v/>
      </c>
      <c r="O826" s="17">
        <f>N826*(1-M826)</f>
        <v/>
      </c>
      <c r="P826" s="17">
        <f>Raw_Data!L826</f>
        <v/>
      </c>
      <c r="Q826" s="17">
        <f>O826-P826</f>
        <v/>
      </c>
      <c r="R826" s="31">
        <f>IF(O826=0,0,Q826/O826)</f>
        <v/>
      </c>
      <c r="S826">
        <f>XLOOKUP(F826,Lookups!$B$7:$B$11,Lookups!$C$7:$C$11,"Unknown")</f>
        <v/>
      </c>
      <c r="T826" s="31">
        <f>XLOOKUP(G826,Lookups!$E$7:$E$11,Lookups!$F$7:$F$11,0)</f>
        <v/>
      </c>
      <c r="U826" s="32">
        <f>R826-T826</f>
        <v/>
      </c>
      <c r="V826">
        <f>XLOOKUP(I826,Lookups!$H$7:$H$10,Lookups!$I$7:$I$10,"")</f>
        <v/>
      </c>
      <c r="W826">
        <f>IF(O826&gt;=50000,"HIGH VALUE","")</f>
        <v/>
      </c>
      <c r="X826">
        <f>IF(Q826&lt;0,"LOSS","")</f>
        <v/>
      </c>
      <c r="Y826">
        <f>IFS(M826&gt;=0.15,"Deep Discount",M826&gt;=0.1,"Moderate",TRUE,"Standard")</f>
        <v/>
      </c>
    </row>
    <row r="827">
      <c r="A827">
        <f>Raw_Data!A827</f>
        <v/>
      </c>
      <c r="B827" s="29">
        <f>Raw_Data!B827</f>
        <v/>
      </c>
      <c r="C827">
        <f>YEAR(B827)</f>
        <v/>
      </c>
      <c r="D827">
        <f>MONTH(B827)</f>
        <v/>
      </c>
      <c r="E827">
        <f>TEXT(B827,"MMM-YYYY")</f>
        <v/>
      </c>
      <c r="F827">
        <f>Raw_Data!C827</f>
        <v/>
      </c>
      <c r="G827">
        <f>Raw_Data!D827</f>
        <v/>
      </c>
      <c r="H827">
        <f>Raw_Data!E827</f>
        <v/>
      </c>
      <c r="I827">
        <f>Raw_Data!F827</f>
        <v/>
      </c>
      <c r="J827">
        <f>Raw_Data!G827</f>
        <v/>
      </c>
      <c r="K827">
        <f>Raw_Data!H827</f>
        <v/>
      </c>
      <c r="L827" s="30">
        <f>Raw_Data!I827</f>
        <v/>
      </c>
      <c r="M827" s="31">
        <f>Raw_Data!J827</f>
        <v/>
      </c>
      <c r="N827" s="17">
        <f>K827*L827</f>
        <v/>
      </c>
      <c r="O827" s="17">
        <f>N827*(1-M827)</f>
        <v/>
      </c>
      <c r="P827" s="17">
        <f>Raw_Data!L827</f>
        <v/>
      </c>
      <c r="Q827" s="17">
        <f>O827-P827</f>
        <v/>
      </c>
      <c r="R827" s="31">
        <f>IF(O827=0,0,Q827/O827)</f>
        <v/>
      </c>
      <c r="S827">
        <f>XLOOKUP(F827,Lookups!$B$7:$B$11,Lookups!$C$7:$C$11,"Unknown")</f>
        <v/>
      </c>
      <c r="T827" s="31">
        <f>XLOOKUP(G827,Lookups!$E$7:$E$11,Lookups!$F$7:$F$11,0)</f>
        <v/>
      </c>
      <c r="U827" s="32">
        <f>R827-T827</f>
        <v/>
      </c>
      <c r="V827">
        <f>XLOOKUP(I827,Lookups!$H$7:$H$10,Lookups!$I$7:$I$10,"")</f>
        <v/>
      </c>
      <c r="W827">
        <f>IF(O827&gt;=50000,"HIGH VALUE","")</f>
        <v/>
      </c>
      <c r="X827">
        <f>IF(Q827&lt;0,"LOSS","")</f>
        <v/>
      </c>
      <c r="Y827">
        <f>IFS(M827&gt;=0.15,"Deep Discount",M827&gt;=0.1,"Moderate",TRUE,"Standard")</f>
        <v/>
      </c>
    </row>
    <row r="828">
      <c r="A828">
        <f>Raw_Data!A828</f>
        <v/>
      </c>
      <c r="B828" s="29">
        <f>Raw_Data!B828</f>
        <v/>
      </c>
      <c r="C828">
        <f>YEAR(B828)</f>
        <v/>
      </c>
      <c r="D828">
        <f>MONTH(B828)</f>
        <v/>
      </c>
      <c r="E828">
        <f>TEXT(B828,"MMM-YYYY")</f>
        <v/>
      </c>
      <c r="F828">
        <f>Raw_Data!C828</f>
        <v/>
      </c>
      <c r="G828">
        <f>Raw_Data!D828</f>
        <v/>
      </c>
      <c r="H828">
        <f>Raw_Data!E828</f>
        <v/>
      </c>
      <c r="I828">
        <f>Raw_Data!F828</f>
        <v/>
      </c>
      <c r="J828">
        <f>Raw_Data!G828</f>
        <v/>
      </c>
      <c r="K828">
        <f>Raw_Data!H828</f>
        <v/>
      </c>
      <c r="L828" s="30">
        <f>Raw_Data!I828</f>
        <v/>
      </c>
      <c r="M828" s="31">
        <f>Raw_Data!J828</f>
        <v/>
      </c>
      <c r="N828" s="17">
        <f>K828*L828</f>
        <v/>
      </c>
      <c r="O828" s="17">
        <f>N828*(1-M828)</f>
        <v/>
      </c>
      <c r="P828" s="17">
        <f>Raw_Data!L828</f>
        <v/>
      </c>
      <c r="Q828" s="17">
        <f>O828-P828</f>
        <v/>
      </c>
      <c r="R828" s="31">
        <f>IF(O828=0,0,Q828/O828)</f>
        <v/>
      </c>
      <c r="S828">
        <f>XLOOKUP(F828,Lookups!$B$7:$B$11,Lookups!$C$7:$C$11,"Unknown")</f>
        <v/>
      </c>
      <c r="T828" s="31">
        <f>XLOOKUP(G828,Lookups!$E$7:$E$11,Lookups!$F$7:$F$11,0)</f>
        <v/>
      </c>
      <c r="U828" s="32">
        <f>R828-T828</f>
        <v/>
      </c>
      <c r="V828">
        <f>XLOOKUP(I828,Lookups!$H$7:$H$10,Lookups!$I$7:$I$10,"")</f>
        <v/>
      </c>
      <c r="W828">
        <f>IF(O828&gt;=50000,"HIGH VALUE","")</f>
        <v/>
      </c>
      <c r="X828">
        <f>IF(Q828&lt;0,"LOSS","")</f>
        <v/>
      </c>
      <c r="Y828">
        <f>IFS(M828&gt;=0.15,"Deep Discount",M828&gt;=0.1,"Moderate",TRUE,"Standard")</f>
        <v/>
      </c>
    </row>
    <row r="829">
      <c r="A829">
        <f>Raw_Data!A829</f>
        <v/>
      </c>
      <c r="B829" s="29">
        <f>Raw_Data!B829</f>
        <v/>
      </c>
      <c r="C829">
        <f>YEAR(B829)</f>
        <v/>
      </c>
      <c r="D829">
        <f>MONTH(B829)</f>
        <v/>
      </c>
      <c r="E829">
        <f>TEXT(B829,"MMM-YYYY")</f>
        <v/>
      </c>
      <c r="F829">
        <f>Raw_Data!C829</f>
        <v/>
      </c>
      <c r="G829">
        <f>Raw_Data!D829</f>
        <v/>
      </c>
      <c r="H829">
        <f>Raw_Data!E829</f>
        <v/>
      </c>
      <c r="I829">
        <f>Raw_Data!F829</f>
        <v/>
      </c>
      <c r="J829">
        <f>Raw_Data!G829</f>
        <v/>
      </c>
      <c r="K829">
        <f>Raw_Data!H829</f>
        <v/>
      </c>
      <c r="L829" s="30">
        <f>Raw_Data!I829</f>
        <v/>
      </c>
      <c r="M829" s="31">
        <f>Raw_Data!J829</f>
        <v/>
      </c>
      <c r="N829" s="17">
        <f>K829*L829</f>
        <v/>
      </c>
      <c r="O829" s="17">
        <f>N829*(1-M829)</f>
        <v/>
      </c>
      <c r="P829" s="17">
        <f>Raw_Data!L829</f>
        <v/>
      </c>
      <c r="Q829" s="17">
        <f>O829-P829</f>
        <v/>
      </c>
      <c r="R829" s="31">
        <f>IF(O829=0,0,Q829/O829)</f>
        <v/>
      </c>
      <c r="S829">
        <f>XLOOKUP(F829,Lookups!$B$7:$B$11,Lookups!$C$7:$C$11,"Unknown")</f>
        <v/>
      </c>
      <c r="T829" s="31">
        <f>XLOOKUP(G829,Lookups!$E$7:$E$11,Lookups!$F$7:$F$11,0)</f>
        <v/>
      </c>
      <c r="U829" s="32">
        <f>R829-T829</f>
        <v/>
      </c>
      <c r="V829">
        <f>XLOOKUP(I829,Lookups!$H$7:$H$10,Lookups!$I$7:$I$10,"")</f>
        <v/>
      </c>
      <c r="W829">
        <f>IF(O829&gt;=50000,"HIGH VALUE","")</f>
        <v/>
      </c>
      <c r="X829">
        <f>IF(Q829&lt;0,"LOSS","")</f>
        <v/>
      </c>
      <c r="Y829">
        <f>IFS(M829&gt;=0.15,"Deep Discount",M829&gt;=0.1,"Moderate",TRUE,"Standard")</f>
        <v/>
      </c>
    </row>
    <row r="830">
      <c r="A830">
        <f>Raw_Data!A830</f>
        <v/>
      </c>
      <c r="B830" s="29">
        <f>Raw_Data!B830</f>
        <v/>
      </c>
      <c r="C830">
        <f>YEAR(B830)</f>
        <v/>
      </c>
      <c r="D830">
        <f>MONTH(B830)</f>
        <v/>
      </c>
      <c r="E830">
        <f>TEXT(B830,"MMM-YYYY")</f>
        <v/>
      </c>
      <c r="F830">
        <f>Raw_Data!C830</f>
        <v/>
      </c>
      <c r="G830">
        <f>Raw_Data!D830</f>
        <v/>
      </c>
      <c r="H830">
        <f>Raw_Data!E830</f>
        <v/>
      </c>
      <c r="I830">
        <f>Raw_Data!F830</f>
        <v/>
      </c>
      <c r="J830">
        <f>Raw_Data!G830</f>
        <v/>
      </c>
      <c r="K830">
        <f>Raw_Data!H830</f>
        <v/>
      </c>
      <c r="L830" s="30">
        <f>Raw_Data!I830</f>
        <v/>
      </c>
      <c r="M830" s="31">
        <f>Raw_Data!J830</f>
        <v/>
      </c>
      <c r="N830" s="17">
        <f>K830*L830</f>
        <v/>
      </c>
      <c r="O830" s="17">
        <f>N830*(1-M830)</f>
        <v/>
      </c>
      <c r="P830" s="17">
        <f>Raw_Data!L830</f>
        <v/>
      </c>
      <c r="Q830" s="17">
        <f>O830-P830</f>
        <v/>
      </c>
      <c r="R830" s="31">
        <f>IF(O830=0,0,Q830/O830)</f>
        <v/>
      </c>
      <c r="S830">
        <f>XLOOKUP(F830,Lookups!$B$7:$B$11,Lookups!$C$7:$C$11,"Unknown")</f>
        <v/>
      </c>
      <c r="T830" s="31">
        <f>XLOOKUP(G830,Lookups!$E$7:$E$11,Lookups!$F$7:$F$11,0)</f>
        <v/>
      </c>
      <c r="U830" s="32">
        <f>R830-T830</f>
        <v/>
      </c>
      <c r="V830">
        <f>XLOOKUP(I830,Lookups!$H$7:$H$10,Lookups!$I$7:$I$10,"")</f>
        <v/>
      </c>
      <c r="W830">
        <f>IF(O830&gt;=50000,"HIGH VALUE","")</f>
        <v/>
      </c>
      <c r="X830">
        <f>IF(Q830&lt;0,"LOSS","")</f>
        <v/>
      </c>
      <c r="Y830">
        <f>IFS(M830&gt;=0.15,"Deep Discount",M830&gt;=0.1,"Moderate",TRUE,"Standard")</f>
        <v/>
      </c>
    </row>
    <row r="831">
      <c r="A831">
        <f>Raw_Data!A831</f>
        <v/>
      </c>
      <c r="B831" s="29">
        <f>Raw_Data!B831</f>
        <v/>
      </c>
      <c r="C831">
        <f>YEAR(B831)</f>
        <v/>
      </c>
      <c r="D831">
        <f>MONTH(B831)</f>
        <v/>
      </c>
      <c r="E831">
        <f>TEXT(B831,"MMM-YYYY")</f>
        <v/>
      </c>
      <c r="F831">
        <f>Raw_Data!C831</f>
        <v/>
      </c>
      <c r="G831">
        <f>Raw_Data!D831</f>
        <v/>
      </c>
      <c r="H831">
        <f>Raw_Data!E831</f>
        <v/>
      </c>
      <c r="I831">
        <f>Raw_Data!F831</f>
        <v/>
      </c>
      <c r="J831">
        <f>Raw_Data!G831</f>
        <v/>
      </c>
      <c r="K831">
        <f>Raw_Data!H831</f>
        <v/>
      </c>
      <c r="L831" s="30">
        <f>Raw_Data!I831</f>
        <v/>
      </c>
      <c r="M831" s="31">
        <f>Raw_Data!J831</f>
        <v/>
      </c>
      <c r="N831" s="17">
        <f>K831*L831</f>
        <v/>
      </c>
      <c r="O831" s="17">
        <f>N831*(1-M831)</f>
        <v/>
      </c>
      <c r="P831" s="17">
        <f>Raw_Data!L831</f>
        <v/>
      </c>
      <c r="Q831" s="17">
        <f>O831-P831</f>
        <v/>
      </c>
      <c r="R831" s="31">
        <f>IF(O831=0,0,Q831/O831)</f>
        <v/>
      </c>
      <c r="S831">
        <f>XLOOKUP(F831,Lookups!$B$7:$B$11,Lookups!$C$7:$C$11,"Unknown")</f>
        <v/>
      </c>
      <c r="T831" s="31">
        <f>XLOOKUP(G831,Lookups!$E$7:$E$11,Lookups!$F$7:$F$11,0)</f>
        <v/>
      </c>
      <c r="U831" s="32">
        <f>R831-T831</f>
        <v/>
      </c>
      <c r="V831">
        <f>XLOOKUP(I831,Lookups!$H$7:$H$10,Lookups!$I$7:$I$10,"")</f>
        <v/>
      </c>
      <c r="W831">
        <f>IF(O831&gt;=50000,"HIGH VALUE","")</f>
        <v/>
      </c>
      <c r="X831">
        <f>IF(Q831&lt;0,"LOSS","")</f>
        <v/>
      </c>
      <c r="Y831">
        <f>IFS(M831&gt;=0.15,"Deep Discount",M831&gt;=0.1,"Moderate",TRUE,"Standard")</f>
        <v/>
      </c>
    </row>
    <row r="832">
      <c r="A832">
        <f>Raw_Data!A832</f>
        <v/>
      </c>
      <c r="B832" s="29">
        <f>Raw_Data!B832</f>
        <v/>
      </c>
      <c r="C832">
        <f>YEAR(B832)</f>
        <v/>
      </c>
      <c r="D832">
        <f>MONTH(B832)</f>
        <v/>
      </c>
      <c r="E832">
        <f>TEXT(B832,"MMM-YYYY")</f>
        <v/>
      </c>
      <c r="F832">
        <f>Raw_Data!C832</f>
        <v/>
      </c>
      <c r="G832">
        <f>Raw_Data!D832</f>
        <v/>
      </c>
      <c r="H832">
        <f>Raw_Data!E832</f>
        <v/>
      </c>
      <c r="I832">
        <f>Raw_Data!F832</f>
        <v/>
      </c>
      <c r="J832">
        <f>Raw_Data!G832</f>
        <v/>
      </c>
      <c r="K832">
        <f>Raw_Data!H832</f>
        <v/>
      </c>
      <c r="L832" s="30">
        <f>Raw_Data!I832</f>
        <v/>
      </c>
      <c r="M832" s="31">
        <f>Raw_Data!J832</f>
        <v/>
      </c>
      <c r="N832" s="17">
        <f>K832*L832</f>
        <v/>
      </c>
      <c r="O832" s="17">
        <f>N832*(1-M832)</f>
        <v/>
      </c>
      <c r="P832" s="17">
        <f>Raw_Data!L832</f>
        <v/>
      </c>
      <c r="Q832" s="17">
        <f>O832-P832</f>
        <v/>
      </c>
      <c r="R832" s="31">
        <f>IF(O832=0,0,Q832/O832)</f>
        <v/>
      </c>
      <c r="S832">
        <f>XLOOKUP(F832,Lookups!$B$7:$B$11,Lookups!$C$7:$C$11,"Unknown")</f>
        <v/>
      </c>
      <c r="T832" s="31">
        <f>XLOOKUP(G832,Lookups!$E$7:$E$11,Lookups!$F$7:$F$11,0)</f>
        <v/>
      </c>
      <c r="U832" s="32">
        <f>R832-T832</f>
        <v/>
      </c>
      <c r="V832">
        <f>XLOOKUP(I832,Lookups!$H$7:$H$10,Lookups!$I$7:$I$10,"")</f>
        <v/>
      </c>
      <c r="W832">
        <f>IF(O832&gt;=50000,"HIGH VALUE","")</f>
        <v/>
      </c>
      <c r="X832">
        <f>IF(Q832&lt;0,"LOSS","")</f>
        <v/>
      </c>
      <c r="Y832">
        <f>IFS(M832&gt;=0.15,"Deep Discount",M832&gt;=0.1,"Moderate",TRUE,"Standard")</f>
        <v/>
      </c>
    </row>
    <row r="833">
      <c r="A833">
        <f>Raw_Data!A833</f>
        <v/>
      </c>
      <c r="B833" s="29">
        <f>Raw_Data!B833</f>
        <v/>
      </c>
      <c r="C833">
        <f>YEAR(B833)</f>
        <v/>
      </c>
      <c r="D833">
        <f>MONTH(B833)</f>
        <v/>
      </c>
      <c r="E833">
        <f>TEXT(B833,"MMM-YYYY")</f>
        <v/>
      </c>
      <c r="F833">
        <f>Raw_Data!C833</f>
        <v/>
      </c>
      <c r="G833">
        <f>Raw_Data!D833</f>
        <v/>
      </c>
      <c r="H833">
        <f>Raw_Data!E833</f>
        <v/>
      </c>
      <c r="I833">
        <f>Raw_Data!F833</f>
        <v/>
      </c>
      <c r="J833">
        <f>Raw_Data!G833</f>
        <v/>
      </c>
      <c r="K833">
        <f>Raw_Data!H833</f>
        <v/>
      </c>
      <c r="L833" s="30">
        <f>Raw_Data!I833</f>
        <v/>
      </c>
      <c r="M833" s="31">
        <f>Raw_Data!J833</f>
        <v/>
      </c>
      <c r="N833" s="17">
        <f>K833*L833</f>
        <v/>
      </c>
      <c r="O833" s="17">
        <f>N833*(1-M833)</f>
        <v/>
      </c>
      <c r="P833" s="17">
        <f>Raw_Data!L833</f>
        <v/>
      </c>
      <c r="Q833" s="17">
        <f>O833-P833</f>
        <v/>
      </c>
      <c r="R833" s="31">
        <f>IF(O833=0,0,Q833/O833)</f>
        <v/>
      </c>
      <c r="S833">
        <f>XLOOKUP(F833,Lookups!$B$7:$B$11,Lookups!$C$7:$C$11,"Unknown")</f>
        <v/>
      </c>
      <c r="T833" s="31">
        <f>XLOOKUP(G833,Lookups!$E$7:$E$11,Lookups!$F$7:$F$11,0)</f>
        <v/>
      </c>
      <c r="U833" s="32">
        <f>R833-T833</f>
        <v/>
      </c>
      <c r="V833">
        <f>XLOOKUP(I833,Lookups!$H$7:$H$10,Lookups!$I$7:$I$10,"")</f>
        <v/>
      </c>
      <c r="W833">
        <f>IF(O833&gt;=50000,"HIGH VALUE","")</f>
        <v/>
      </c>
      <c r="X833">
        <f>IF(Q833&lt;0,"LOSS","")</f>
        <v/>
      </c>
      <c r="Y833">
        <f>IFS(M833&gt;=0.15,"Deep Discount",M833&gt;=0.1,"Moderate",TRUE,"Standard")</f>
        <v/>
      </c>
    </row>
    <row r="834">
      <c r="A834">
        <f>Raw_Data!A834</f>
        <v/>
      </c>
      <c r="B834" s="29">
        <f>Raw_Data!B834</f>
        <v/>
      </c>
      <c r="C834">
        <f>YEAR(B834)</f>
        <v/>
      </c>
      <c r="D834">
        <f>MONTH(B834)</f>
        <v/>
      </c>
      <c r="E834">
        <f>TEXT(B834,"MMM-YYYY")</f>
        <v/>
      </c>
      <c r="F834">
        <f>Raw_Data!C834</f>
        <v/>
      </c>
      <c r="G834">
        <f>Raw_Data!D834</f>
        <v/>
      </c>
      <c r="H834">
        <f>Raw_Data!E834</f>
        <v/>
      </c>
      <c r="I834">
        <f>Raw_Data!F834</f>
        <v/>
      </c>
      <c r="J834">
        <f>Raw_Data!G834</f>
        <v/>
      </c>
      <c r="K834">
        <f>Raw_Data!H834</f>
        <v/>
      </c>
      <c r="L834" s="30">
        <f>Raw_Data!I834</f>
        <v/>
      </c>
      <c r="M834" s="31">
        <f>Raw_Data!J834</f>
        <v/>
      </c>
      <c r="N834" s="17">
        <f>K834*L834</f>
        <v/>
      </c>
      <c r="O834" s="17">
        <f>N834*(1-M834)</f>
        <v/>
      </c>
      <c r="P834" s="17">
        <f>Raw_Data!L834</f>
        <v/>
      </c>
      <c r="Q834" s="17">
        <f>O834-P834</f>
        <v/>
      </c>
      <c r="R834" s="31">
        <f>IF(O834=0,0,Q834/O834)</f>
        <v/>
      </c>
      <c r="S834">
        <f>XLOOKUP(F834,Lookups!$B$7:$B$11,Lookups!$C$7:$C$11,"Unknown")</f>
        <v/>
      </c>
      <c r="T834" s="31">
        <f>XLOOKUP(G834,Lookups!$E$7:$E$11,Lookups!$F$7:$F$11,0)</f>
        <v/>
      </c>
      <c r="U834" s="32">
        <f>R834-T834</f>
        <v/>
      </c>
      <c r="V834">
        <f>XLOOKUP(I834,Lookups!$H$7:$H$10,Lookups!$I$7:$I$10,"")</f>
        <v/>
      </c>
      <c r="W834">
        <f>IF(O834&gt;=50000,"HIGH VALUE","")</f>
        <v/>
      </c>
      <c r="X834">
        <f>IF(Q834&lt;0,"LOSS","")</f>
        <v/>
      </c>
      <c r="Y834">
        <f>IFS(M834&gt;=0.15,"Deep Discount",M834&gt;=0.1,"Moderate",TRUE,"Standard")</f>
        <v/>
      </c>
    </row>
    <row r="835">
      <c r="A835">
        <f>Raw_Data!A835</f>
        <v/>
      </c>
      <c r="B835" s="29">
        <f>Raw_Data!B835</f>
        <v/>
      </c>
      <c r="C835">
        <f>YEAR(B835)</f>
        <v/>
      </c>
      <c r="D835">
        <f>MONTH(B835)</f>
        <v/>
      </c>
      <c r="E835">
        <f>TEXT(B835,"MMM-YYYY")</f>
        <v/>
      </c>
      <c r="F835">
        <f>Raw_Data!C835</f>
        <v/>
      </c>
      <c r="G835">
        <f>Raw_Data!D835</f>
        <v/>
      </c>
      <c r="H835">
        <f>Raw_Data!E835</f>
        <v/>
      </c>
      <c r="I835">
        <f>Raw_Data!F835</f>
        <v/>
      </c>
      <c r="J835">
        <f>Raw_Data!G835</f>
        <v/>
      </c>
      <c r="K835">
        <f>Raw_Data!H835</f>
        <v/>
      </c>
      <c r="L835" s="30">
        <f>Raw_Data!I835</f>
        <v/>
      </c>
      <c r="M835" s="31">
        <f>Raw_Data!J835</f>
        <v/>
      </c>
      <c r="N835" s="17">
        <f>K835*L835</f>
        <v/>
      </c>
      <c r="O835" s="17">
        <f>N835*(1-M835)</f>
        <v/>
      </c>
      <c r="P835" s="17">
        <f>Raw_Data!L835</f>
        <v/>
      </c>
      <c r="Q835" s="17">
        <f>O835-P835</f>
        <v/>
      </c>
      <c r="R835" s="31">
        <f>IF(O835=0,0,Q835/O835)</f>
        <v/>
      </c>
      <c r="S835">
        <f>XLOOKUP(F835,Lookups!$B$7:$B$11,Lookups!$C$7:$C$11,"Unknown")</f>
        <v/>
      </c>
      <c r="T835" s="31">
        <f>XLOOKUP(G835,Lookups!$E$7:$E$11,Lookups!$F$7:$F$11,0)</f>
        <v/>
      </c>
      <c r="U835" s="32">
        <f>R835-T835</f>
        <v/>
      </c>
      <c r="V835">
        <f>XLOOKUP(I835,Lookups!$H$7:$H$10,Lookups!$I$7:$I$10,"")</f>
        <v/>
      </c>
      <c r="W835">
        <f>IF(O835&gt;=50000,"HIGH VALUE","")</f>
        <v/>
      </c>
      <c r="X835">
        <f>IF(Q835&lt;0,"LOSS","")</f>
        <v/>
      </c>
      <c r="Y835">
        <f>IFS(M835&gt;=0.15,"Deep Discount",M835&gt;=0.1,"Moderate",TRUE,"Standard")</f>
        <v/>
      </c>
    </row>
    <row r="836">
      <c r="A836">
        <f>Raw_Data!A836</f>
        <v/>
      </c>
      <c r="B836" s="29">
        <f>Raw_Data!B836</f>
        <v/>
      </c>
      <c r="C836">
        <f>YEAR(B836)</f>
        <v/>
      </c>
      <c r="D836">
        <f>MONTH(B836)</f>
        <v/>
      </c>
      <c r="E836">
        <f>TEXT(B836,"MMM-YYYY")</f>
        <v/>
      </c>
      <c r="F836">
        <f>Raw_Data!C836</f>
        <v/>
      </c>
      <c r="G836">
        <f>Raw_Data!D836</f>
        <v/>
      </c>
      <c r="H836">
        <f>Raw_Data!E836</f>
        <v/>
      </c>
      <c r="I836">
        <f>Raw_Data!F836</f>
        <v/>
      </c>
      <c r="J836">
        <f>Raw_Data!G836</f>
        <v/>
      </c>
      <c r="K836">
        <f>Raw_Data!H836</f>
        <v/>
      </c>
      <c r="L836" s="30">
        <f>Raw_Data!I836</f>
        <v/>
      </c>
      <c r="M836" s="31">
        <f>Raw_Data!J836</f>
        <v/>
      </c>
      <c r="N836" s="17">
        <f>K836*L836</f>
        <v/>
      </c>
      <c r="O836" s="17">
        <f>N836*(1-M836)</f>
        <v/>
      </c>
      <c r="P836" s="17">
        <f>Raw_Data!L836</f>
        <v/>
      </c>
      <c r="Q836" s="17">
        <f>O836-P836</f>
        <v/>
      </c>
      <c r="R836" s="31">
        <f>IF(O836=0,0,Q836/O836)</f>
        <v/>
      </c>
      <c r="S836">
        <f>XLOOKUP(F836,Lookups!$B$7:$B$11,Lookups!$C$7:$C$11,"Unknown")</f>
        <v/>
      </c>
      <c r="T836" s="31">
        <f>XLOOKUP(G836,Lookups!$E$7:$E$11,Lookups!$F$7:$F$11,0)</f>
        <v/>
      </c>
      <c r="U836" s="32">
        <f>R836-T836</f>
        <v/>
      </c>
      <c r="V836">
        <f>XLOOKUP(I836,Lookups!$H$7:$H$10,Lookups!$I$7:$I$10,"")</f>
        <v/>
      </c>
      <c r="W836">
        <f>IF(O836&gt;=50000,"HIGH VALUE","")</f>
        <v/>
      </c>
      <c r="X836">
        <f>IF(Q836&lt;0,"LOSS","")</f>
        <v/>
      </c>
      <c r="Y836">
        <f>IFS(M836&gt;=0.15,"Deep Discount",M836&gt;=0.1,"Moderate",TRUE,"Standard")</f>
        <v/>
      </c>
    </row>
    <row r="837">
      <c r="A837">
        <f>Raw_Data!A837</f>
        <v/>
      </c>
      <c r="B837" s="29">
        <f>Raw_Data!B837</f>
        <v/>
      </c>
      <c r="C837">
        <f>YEAR(B837)</f>
        <v/>
      </c>
      <c r="D837">
        <f>MONTH(B837)</f>
        <v/>
      </c>
      <c r="E837">
        <f>TEXT(B837,"MMM-YYYY")</f>
        <v/>
      </c>
      <c r="F837">
        <f>Raw_Data!C837</f>
        <v/>
      </c>
      <c r="G837">
        <f>Raw_Data!D837</f>
        <v/>
      </c>
      <c r="H837">
        <f>Raw_Data!E837</f>
        <v/>
      </c>
      <c r="I837">
        <f>Raw_Data!F837</f>
        <v/>
      </c>
      <c r="J837">
        <f>Raw_Data!G837</f>
        <v/>
      </c>
      <c r="K837">
        <f>Raw_Data!H837</f>
        <v/>
      </c>
      <c r="L837" s="30">
        <f>Raw_Data!I837</f>
        <v/>
      </c>
      <c r="M837" s="31">
        <f>Raw_Data!J837</f>
        <v/>
      </c>
      <c r="N837" s="17">
        <f>K837*L837</f>
        <v/>
      </c>
      <c r="O837" s="17">
        <f>N837*(1-M837)</f>
        <v/>
      </c>
      <c r="P837" s="17">
        <f>Raw_Data!L837</f>
        <v/>
      </c>
      <c r="Q837" s="17">
        <f>O837-P837</f>
        <v/>
      </c>
      <c r="R837" s="31">
        <f>IF(O837=0,0,Q837/O837)</f>
        <v/>
      </c>
      <c r="S837">
        <f>XLOOKUP(F837,Lookups!$B$7:$B$11,Lookups!$C$7:$C$11,"Unknown")</f>
        <v/>
      </c>
      <c r="T837" s="31">
        <f>XLOOKUP(G837,Lookups!$E$7:$E$11,Lookups!$F$7:$F$11,0)</f>
        <v/>
      </c>
      <c r="U837" s="32">
        <f>R837-T837</f>
        <v/>
      </c>
      <c r="V837">
        <f>XLOOKUP(I837,Lookups!$H$7:$H$10,Lookups!$I$7:$I$10,"")</f>
        <v/>
      </c>
      <c r="W837">
        <f>IF(O837&gt;=50000,"HIGH VALUE","")</f>
        <v/>
      </c>
      <c r="X837">
        <f>IF(Q837&lt;0,"LOSS","")</f>
        <v/>
      </c>
      <c r="Y837">
        <f>IFS(M837&gt;=0.15,"Deep Discount",M837&gt;=0.1,"Moderate",TRUE,"Standard")</f>
        <v/>
      </c>
    </row>
    <row r="838">
      <c r="A838">
        <f>Raw_Data!A838</f>
        <v/>
      </c>
      <c r="B838" s="29">
        <f>Raw_Data!B838</f>
        <v/>
      </c>
      <c r="C838">
        <f>YEAR(B838)</f>
        <v/>
      </c>
      <c r="D838">
        <f>MONTH(B838)</f>
        <v/>
      </c>
      <c r="E838">
        <f>TEXT(B838,"MMM-YYYY")</f>
        <v/>
      </c>
      <c r="F838">
        <f>Raw_Data!C838</f>
        <v/>
      </c>
      <c r="G838">
        <f>Raw_Data!D838</f>
        <v/>
      </c>
      <c r="H838">
        <f>Raw_Data!E838</f>
        <v/>
      </c>
      <c r="I838">
        <f>Raw_Data!F838</f>
        <v/>
      </c>
      <c r="J838">
        <f>Raw_Data!G838</f>
        <v/>
      </c>
      <c r="K838">
        <f>Raw_Data!H838</f>
        <v/>
      </c>
      <c r="L838" s="30">
        <f>Raw_Data!I838</f>
        <v/>
      </c>
      <c r="M838" s="31">
        <f>Raw_Data!J838</f>
        <v/>
      </c>
      <c r="N838" s="17">
        <f>K838*L838</f>
        <v/>
      </c>
      <c r="O838" s="17">
        <f>N838*(1-M838)</f>
        <v/>
      </c>
      <c r="P838" s="17">
        <f>Raw_Data!L838</f>
        <v/>
      </c>
      <c r="Q838" s="17">
        <f>O838-P838</f>
        <v/>
      </c>
      <c r="R838" s="31">
        <f>IF(O838=0,0,Q838/O838)</f>
        <v/>
      </c>
      <c r="S838">
        <f>XLOOKUP(F838,Lookups!$B$7:$B$11,Lookups!$C$7:$C$11,"Unknown")</f>
        <v/>
      </c>
      <c r="T838" s="31">
        <f>XLOOKUP(G838,Lookups!$E$7:$E$11,Lookups!$F$7:$F$11,0)</f>
        <v/>
      </c>
      <c r="U838" s="32">
        <f>R838-T838</f>
        <v/>
      </c>
      <c r="V838">
        <f>XLOOKUP(I838,Lookups!$H$7:$H$10,Lookups!$I$7:$I$10,"")</f>
        <v/>
      </c>
      <c r="W838">
        <f>IF(O838&gt;=50000,"HIGH VALUE","")</f>
        <v/>
      </c>
      <c r="X838">
        <f>IF(Q838&lt;0,"LOSS","")</f>
        <v/>
      </c>
      <c r="Y838">
        <f>IFS(M838&gt;=0.15,"Deep Discount",M838&gt;=0.1,"Moderate",TRUE,"Standard")</f>
        <v/>
      </c>
    </row>
    <row r="839">
      <c r="A839">
        <f>Raw_Data!A839</f>
        <v/>
      </c>
      <c r="B839" s="29">
        <f>Raw_Data!B839</f>
        <v/>
      </c>
      <c r="C839">
        <f>YEAR(B839)</f>
        <v/>
      </c>
      <c r="D839">
        <f>MONTH(B839)</f>
        <v/>
      </c>
      <c r="E839">
        <f>TEXT(B839,"MMM-YYYY")</f>
        <v/>
      </c>
      <c r="F839">
        <f>Raw_Data!C839</f>
        <v/>
      </c>
      <c r="G839">
        <f>Raw_Data!D839</f>
        <v/>
      </c>
      <c r="H839">
        <f>Raw_Data!E839</f>
        <v/>
      </c>
      <c r="I839">
        <f>Raw_Data!F839</f>
        <v/>
      </c>
      <c r="J839">
        <f>Raw_Data!G839</f>
        <v/>
      </c>
      <c r="K839">
        <f>Raw_Data!H839</f>
        <v/>
      </c>
      <c r="L839" s="30">
        <f>Raw_Data!I839</f>
        <v/>
      </c>
      <c r="M839" s="31">
        <f>Raw_Data!J839</f>
        <v/>
      </c>
      <c r="N839" s="17">
        <f>K839*L839</f>
        <v/>
      </c>
      <c r="O839" s="17">
        <f>N839*(1-M839)</f>
        <v/>
      </c>
      <c r="P839" s="17">
        <f>Raw_Data!L839</f>
        <v/>
      </c>
      <c r="Q839" s="17">
        <f>O839-P839</f>
        <v/>
      </c>
      <c r="R839" s="31">
        <f>IF(O839=0,0,Q839/O839)</f>
        <v/>
      </c>
      <c r="S839">
        <f>XLOOKUP(F839,Lookups!$B$7:$B$11,Lookups!$C$7:$C$11,"Unknown")</f>
        <v/>
      </c>
      <c r="T839" s="31">
        <f>XLOOKUP(G839,Lookups!$E$7:$E$11,Lookups!$F$7:$F$11,0)</f>
        <v/>
      </c>
      <c r="U839" s="32">
        <f>R839-T839</f>
        <v/>
      </c>
      <c r="V839">
        <f>XLOOKUP(I839,Lookups!$H$7:$H$10,Lookups!$I$7:$I$10,"")</f>
        <v/>
      </c>
      <c r="W839">
        <f>IF(O839&gt;=50000,"HIGH VALUE","")</f>
        <v/>
      </c>
      <c r="X839">
        <f>IF(Q839&lt;0,"LOSS","")</f>
        <v/>
      </c>
      <c r="Y839">
        <f>IFS(M839&gt;=0.15,"Deep Discount",M839&gt;=0.1,"Moderate",TRUE,"Standard")</f>
        <v/>
      </c>
    </row>
    <row r="840">
      <c r="A840">
        <f>Raw_Data!A840</f>
        <v/>
      </c>
      <c r="B840" s="29">
        <f>Raw_Data!B840</f>
        <v/>
      </c>
      <c r="C840">
        <f>YEAR(B840)</f>
        <v/>
      </c>
      <c r="D840">
        <f>MONTH(B840)</f>
        <v/>
      </c>
      <c r="E840">
        <f>TEXT(B840,"MMM-YYYY")</f>
        <v/>
      </c>
      <c r="F840">
        <f>Raw_Data!C840</f>
        <v/>
      </c>
      <c r="G840">
        <f>Raw_Data!D840</f>
        <v/>
      </c>
      <c r="H840">
        <f>Raw_Data!E840</f>
        <v/>
      </c>
      <c r="I840">
        <f>Raw_Data!F840</f>
        <v/>
      </c>
      <c r="J840">
        <f>Raw_Data!G840</f>
        <v/>
      </c>
      <c r="K840">
        <f>Raw_Data!H840</f>
        <v/>
      </c>
      <c r="L840" s="30">
        <f>Raw_Data!I840</f>
        <v/>
      </c>
      <c r="M840" s="31">
        <f>Raw_Data!J840</f>
        <v/>
      </c>
      <c r="N840" s="17">
        <f>K840*L840</f>
        <v/>
      </c>
      <c r="O840" s="17">
        <f>N840*(1-M840)</f>
        <v/>
      </c>
      <c r="P840" s="17">
        <f>Raw_Data!L840</f>
        <v/>
      </c>
      <c r="Q840" s="17">
        <f>O840-P840</f>
        <v/>
      </c>
      <c r="R840" s="31">
        <f>IF(O840=0,0,Q840/O840)</f>
        <v/>
      </c>
      <c r="S840">
        <f>XLOOKUP(F840,Lookups!$B$7:$B$11,Lookups!$C$7:$C$11,"Unknown")</f>
        <v/>
      </c>
      <c r="T840" s="31">
        <f>XLOOKUP(G840,Lookups!$E$7:$E$11,Lookups!$F$7:$F$11,0)</f>
        <v/>
      </c>
      <c r="U840" s="32">
        <f>R840-T840</f>
        <v/>
      </c>
      <c r="V840">
        <f>XLOOKUP(I840,Lookups!$H$7:$H$10,Lookups!$I$7:$I$10,"")</f>
        <v/>
      </c>
      <c r="W840">
        <f>IF(O840&gt;=50000,"HIGH VALUE","")</f>
        <v/>
      </c>
      <c r="X840">
        <f>IF(Q840&lt;0,"LOSS","")</f>
        <v/>
      </c>
      <c r="Y840">
        <f>IFS(M840&gt;=0.15,"Deep Discount",M840&gt;=0.1,"Moderate",TRUE,"Standard")</f>
        <v/>
      </c>
    </row>
    <row r="841">
      <c r="A841">
        <f>Raw_Data!A841</f>
        <v/>
      </c>
      <c r="B841" s="29">
        <f>Raw_Data!B841</f>
        <v/>
      </c>
      <c r="C841">
        <f>YEAR(B841)</f>
        <v/>
      </c>
      <c r="D841">
        <f>MONTH(B841)</f>
        <v/>
      </c>
      <c r="E841">
        <f>TEXT(B841,"MMM-YYYY")</f>
        <v/>
      </c>
      <c r="F841">
        <f>Raw_Data!C841</f>
        <v/>
      </c>
      <c r="G841">
        <f>Raw_Data!D841</f>
        <v/>
      </c>
      <c r="H841">
        <f>Raw_Data!E841</f>
        <v/>
      </c>
      <c r="I841">
        <f>Raw_Data!F841</f>
        <v/>
      </c>
      <c r="J841">
        <f>Raw_Data!G841</f>
        <v/>
      </c>
      <c r="K841">
        <f>Raw_Data!H841</f>
        <v/>
      </c>
      <c r="L841" s="30">
        <f>Raw_Data!I841</f>
        <v/>
      </c>
      <c r="M841" s="31">
        <f>Raw_Data!J841</f>
        <v/>
      </c>
      <c r="N841" s="17">
        <f>K841*L841</f>
        <v/>
      </c>
      <c r="O841" s="17">
        <f>N841*(1-M841)</f>
        <v/>
      </c>
      <c r="P841" s="17">
        <f>Raw_Data!L841</f>
        <v/>
      </c>
      <c r="Q841" s="17">
        <f>O841-P841</f>
        <v/>
      </c>
      <c r="R841" s="31">
        <f>IF(O841=0,0,Q841/O841)</f>
        <v/>
      </c>
      <c r="S841">
        <f>XLOOKUP(F841,Lookups!$B$7:$B$11,Lookups!$C$7:$C$11,"Unknown")</f>
        <v/>
      </c>
      <c r="T841" s="31">
        <f>XLOOKUP(G841,Lookups!$E$7:$E$11,Lookups!$F$7:$F$11,0)</f>
        <v/>
      </c>
      <c r="U841" s="32">
        <f>R841-T841</f>
        <v/>
      </c>
      <c r="V841">
        <f>XLOOKUP(I841,Lookups!$H$7:$H$10,Lookups!$I$7:$I$10,"")</f>
        <v/>
      </c>
      <c r="W841">
        <f>IF(O841&gt;=50000,"HIGH VALUE","")</f>
        <v/>
      </c>
      <c r="X841">
        <f>IF(Q841&lt;0,"LOSS","")</f>
        <v/>
      </c>
      <c r="Y841">
        <f>IFS(M841&gt;=0.15,"Deep Discount",M841&gt;=0.1,"Moderate",TRUE,"Standard")</f>
        <v/>
      </c>
    </row>
    <row r="842">
      <c r="A842">
        <f>Raw_Data!A842</f>
        <v/>
      </c>
      <c r="B842" s="29">
        <f>Raw_Data!B842</f>
        <v/>
      </c>
      <c r="C842">
        <f>YEAR(B842)</f>
        <v/>
      </c>
      <c r="D842">
        <f>MONTH(B842)</f>
        <v/>
      </c>
      <c r="E842">
        <f>TEXT(B842,"MMM-YYYY")</f>
        <v/>
      </c>
      <c r="F842">
        <f>Raw_Data!C842</f>
        <v/>
      </c>
      <c r="G842">
        <f>Raw_Data!D842</f>
        <v/>
      </c>
      <c r="H842">
        <f>Raw_Data!E842</f>
        <v/>
      </c>
      <c r="I842">
        <f>Raw_Data!F842</f>
        <v/>
      </c>
      <c r="J842">
        <f>Raw_Data!G842</f>
        <v/>
      </c>
      <c r="K842">
        <f>Raw_Data!H842</f>
        <v/>
      </c>
      <c r="L842" s="30">
        <f>Raw_Data!I842</f>
        <v/>
      </c>
      <c r="M842" s="31">
        <f>Raw_Data!J842</f>
        <v/>
      </c>
      <c r="N842" s="17">
        <f>K842*L842</f>
        <v/>
      </c>
      <c r="O842" s="17">
        <f>N842*(1-M842)</f>
        <v/>
      </c>
      <c r="P842" s="17">
        <f>Raw_Data!L842</f>
        <v/>
      </c>
      <c r="Q842" s="17">
        <f>O842-P842</f>
        <v/>
      </c>
      <c r="R842" s="31">
        <f>IF(O842=0,0,Q842/O842)</f>
        <v/>
      </c>
      <c r="S842">
        <f>XLOOKUP(F842,Lookups!$B$7:$B$11,Lookups!$C$7:$C$11,"Unknown")</f>
        <v/>
      </c>
      <c r="T842" s="31">
        <f>XLOOKUP(G842,Lookups!$E$7:$E$11,Lookups!$F$7:$F$11,0)</f>
        <v/>
      </c>
      <c r="U842" s="32">
        <f>R842-T842</f>
        <v/>
      </c>
      <c r="V842">
        <f>XLOOKUP(I842,Lookups!$H$7:$H$10,Lookups!$I$7:$I$10,"")</f>
        <v/>
      </c>
      <c r="W842">
        <f>IF(O842&gt;=50000,"HIGH VALUE","")</f>
        <v/>
      </c>
      <c r="X842">
        <f>IF(Q842&lt;0,"LOSS","")</f>
        <v/>
      </c>
      <c r="Y842">
        <f>IFS(M842&gt;=0.15,"Deep Discount",M842&gt;=0.1,"Moderate",TRUE,"Standard")</f>
        <v/>
      </c>
    </row>
    <row r="843">
      <c r="A843">
        <f>Raw_Data!A843</f>
        <v/>
      </c>
      <c r="B843" s="29">
        <f>Raw_Data!B843</f>
        <v/>
      </c>
      <c r="C843">
        <f>YEAR(B843)</f>
        <v/>
      </c>
      <c r="D843">
        <f>MONTH(B843)</f>
        <v/>
      </c>
      <c r="E843">
        <f>TEXT(B843,"MMM-YYYY")</f>
        <v/>
      </c>
      <c r="F843">
        <f>Raw_Data!C843</f>
        <v/>
      </c>
      <c r="G843">
        <f>Raw_Data!D843</f>
        <v/>
      </c>
      <c r="H843">
        <f>Raw_Data!E843</f>
        <v/>
      </c>
      <c r="I843">
        <f>Raw_Data!F843</f>
        <v/>
      </c>
      <c r="J843">
        <f>Raw_Data!G843</f>
        <v/>
      </c>
      <c r="K843">
        <f>Raw_Data!H843</f>
        <v/>
      </c>
      <c r="L843" s="30">
        <f>Raw_Data!I843</f>
        <v/>
      </c>
      <c r="M843" s="31">
        <f>Raw_Data!J843</f>
        <v/>
      </c>
      <c r="N843" s="17">
        <f>K843*L843</f>
        <v/>
      </c>
      <c r="O843" s="17">
        <f>N843*(1-M843)</f>
        <v/>
      </c>
      <c r="P843" s="17">
        <f>Raw_Data!L843</f>
        <v/>
      </c>
      <c r="Q843" s="17">
        <f>O843-P843</f>
        <v/>
      </c>
      <c r="R843" s="31">
        <f>IF(O843=0,0,Q843/O843)</f>
        <v/>
      </c>
      <c r="S843">
        <f>XLOOKUP(F843,Lookups!$B$7:$B$11,Lookups!$C$7:$C$11,"Unknown")</f>
        <v/>
      </c>
      <c r="T843" s="31">
        <f>XLOOKUP(G843,Lookups!$E$7:$E$11,Lookups!$F$7:$F$11,0)</f>
        <v/>
      </c>
      <c r="U843" s="32">
        <f>R843-T843</f>
        <v/>
      </c>
      <c r="V843">
        <f>XLOOKUP(I843,Lookups!$H$7:$H$10,Lookups!$I$7:$I$10,"")</f>
        <v/>
      </c>
      <c r="W843">
        <f>IF(O843&gt;=50000,"HIGH VALUE","")</f>
        <v/>
      </c>
      <c r="X843">
        <f>IF(Q843&lt;0,"LOSS","")</f>
        <v/>
      </c>
      <c r="Y843">
        <f>IFS(M843&gt;=0.15,"Deep Discount",M843&gt;=0.1,"Moderate",TRUE,"Standard")</f>
        <v/>
      </c>
    </row>
    <row r="844">
      <c r="A844">
        <f>Raw_Data!A844</f>
        <v/>
      </c>
      <c r="B844" s="29">
        <f>Raw_Data!B844</f>
        <v/>
      </c>
      <c r="C844">
        <f>YEAR(B844)</f>
        <v/>
      </c>
      <c r="D844">
        <f>MONTH(B844)</f>
        <v/>
      </c>
      <c r="E844">
        <f>TEXT(B844,"MMM-YYYY")</f>
        <v/>
      </c>
      <c r="F844">
        <f>Raw_Data!C844</f>
        <v/>
      </c>
      <c r="G844">
        <f>Raw_Data!D844</f>
        <v/>
      </c>
      <c r="H844">
        <f>Raw_Data!E844</f>
        <v/>
      </c>
      <c r="I844">
        <f>Raw_Data!F844</f>
        <v/>
      </c>
      <c r="J844">
        <f>Raw_Data!G844</f>
        <v/>
      </c>
      <c r="K844">
        <f>Raw_Data!H844</f>
        <v/>
      </c>
      <c r="L844" s="30">
        <f>Raw_Data!I844</f>
        <v/>
      </c>
      <c r="M844" s="31">
        <f>Raw_Data!J844</f>
        <v/>
      </c>
      <c r="N844" s="17">
        <f>K844*L844</f>
        <v/>
      </c>
      <c r="O844" s="17">
        <f>N844*(1-M844)</f>
        <v/>
      </c>
      <c r="P844" s="17">
        <f>Raw_Data!L844</f>
        <v/>
      </c>
      <c r="Q844" s="17">
        <f>O844-P844</f>
        <v/>
      </c>
      <c r="R844" s="31">
        <f>IF(O844=0,0,Q844/O844)</f>
        <v/>
      </c>
      <c r="S844">
        <f>XLOOKUP(F844,Lookups!$B$7:$B$11,Lookups!$C$7:$C$11,"Unknown")</f>
        <v/>
      </c>
      <c r="T844" s="31">
        <f>XLOOKUP(G844,Lookups!$E$7:$E$11,Lookups!$F$7:$F$11,0)</f>
        <v/>
      </c>
      <c r="U844" s="32">
        <f>R844-T844</f>
        <v/>
      </c>
      <c r="V844">
        <f>XLOOKUP(I844,Lookups!$H$7:$H$10,Lookups!$I$7:$I$10,"")</f>
        <v/>
      </c>
      <c r="W844">
        <f>IF(O844&gt;=50000,"HIGH VALUE","")</f>
        <v/>
      </c>
      <c r="X844">
        <f>IF(Q844&lt;0,"LOSS","")</f>
        <v/>
      </c>
      <c r="Y844">
        <f>IFS(M844&gt;=0.15,"Deep Discount",M844&gt;=0.1,"Moderate",TRUE,"Standard")</f>
        <v/>
      </c>
    </row>
    <row r="845">
      <c r="A845">
        <f>Raw_Data!A845</f>
        <v/>
      </c>
      <c r="B845" s="29">
        <f>Raw_Data!B845</f>
        <v/>
      </c>
      <c r="C845">
        <f>YEAR(B845)</f>
        <v/>
      </c>
      <c r="D845">
        <f>MONTH(B845)</f>
        <v/>
      </c>
      <c r="E845">
        <f>TEXT(B845,"MMM-YYYY")</f>
        <v/>
      </c>
      <c r="F845">
        <f>Raw_Data!C845</f>
        <v/>
      </c>
      <c r="G845">
        <f>Raw_Data!D845</f>
        <v/>
      </c>
      <c r="H845">
        <f>Raw_Data!E845</f>
        <v/>
      </c>
      <c r="I845">
        <f>Raw_Data!F845</f>
        <v/>
      </c>
      <c r="J845">
        <f>Raw_Data!G845</f>
        <v/>
      </c>
      <c r="K845">
        <f>Raw_Data!H845</f>
        <v/>
      </c>
      <c r="L845" s="30">
        <f>Raw_Data!I845</f>
        <v/>
      </c>
      <c r="M845" s="31">
        <f>Raw_Data!J845</f>
        <v/>
      </c>
      <c r="N845" s="17">
        <f>K845*L845</f>
        <v/>
      </c>
      <c r="O845" s="17">
        <f>N845*(1-M845)</f>
        <v/>
      </c>
      <c r="P845" s="17">
        <f>Raw_Data!L845</f>
        <v/>
      </c>
      <c r="Q845" s="17">
        <f>O845-P845</f>
        <v/>
      </c>
      <c r="R845" s="31">
        <f>IF(O845=0,0,Q845/O845)</f>
        <v/>
      </c>
      <c r="S845">
        <f>XLOOKUP(F845,Lookups!$B$7:$B$11,Lookups!$C$7:$C$11,"Unknown")</f>
        <v/>
      </c>
      <c r="T845" s="31">
        <f>XLOOKUP(G845,Lookups!$E$7:$E$11,Lookups!$F$7:$F$11,0)</f>
        <v/>
      </c>
      <c r="U845" s="32">
        <f>R845-T845</f>
        <v/>
      </c>
      <c r="V845">
        <f>XLOOKUP(I845,Lookups!$H$7:$H$10,Lookups!$I$7:$I$10,"")</f>
        <v/>
      </c>
      <c r="W845">
        <f>IF(O845&gt;=50000,"HIGH VALUE","")</f>
        <v/>
      </c>
      <c r="X845">
        <f>IF(Q845&lt;0,"LOSS","")</f>
        <v/>
      </c>
      <c r="Y845">
        <f>IFS(M845&gt;=0.15,"Deep Discount",M845&gt;=0.1,"Moderate",TRUE,"Standard")</f>
        <v/>
      </c>
    </row>
    <row r="846">
      <c r="A846">
        <f>Raw_Data!A846</f>
        <v/>
      </c>
      <c r="B846" s="29">
        <f>Raw_Data!B846</f>
        <v/>
      </c>
      <c r="C846">
        <f>YEAR(B846)</f>
        <v/>
      </c>
      <c r="D846">
        <f>MONTH(B846)</f>
        <v/>
      </c>
      <c r="E846">
        <f>TEXT(B846,"MMM-YYYY")</f>
        <v/>
      </c>
      <c r="F846">
        <f>Raw_Data!C846</f>
        <v/>
      </c>
      <c r="G846">
        <f>Raw_Data!D846</f>
        <v/>
      </c>
      <c r="H846">
        <f>Raw_Data!E846</f>
        <v/>
      </c>
      <c r="I846">
        <f>Raw_Data!F846</f>
        <v/>
      </c>
      <c r="J846">
        <f>Raw_Data!G846</f>
        <v/>
      </c>
      <c r="K846">
        <f>Raw_Data!H846</f>
        <v/>
      </c>
      <c r="L846" s="30">
        <f>Raw_Data!I846</f>
        <v/>
      </c>
      <c r="M846" s="31">
        <f>Raw_Data!J846</f>
        <v/>
      </c>
      <c r="N846" s="17">
        <f>K846*L846</f>
        <v/>
      </c>
      <c r="O846" s="17">
        <f>N846*(1-M846)</f>
        <v/>
      </c>
      <c r="P846" s="17">
        <f>Raw_Data!L846</f>
        <v/>
      </c>
      <c r="Q846" s="17">
        <f>O846-P846</f>
        <v/>
      </c>
      <c r="R846" s="31">
        <f>IF(O846=0,0,Q846/O846)</f>
        <v/>
      </c>
      <c r="S846">
        <f>XLOOKUP(F846,Lookups!$B$7:$B$11,Lookups!$C$7:$C$11,"Unknown")</f>
        <v/>
      </c>
      <c r="T846" s="31">
        <f>XLOOKUP(G846,Lookups!$E$7:$E$11,Lookups!$F$7:$F$11,0)</f>
        <v/>
      </c>
      <c r="U846" s="32">
        <f>R846-T846</f>
        <v/>
      </c>
      <c r="V846">
        <f>XLOOKUP(I846,Lookups!$H$7:$H$10,Lookups!$I$7:$I$10,"")</f>
        <v/>
      </c>
      <c r="W846">
        <f>IF(O846&gt;=50000,"HIGH VALUE","")</f>
        <v/>
      </c>
      <c r="X846">
        <f>IF(Q846&lt;0,"LOSS","")</f>
        <v/>
      </c>
      <c r="Y846">
        <f>IFS(M846&gt;=0.15,"Deep Discount",M846&gt;=0.1,"Moderate",TRUE,"Standard")</f>
        <v/>
      </c>
    </row>
    <row r="847">
      <c r="A847">
        <f>Raw_Data!A847</f>
        <v/>
      </c>
      <c r="B847" s="29">
        <f>Raw_Data!B847</f>
        <v/>
      </c>
      <c r="C847">
        <f>YEAR(B847)</f>
        <v/>
      </c>
      <c r="D847">
        <f>MONTH(B847)</f>
        <v/>
      </c>
      <c r="E847">
        <f>TEXT(B847,"MMM-YYYY")</f>
        <v/>
      </c>
      <c r="F847">
        <f>Raw_Data!C847</f>
        <v/>
      </c>
      <c r="G847">
        <f>Raw_Data!D847</f>
        <v/>
      </c>
      <c r="H847">
        <f>Raw_Data!E847</f>
        <v/>
      </c>
      <c r="I847">
        <f>Raw_Data!F847</f>
        <v/>
      </c>
      <c r="J847">
        <f>Raw_Data!G847</f>
        <v/>
      </c>
      <c r="K847">
        <f>Raw_Data!H847</f>
        <v/>
      </c>
      <c r="L847" s="30">
        <f>Raw_Data!I847</f>
        <v/>
      </c>
      <c r="M847" s="31">
        <f>Raw_Data!J847</f>
        <v/>
      </c>
      <c r="N847" s="17">
        <f>K847*L847</f>
        <v/>
      </c>
      <c r="O847" s="17">
        <f>N847*(1-M847)</f>
        <v/>
      </c>
      <c r="P847" s="17">
        <f>Raw_Data!L847</f>
        <v/>
      </c>
      <c r="Q847" s="17">
        <f>O847-P847</f>
        <v/>
      </c>
      <c r="R847" s="31">
        <f>IF(O847=0,0,Q847/O847)</f>
        <v/>
      </c>
      <c r="S847">
        <f>XLOOKUP(F847,Lookups!$B$7:$B$11,Lookups!$C$7:$C$11,"Unknown")</f>
        <v/>
      </c>
      <c r="T847" s="31">
        <f>XLOOKUP(G847,Lookups!$E$7:$E$11,Lookups!$F$7:$F$11,0)</f>
        <v/>
      </c>
      <c r="U847" s="32">
        <f>R847-T847</f>
        <v/>
      </c>
      <c r="V847">
        <f>XLOOKUP(I847,Lookups!$H$7:$H$10,Lookups!$I$7:$I$10,"")</f>
        <v/>
      </c>
      <c r="W847">
        <f>IF(O847&gt;=50000,"HIGH VALUE","")</f>
        <v/>
      </c>
      <c r="X847">
        <f>IF(Q847&lt;0,"LOSS","")</f>
        <v/>
      </c>
      <c r="Y847">
        <f>IFS(M847&gt;=0.15,"Deep Discount",M847&gt;=0.1,"Moderate",TRUE,"Standard")</f>
        <v/>
      </c>
    </row>
    <row r="848">
      <c r="A848">
        <f>Raw_Data!A848</f>
        <v/>
      </c>
      <c r="B848" s="29">
        <f>Raw_Data!B848</f>
        <v/>
      </c>
      <c r="C848">
        <f>YEAR(B848)</f>
        <v/>
      </c>
      <c r="D848">
        <f>MONTH(B848)</f>
        <v/>
      </c>
      <c r="E848">
        <f>TEXT(B848,"MMM-YYYY")</f>
        <v/>
      </c>
      <c r="F848">
        <f>Raw_Data!C848</f>
        <v/>
      </c>
      <c r="G848">
        <f>Raw_Data!D848</f>
        <v/>
      </c>
      <c r="H848">
        <f>Raw_Data!E848</f>
        <v/>
      </c>
      <c r="I848">
        <f>Raw_Data!F848</f>
        <v/>
      </c>
      <c r="J848">
        <f>Raw_Data!G848</f>
        <v/>
      </c>
      <c r="K848">
        <f>Raw_Data!H848</f>
        <v/>
      </c>
      <c r="L848" s="30">
        <f>Raw_Data!I848</f>
        <v/>
      </c>
      <c r="M848" s="31">
        <f>Raw_Data!J848</f>
        <v/>
      </c>
      <c r="N848" s="17">
        <f>K848*L848</f>
        <v/>
      </c>
      <c r="O848" s="17">
        <f>N848*(1-M848)</f>
        <v/>
      </c>
      <c r="P848" s="17">
        <f>Raw_Data!L848</f>
        <v/>
      </c>
      <c r="Q848" s="17">
        <f>O848-P848</f>
        <v/>
      </c>
      <c r="R848" s="31">
        <f>IF(O848=0,0,Q848/O848)</f>
        <v/>
      </c>
      <c r="S848">
        <f>XLOOKUP(F848,Lookups!$B$7:$B$11,Lookups!$C$7:$C$11,"Unknown")</f>
        <v/>
      </c>
      <c r="T848" s="31">
        <f>XLOOKUP(G848,Lookups!$E$7:$E$11,Lookups!$F$7:$F$11,0)</f>
        <v/>
      </c>
      <c r="U848" s="32">
        <f>R848-T848</f>
        <v/>
      </c>
      <c r="V848">
        <f>XLOOKUP(I848,Lookups!$H$7:$H$10,Lookups!$I$7:$I$10,"")</f>
        <v/>
      </c>
      <c r="W848">
        <f>IF(O848&gt;=50000,"HIGH VALUE","")</f>
        <v/>
      </c>
      <c r="X848">
        <f>IF(Q848&lt;0,"LOSS","")</f>
        <v/>
      </c>
      <c r="Y848">
        <f>IFS(M848&gt;=0.15,"Deep Discount",M848&gt;=0.1,"Moderate",TRUE,"Standard")</f>
        <v/>
      </c>
    </row>
    <row r="849">
      <c r="A849">
        <f>Raw_Data!A849</f>
        <v/>
      </c>
      <c r="B849" s="29">
        <f>Raw_Data!B849</f>
        <v/>
      </c>
      <c r="C849">
        <f>YEAR(B849)</f>
        <v/>
      </c>
      <c r="D849">
        <f>MONTH(B849)</f>
        <v/>
      </c>
      <c r="E849">
        <f>TEXT(B849,"MMM-YYYY")</f>
        <v/>
      </c>
      <c r="F849">
        <f>Raw_Data!C849</f>
        <v/>
      </c>
      <c r="G849">
        <f>Raw_Data!D849</f>
        <v/>
      </c>
      <c r="H849">
        <f>Raw_Data!E849</f>
        <v/>
      </c>
      <c r="I849">
        <f>Raw_Data!F849</f>
        <v/>
      </c>
      <c r="J849">
        <f>Raw_Data!G849</f>
        <v/>
      </c>
      <c r="K849">
        <f>Raw_Data!H849</f>
        <v/>
      </c>
      <c r="L849" s="30">
        <f>Raw_Data!I849</f>
        <v/>
      </c>
      <c r="M849" s="31">
        <f>Raw_Data!J849</f>
        <v/>
      </c>
      <c r="N849" s="17">
        <f>K849*L849</f>
        <v/>
      </c>
      <c r="O849" s="17">
        <f>N849*(1-M849)</f>
        <v/>
      </c>
      <c r="P849" s="17">
        <f>Raw_Data!L849</f>
        <v/>
      </c>
      <c r="Q849" s="17">
        <f>O849-P849</f>
        <v/>
      </c>
      <c r="R849" s="31">
        <f>IF(O849=0,0,Q849/O849)</f>
        <v/>
      </c>
      <c r="S849">
        <f>XLOOKUP(F849,Lookups!$B$7:$B$11,Lookups!$C$7:$C$11,"Unknown")</f>
        <v/>
      </c>
      <c r="T849" s="31">
        <f>XLOOKUP(G849,Lookups!$E$7:$E$11,Lookups!$F$7:$F$11,0)</f>
        <v/>
      </c>
      <c r="U849" s="32">
        <f>R849-T849</f>
        <v/>
      </c>
      <c r="V849">
        <f>XLOOKUP(I849,Lookups!$H$7:$H$10,Lookups!$I$7:$I$10,"")</f>
        <v/>
      </c>
      <c r="W849">
        <f>IF(O849&gt;=50000,"HIGH VALUE","")</f>
        <v/>
      </c>
      <c r="X849">
        <f>IF(Q849&lt;0,"LOSS","")</f>
        <v/>
      </c>
      <c r="Y849">
        <f>IFS(M849&gt;=0.15,"Deep Discount",M849&gt;=0.1,"Moderate",TRUE,"Standard")</f>
        <v/>
      </c>
    </row>
    <row r="850">
      <c r="A850">
        <f>Raw_Data!A850</f>
        <v/>
      </c>
      <c r="B850" s="29">
        <f>Raw_Data!B850</f>
        <v/>
      </c>
      <c r="C850">
        <f>YEAR(B850)</f>
        <v/>
      </c>
      <c r="D850">
        <f>MONTH(B850)</f>
        <v/>
      </c>
      <c r="E850">
        <f>TEXT(B850,"MMM-YYYY")</f>
        <v/>
      </c>
      <c r="F850">
        <f>Raw_Data!C850</f>
        <v/>
      </c>
      <c r="G850">
        <f>Raw_Data!D850</f>
        <v/>
      </c>
      <c r="H850">
        <f>Raw_Data!E850</f>
        <v/>
      </c>
      <c r="I850">
        <f>Raw_Data!F850</f>
        <v/>
      </c>
      <c r="J850">
        <f>Raw_Data!G850</f>
        <v/>
      </c>
      <c r="K850">
        <f>Raw_Data!H850</f>
        <v/>
      </c>
      <c r="L850" s="30">
        <f>Raw_Data!I850</f>
        <v/>
      </c>
      <c r="M850" s="31">
        <f>Raw_Data!J850</f>
        <v/>
      </c>
      <c r="N850" s="17">
        <f>K850*L850</f>
        <v/>
      </c>
      <c r="O850" s="17">
        <f>N850*(1-M850)</f>
        <v/>
      </c>
      <c r="P850" s="17">
        <f>Raw_Data!L850</f>
        <v/>
      </c>
      <c r="Q850" s="17">
        <f>O850-P850</f>
        <v/>
      </c>
      <c r="R850" s="31">
        <f>IF(O850=0,0,Q850/O850)</f>
        <v/>
      </c>
      <c r="S850">
        <f>XLOOKUP(F850,Lookups!$B$7:$B$11,Lookups!$C$7:$C$11,"Unknown")</f>
        <v/>
      </c>
      <c r="T850" s="31">
        <f>XLOOKUP(G850,Lookups!$E$7:$E$11,Lookups!$F$7:$F$11,0)</f>
        <v/>
      </c>
      <c r="U850" s="32">
        <f>R850-T850</f>
        <v/>
      </c>
      <c r="V850">
        <f>XLOOKUP(I850,Lookups!$H$7:$H$10,Lookups!$I$7:$I$10,"")</f>
        <v/>
      </c>
      <c r="W850">
        <f>IF(O850&gt;=50000,"HIGH VALUE","")</f>
        <v/>
      </c>
      <c r="X850">
        <f>IF(Q850&lt;0,"LOSS","")</f>
        <v/>
      </c>
      <c r="Y850">
        <f>IFS(M850&gt;=0.15,"Deep Discount",M850&gt;=0.1,"Moderate",TRUE,"Standard")</f>
        <v/>
      </c>
    </row>
    <row r="851">
      <c r="A851">
        <f>Raw_Data!A851</f>
        <v/>
      </c>
      <c r="B851" s="29">
        <f>Raw_Data!B851</f>
        <v/>
      </c>
      <c r="C851">
        <f>YEAR(B851)</f>
        <v/>
      </c>
      <c r="D851">
        <f>MONTH(B851)</f>
        <v/>
      </c>
      <c r="E851">
        <f>TEXT(B851,"MMM-YYYY")</f>
        <v/>
      </c>
      <c r="F851">
        <f>Raw_Data!C851</f>
        <v/>
      </c>
      <c r="G851">
        <f>Raw_Data!D851</f>
        <v/>
      </c>
      <c r="H851">
        <f>Raw_Data!E851</f>
        <v/>
      </c>
      <c r="I851">
        <f>Raw_Data!F851</f>
        <v/>
      </c>
      <c r="J851">
        <f>Raw_Data!G851</f>
        <v/>
      </c>
      <c r="K851">
        <f>Raw_Data!H851</f>
        <v/>
      </c>
      <c r="L851" s="30">
        <f>Raw_Data!I851</f>
        <v/>
      </c>
      <c r="M851" s="31">
        <f>Raw_Data!J851</f>
        <v/>
      </c>
      <c r="N851" s="17">
        <f>K851*L851</f>
        <v/>
      </c>
      <c r="O851" s="17">
        <f>N851*(1-M851)</f>
        <v/>
      </c>
      <c r="P851" s="17">
        <f>Raw_Data!L851</f>
        <v/>
      </c>
      <c r="Q851" s="17">
        <f>O851-P851</f>
        <v/>
      </c>
      <c r="R851" s="31">
        <f>IF(O851=0,0,Q851/O851)</f>
        <v/>
      </c>
      <c r="S851">
        <f>XLOOKUP(F851,Lookups!$B$7:$B$11,Lookups!$C$7:$C$11,"Unknown")</f>
        <v/>
      </c>
      <c r="T851" s="31">
        <f>XLOOKUP(G851,Lookups!$E$7:$E$11,Lookups!$F$7:$F$11,0)</f>
        <v/>
      </c>
      <c r="U851" s="32">
        <f>R851-T851</f>
        <v/>
      </c>
      <c r="V851">
        <f>XLOOKUP(I851,Lookups!$H$7:$H$10,Lookups!$I$7:$I$10,"")</f>
        <v/>
      </c>
      <c r="W851">
        <f>IF(O851&gt;=50000,"HIGH VALUE","")</f>
        <v/>
      </c>
      <c r="X851">
        <f>IF(Q851&lt;0,"LOSS","")</f>
        <v/>
      </c>
      <c r="Y851">
        <f>IFS(M851&gt;=0.15,"Deep Discount",M851&gt;=0.1,"Moderate",TRUE,"Standard")</f>
        <v/>
      </c>
    </row>
    <row r="852">
      <c r="A852">
        <f>Raw_Data!A852</f>
        <v/>
      </c>
      <c r="B852" s="29">
        <f>Raw_Data!B852</f>
        <v/>
      </c>
      <c r="C852">
        <f>YEAR(B852)</f>
        <v/>
      </c>
      <c r="D852">
        <f>MONTH(B852)</f>
        <v/>
      </c>
      <c r="E852">
        <f>TEXT(B852,"MMM-YYYY")</f>
        <v/>
      </c>
      <c r="F852">
        <f>Raw_Data!C852</f>
        <v/>
      </c>
      <c r="G852">
        <f>Raw_Data!D852</f>
        <v/>
      </c>
      <c r="H852">
        <f>Raw_Data!E852</f>
        <v/>
      </c>
      <c r="I852">
        <f>Raw_Data!F852</f>
        <v/>
      </c>
      <c r="J852">
        <f>Raw_Data!G852</f>
        <v/>
      </c>
      <c r="K852">
        <f>Raw_Data!H852</f>
        <v/>
      </c>
      <c r="L852" s="30">
        <f>Raw_Data!I852</f>
        <v/>
      </c>
      <c r="M852" s="31">
        <f>Raw_Data!J852</f>
        <v/>
      </c>
      <c r="N852" s="17">
        <f>K852*L852</f>
        <v/>
      </c>
      <c r="O852" s="17">
        <f>N852*(1-M852)</f>
        <v/>
      </c>
      <c r="P852" s="17">
        <f>Raw_Data!L852</f>
        <v/>
      </c>
      <c r="Q852" s="17">
        <f>O852-P852</f>
        <v/>
      </c>
      <c r="R852" s="31">
        <f>IF(O852=0,0,Q852/O852)</f>
        <v/>
      </c>
      <c r="S852">
        <f>XLOOKUP(F852,Lookups!$B$7:$B$11,Lookups!$C$7:$C$11,"Unknown")</f>
        <v/>
      </c>
      <c r="T852" s="31">
        <f>XLOOKUP(G852,Lookups!$E$7:$E$11,Lookups!$F$7:$F$11,0)</f>
        <v/>
      </c>
      <c r="U852" s="32">
        <f>R852-T852</f>
        <v/>
      </c>
      <c r="V852">
        <f>XLOOKUP(I852,Lookups!$H$7:$H$10,Lookups!$I$7:$I$10,"")</f>
        <v/>
      </c>
      <c r="W852">
        <f>IF(O852&gt;=50000,"HIGH VALUE","")</f>
        <v/>
      </c>
      <c r="X852">
        <f>IF(Q852&lt;0,"LOSS","")</f>
        <v/>
      </c>
      <c r="Y852">
        <f>IFS(M852&gt;=0.15,"Deep Discount",M852&gt;=0.1,"Moderate",TRUE,"Standard")</f>
        <v/>
      </c>
    </row>
    <row r="853">
      <c r="A853">
        <f>Raw_Data!A853</f>
        <v/>
      </c>
      <c r="B853" s="29">
        <f>Raw_Data!B853</f>
        <v/>
      </c>
      <c r="C853">
        <f>YEAR(B853)</f>
        <v/>
      </c>
      <c r="D853">
        <f>MONTH(B853)</f>
        <v/>
      </c>
      <c r="E853">
        <f>TEXT(B853,"MMM-YYYY")</f>
        <v/>
      </c>
      <c r="F853">
        <f>Raw_Data!C853</f>
        <v/>
      </c>
      <c r="G853">
        <f>Raw_Data!D853</f>
        <v/>
      </c>
      <c r="H853">
        <f>Raw_Data!E853</f>
        <v/>
      </c>
      <c r="I853">
        <f>Raw_Data!F853</f>
        <v/>
      </c>
      <c r="J853">
        <f>Raw_Data!G853</f>
        <v/>
      </c>
      <c r="K853">
        <f>Raw_Data!H853</f>
        <v/>
      </c>
      <c r="L853" s="30">
        <f>Raw_Data!I853</f>
        <v/>
      </c>
      <c r="M853" s="31">
        <f>Raw_Data!J853</f>
        <v/>
      </c>
      <c r="N853" s="17">
        <f>K853*L853</f>
        <v/>
      </c>
      <c r="O853" s="17">
        <f>N853*(1-M853)</f>
        <v/>
      </c>
      <c r="P853" s="17">
        <f>Raw_Data!L853</f>
        <v/>
      </c>
      <c r="Q853" s="17">
        <f>O853-P853</f>
        <v/>
      </c>
      <c r="R853" s="31">
        <f>IF(O853=0,0,Q853/O853)</f>
        <v/>
      </c>
      <c r="S853">
        <f>XLOOKUP(F853,Lookups!$B$7:$B$11,Lookups!$C$7:$C$11,"Unknown")</f>
        <v/>
      </c>
      <c r="T853" s="31">
        <f>XLOOKUP(G853,Lookups!$E$7:$E$11,Lookups!$F$7:$F$11,0)</f>
        <v/>
      </c>
      <c r="U853" s="32">
        <f>R853-T853</f>
        <v/>
      </c>
      <c r="V853">
        <f>XLOOKUP(I853,Lookups!$H$7:$H$10,Lookups!$I$7:$I$10,"")</f>
        <v/>
      </c>
      <c r="W853">
        <f>IF(O853&gt;=50000,"HIGH VALUE","")</f>
        <v/>
      </c>
      <c r="X853">
        <f>IF(Q853&lt;0,"LOSS","")</f>
        <v/>
      </c>
      <c r="Y853">
        <f>IFS(M853&gt;=0.15,"Deep Discount",M853&gt;=0.1,"Moderate",TRUE,"Standard")</f>
        <v/>
      </c>
    </row>
    <row r="854">
      <c r="A854">
        <f>Raw_Data!A854</f>
        <v/>
      </c>
      <c r="B854" s="29">
        <f>Raw_Data!B854</f>
        <v/>
      </c>
      <c r="C854">
        <f>YEAR(B854)</f>
        <v/>
      </c>
      <c r="D854">
        <f>MONTH(B854)</f>
        <v/>
      </c>
      <c r="E854">
        <f>TEXT(B854,"MMM-YYYY")</f>
        <v/>
      </c>
      <c r="F854">
        <f>Raw_Data!C854</f>
        <v/>
      </c>
      <c r="G854">
        <f>Raw_Data!D854</f>
        <v/>
      </c>
      <c r="H854">
        <f>Raw_Data!E854</f>
        <v/>
      </c>
      <c r="I854">
        <f>Raw_Data!F854</f>
        <v/>
      </c>
      <c r="J854">
        <f>Raw_Data!G854</f>
        <v/>
      </c>
      <c r="K854">
        <f>Raw_Data!H854</f>
        <v/>
      </c>
      <c r="L854" s="30">
        <f>Raw_Data!I854</f>
        <v/>
      </c>
      <c r="M854" s="31">
        <f>Raw_Data!J854</f>
        <v/>
      </c>
      <c r="N854" s="17">
        <f>K854*L854</f>
        <v/>
      </c>
      <c r="O854" s="17">
        <f>N854*(1-M854)</f>
        <v/>
      </c>
      <c r="P854" s="17">
        <f>Raw_Data!L854</f>
        <v/>
      </c>
      <c r="Q854" s="17">
        <f>O854-P854</f>
        <v/>
      </c>
      <c r="R854" s="31">
        <f>IF(O854=0,0,Q854/O854)</f>
        <v/>
      </c>
      <c r="S854">
        <f>XLOOKUP(F854,Lookups!$B$7:$B$11,Lookups!$C$7:$C$11,"Unknown")</f>
        <v/>
      </c>
      <c r="T854" s="31">
        <f>XLOOKUP(G854,Lookups!$E$7:$E$11,Lookups!$F$7:$F$11,0)</f>
        <v/>
      </c>
      <c r="U854" s="32">
        <f>R854-T854</f>
        <v/>
      </c>
      <c r="V854">
        <f>XLOOKUP(I854,Lookups!$H$7:$H$10,Lookups!$I$7:$I$10,"")</f>
        <v/>
      </c>
      <c r="W854">
        <f>IF(O854&gt;=50000,"HIGH VALUE","")</f>
        <v/>
      </c>
      <c r="X854">
        <f>IF(Q854&lt;0,"LOSS","")</f>
        <v/>
      </c>
      <c r="Y854">
        <f>IFS(M854&gt;=0.15,"Deep Discount",M854&gt;=0.1,"Moderate",TRUE,"Standard")</f>
        <v/>
      </c>
    </row>
    <row r="855">
      <c r="A855">
        <f>Raw_Data!A855</f>
        <v/>
      </c>
      <c r="B855" s="29">
        <f>Raw_Data!B855</f>
        <v/>
      </c>
      <c r="C855">
        <f>YEAR(B855)</f>
        <v/>
      </c>
      <c r="D855">
        <f>MONTH(B855)</f>
        <v/>
      </c>
      <c r="E855">
        <f>TEXT(B855,"MMM-YYYY")</f>
        <v/>
      </c>
      <c r="F855">
        <f>Raw_Data!C855</f>
        <v/>
      </c>
      <c r="G855">
        <f>Raw_Data!D855</f>
        <v/>
      </c>
      <c r="H855">
        <f>Raw_Data!E855</f>
        <v/>
      </c>
      <c r="I855">
        <f>Raw_Data!F855</f>
        <v/>
      </c>
      <c r="J855">
        <f>Raw_Data!G855</f>
        <v/>
      </c>
      <c r="K855">
        <f>Raw_Data!H855</f>
        <v/>
      </c>
      <c r="L855" s="30">
        <f>Raw_Data!I855</f>
        <v/>
      </c>
      <c r="M855" s="31">
        <f>Raw_Data!J855</f>
        <v/>
      </c>
      <c r="N855" s="17">
        <f>K855*L855</f>
        <v/>
      </c>
      <c r="O855" s="17">
        <f>N855*(1-M855)</f>
        <v/>
      </c>
      <c r="P855" s="17">
        <f>Raw_Data!L855</f>
        <v/>
      </c>
      <c r="Q855" s="17">
        <f>O855-P855</f>
        <v/>
      </c>
      <c r="R855" s="31">
        <f>IF(O855=0,0,Q855/O855)</f>
        <v/>
      </c>
      <c r="S855">
        <f>XLOOKUP(F855,Lookups!$B$7:$B$11,Lookups!$C$7:$C$11,"Unknown")</f>
        <v/>
      </c>
      <c r="T855" s="31">
        <f>XLOOKUP(G855,Lookups!$E$7:$E$11,Lookups!$F$7:$F$11,0)</f>
        <v/>
      </c>
      <c r="U855" s="32">
        <f>R855-T855</f>
        <v/>
      </c>
      <c r="V855">
        <f>XLOOKUP(I855,Lookups!$H$7:$H$10,Lookups!$I$7:$I$10,"")</f>
        <v/>
      </c>
      <c r="W855">
        <f>IF(O855&gt;=50000,"HIGH VALUE","")</f>
        <v/>
      </c>
      <c r="X855">
        <f>IF(Q855&lt;0,"LOSS","")</f>
        <v/>
      </c>
      <c r="Y855">
        <f>IFS(M855&gt;=0.15,"Deep Discount",M855&gt;=0.1,"Moderate",TRUE,"Standard")</f>
        <v/>
      </c>
    </row>
    <row r="856">
      <c r="A856">
        <f>Raw_Data!A856</f>
        <v/>
      </c>
      <c r="B856" s="29">
        <f>Raw_Data!B856</f>
        <v/>
      </c>
      <c r="C856">
        <f>YEAR(B856)</f>
        <v/>
      </c>
      <c r="D856">
        <f>MONTH(B856)</f>
        <v/>
      </c>
      <c r="E856">
        <f>TEXT(B856,"MMM-YYYY")</f>
        <v/>
      </c>
      <c r="F856">
        <f>Raw_Data!C856</f>
        <v/>
      </c>
      <c r="G856">
        <f>Raw_Data!D856</f>
        <v/>
      </c>
      <c r="H856">
        <f>Raw_Data!E856</f>
        <v/>
      </c>
      <c r="I856">
        <f>Raw_Data!F856</f>
        <v/>
      </c>
      <c r="J856">
        <f>Raw_Data!G856</f>
        <v/>
      </c>
      <c r="K856">
        <f>Raw_Data!H856</f>
        <v/>
      </c>
      <c r="L856" s="30">
        <f>Raw_Data!I856</f>
        <v/>
      </c>
      <c r="M856" s="31">
        <f>Raw_Data!J856</f>
        <v/>
      </c>
      <c r="N856" s="17">
        <f>K856*L856</f>
        <v/>
      </c>
      <c r="O856" s="17">
        <f>N856*(1-M856)</f>
        <v/>
      </c>
      <c r="P856" s="17">
        <f>Raw_Data!L856</f>
        <v/>
      </c>
      <c r="Q856" s="17">
        <f>O856-P856</f>
        <v/>
      </c>
      <c r="R856" s="31">
        <f>IF(O856=0,0,Q856/O856)</f>
        <v/>
      </c>
      <c r="S856">
        <f>XLOOKUP(F856,Lookups!$B$7:$B$11,Lookups!$C$7:$C$11,"Unknown")</f>
        <v/>
      </c>
      <c r="T856" s="31">
        <f>XLOOKUP(G856,Lookups!$E$7:$E$11,Lookups!$F$7:$F$11,0)</f>
        <v/>
      </c>
      <c r="U856" s="32">
        <f>R856-T856</f>
        <v/>
      </c>
      <c r="V856">
        <f>XLOOKUP(I856,Lookups!$H$7:$H$10,Lookups!$I$7:$I$10,"")</f>
        <v/>
      </c>
      <c r="W856">
        <f>IF(O856&gt;=50000,"HIGH VALUE","")</f>
        <v/>
      </c>
      <c r="X856">
        <f>IF(Q856&lt;0,"LOSS","")</f>
        <v/>
      </c>
      <c r="Y856">
        <f>IFS(M856&gt;=0.15,"Deep Discount",M856&gt;=0.1,"Moderate",TRUE,"Standard")</f>
        <v/>
      </c>
    </row>
    <row r="857">
      <c r="A857">
        <f>Raw_Data!A857</f>
        <v/>
      </c>
      <c r="B857" s="29">
        <f>Raw_Data!B857</f>
        <v/>
      </c>
      <c r="C857">
        <f>YEAR(B857)</f>
        <v/>
      </c>
      <c r="D857">
        <f>MONTH(B857)</f>
        <v/>
      </c>
      <c r="E857">
        <f>TEXT(B857,"MMM-YYYY")</f>
        <v/>
      </c>
      <c r="F857">
        <f>Raw_Data!C857</f>
        <v/>
      </c>
      <c r="G857">
        <f>Raw_Data!D857</f>
        <v/>
      </c>
      <c r="H857">
        <f>Raw_Data!E857</f>
        <v/>
      </c>
      <c r="I857">
        <f>Raw_Data!F857</f>
        <v/>
      </c>
      <c r="J857">
        <f>Raw_Data!G857</f>
        <v/>
      </c>
      <c r="K857">
        <f>Raw_Data!H857</f>
        <v/>
      </c>
      <c r="L857" s="30">
        <f>Raw_Data!I857</f>
        <v/>
      </c>
      <c r="M857" s="31">
        <f>Raw_Data!J857</f>
        <v/>
      </c>
      <c r="N857" s="17">
        <f>K857*L857</f>
        <v/>
      </c>
      <c r="O857" s="17">
        <f>N857*(1-M857)</f>
        <v/>
      </c>
      <c r="P857" s="17">
        <f>Raw_Data!L857</f>
        <v/>
      </c>
      <c r="Q857" s="17">
        <f>O857-P857</f>
        <v/>
      </c>
      <c r="R857" s="31">
        <f>IF(O857=0,0,Q857/O857)</f>
        <v/>
      </c>
      <c r="S857">
        <f>XLOOKUP(F857,Lookups!$B$7:$B$11,Lookups!$C$7:$C$11,"Unknown")</f>
        <v/>
      </c>
      <c r="T857" s="31">
        <f>XLOOKUP(G857,Lookups!$E$7:$E$11,Lookups!$F$7:$F$11,0)</f>
        <v/>
      </c>
      <c r="U857" s="32">
        <f>R857-T857</f>
        <v/>
      </c>
      <c r="V857">
        <f>XLOOKUP(I857,Lookups!$H$7:$H$10,Lookups!$I$7:$I$10,"")</f>
        <v/>
      </c>
      <c r="W857">
        <f>IF(O857&gt;=50000,"HIGH VALUE","")</f>
        <v/>
      </c>
      <c r="X857">
        <f>IF(Q857&lt;0,"LOSS","")</f>
        <v/>
      </c>
      <c r="Y857">
        <f>IFS(M857&gt;=0.15,"Deep Discount",M857&gt;=0.1,"Moderate",TRUE,"Standard")</f>
        <v/>
      </c>
    </row>
    <row r="858">
      <c r="A858">
        <f>Raw_Data!A858</f>
        <v/>
      </c>
      <c r="B858" s="29">
        <f>Raw_Data!B858</f>
        <v/>
      </c>
      <c r="C858">
        <f>YEAR(B858)</f>
        <v/>
      </c>
      <c r="D858">
        <f>MONTH(B858)</f>
        <v/>
      </c>
      <c r="E858">
        <f>TEXT(B858,"MMM-YYYY")</f>
        <v/>
      </c>
      <c r="F858">
        <f>Raw_Data!C858</f>
        <v/>
      </c>
      <c r="G858">
        <f>Raw_Data!D858</f>
        <v/>
      </c>
      <c r="H858">
        <f>Raw_Data!E858</f>
        <v/>
      </c>
      <c r="I858">
        <f>Raw_Data!F858</f>
        <v/>
      </c>
      <c r="J858">
        <f>Raw_Data!G858</f>
        <v/>
      </c>
      <c r="K858">
        <f>Raw_Data!H858</f>
        <v/>
      </c>
      <c r="L858" s="30">
        <f>Raw_Data!I858</f>
        <v/>
      </c>
      <c r="M858" s="31">
        <f>Raw_Data!J858</f>
        <v/>
      </c>
      <c r="N858" s="17">
        <f>K858*L858</f>
        <v/>
      </c>
      <c r="O858" s="17">
        <f>N858*(1-M858)</f>
        <v/>
      </c>
      <c r="P858" s="17">
        <f>Raw_Data!L858</f>
        <v/>
      </c>
      <c r="Q858" s="17">
        <f>O858-P858</f>
        <v/>
      </c>
      <c r="R858" s="31">
        <f>IF(O858=0,0,Q858/O858)</f>
        <v/>
      </c>
      <c r="S858">
        <f>XLOOKUP(F858,Lookups!$B$7:$B$11,Lookups!$C$7:$C$11,"Unknown")</f>
        <v/>
      </c>
      <c r="T858" s="31">
        <f>XLOOKUP(G858,Lookups!$E$7:$E$11,Lookups!$F$7:$F$11,0)</f>
        <v/>
      </c>
      <c r="U858" s="32">
        <f>R858-T858</f>
        <v/>
      </c>
      <c r="V858">
        <f>XLOOKUP(I858,Lookups!$H$7:$H$10,Lookups!$I$7:$I$10,"")</f>
        <v/>
      </c>
      <c r="W858">
        <f>IF(O858&gt;=50000,"HIGH VALUE","")</f>
        <v/>
      </c>
      <c r="X858">
        <f>IF(Q858&lt;0,"LOSS","")</f>
        <v/>
      </c>
      <c r="Y858">
        <f>IFS(M858&gt;=0.15,"Deep Discount",M858&gt;=0.1,"Moderate",TRUE,"Standard")</f>
        <v/>
      </c>
    </row>
    <row r="859">
      <c r="A859">
        <f>Raw_Data!A859</f>
        <v/>
      </c>
      <c r="B859" s="29">
        <f>Raw_Data!B859</f>
        <v/>
      </c>
      <c r="C859">
        <f>YEAR(B859)</f>
        <v/>
      </c>
      <c r="D859">
        <f>MONTH(B859)</f>
        <v/>
      </c>
      <c r="E859">
        <f>TEXT(B859,"MMM-YYYY")</f>
        <v/>
      </c>
      <c r="F859">
        <f>Raw_Data!C859</f>
        <v/>
      </c>
      <c r="G859">
        <f>Raw_Data!D859</f>
        <v/>
      </c>
      <c r="H859">
        <f>Raw_Data!E859</f>
        <v/>
      </c>
      <c r="I859">
        <f>Raw_Data!F859</f>
        <v/>
      </c>
      <c r="J859">
        <f>Raw_Data!G859</f>
        <v/>
      </c>
      <c r="K859">
        <f>Raw_Data!H859</f>
        <v/>
      </c>
      <c r="L859" s="30">
        <f>Raw_Data!I859</f>
        <v/>
      </c>
      <c r="M859" s="31">
        <f>Raw_Data!J859</f>
        <v/>
      </c>
      <c r="N859" s="17">
        <f>K859*L859</f>
        <v/>
      </c>
      <c r="O859" s="17">
        <f>N859*(1-M859)</f>
        <v/>
      </c>
      <c r="P859" s="17">
        <f>Raw_Data!L859</f>
        <v/>
      </c>
      <c r="Q859" s="17">
        <f>O859-P859</f>
        <v/>
      </c>
      <c r="R859" s="31">
        <f>IF(O859=0,0,Q859/O859)</f>
        <v/>
      </c>
      <c r="S859">
        <f>XLOOKUP(F859,Lookups!$B$7:$B$11,Lookups!$C$7:$C$11,"Unknown")</f>
        <v/>
      </c>
      <c r="T859" s="31">
        <f>XLOOKUP(G859,Lookups!$E$7:$E$11,Lookups!$F$7:$F$11,0)</f>
        <v/>
      </c>
      <c r="U859" s="32">
        <f>R859-T859</f>
        <v/>
      </c>
      <c r="V859">
        <f>XLOOKUP(I859,Lookups!$H$7:$H$10,Lookups!$I$7:$I$10,"")</f>
        <v/>
      </c>
      <c r="W859">
        <f>IF(O859&gt;=50000,"HIGH VALUE","")</f>
        <v/>
      </c>
      <c r="X859">
        <f>IF(Q859&lt;0,"LOSS","")</f>
        <v/>
      </c>
      <c r="Y859">
        <f>IFS(M859&gt;=0.15,"Deep Discount",M859&gt;=0.1,"Moderate",TRUE,"Standard")</f>
        <v/>
      </c>
    </row>
    <row r="860">
      <c r="A860">
        <f>Raw_Data!A860</f>
        <v/>
      </c>
      <c r="B860" s="29">
        <f>Raw_Data!B860</f>
        <v/>
      </c>
      <c r="C860">
        <f>YEAR(B860)</f>
        <v/>
      </c>
      <c r="D860">
        <f>MONTH(B860)</f>
        <v/>
      </c>
      <c r="E860">
        <f>TEXT(B860,"MMM-YYYY")</f>
        <v/>
      </c>
      <c r="F860">
        <f>Raw_Data!C860</f>
        <v/>
      </c>
      <c r="G860">
        <f>Raw_Data!D860</f>
        <v/>
      </c>
      <c r="H860">
        <f>Raw_Data!E860</f>
        <v/>
      </c>
      <c r="I860">
        <f>Raw_Data!F860</f>
        <v/>
      </c>
      <c r="J860">
        <f>Raw_Data!G860</f>
        <v/>
      </c>
      <c r="K860">
        <f>Raw_Data!H860</f>
        <v/>
      </c>
      <c r="L860" s="30">
        <f>Raw_Data!I860</f>
        <v/>
      </c>
      <c r="M860" s="31">
        <f>Raw_Data!J860</f>
        <v/>
      </c>
      <c r="N860" s="17">
        <f>K860*L860</f>
        <v/>
      </c>
      <c r="O860" s="17">
        <f>N860*(1-M860)</f>
        <v/>
      </c>
      <c r="P860" s="17">
        <f>Raw_Data!L860</f>
        <v/>
      </c>
      <c r="Q860" s="17">
        <f>O860-P860</f>
        <v/>
      </c>
      <c r="R860" s="31">
        <f>IF(O860=0,0,Q860/O860)</f>
        <v/>
      </c>
      <c r="S860">
        <f>XLOOKUP(F860,Lookups!$B$7:$B$11,Lookups!$C$7:$C$11,"Unknown")</f>
        <v/>
      </c>
      <c r="T860" s="31">
        <f>XLOOKUP(G860,Lookups!$E$7:$E$11,Lookups!$F$7:$F$11,0)</f>
        <v/>
      </c>
      <c r="U860" s="32">
        <f>R860-T860</f>
        <v/>
      </c>
      <c r="V860">
        <f>XLOOKUP(I860,Lookups!$H$7:$H$10,Lookups!$I$7:$I$10,"")</f>
        <v/>
      </c>
      <c r="W860">
        <f>IF(O860&gt;=50000,"HIGH VALUE","")</f>
        <v/>
      </c>
      <c r="X860">
        <f>IF(Q860&lt;0,"LOSS","")</f>
        <v/>
      </c>
      <c r="Y860">
        <f>IFS(M860&gt;=0.15,"Deep Discount",M860&gt;=0.1,"Moderate",TRUE,"Standard")</f>
        <v/>
      </c>
    </row>
    <row r="861">
      <c r="A861">
        <f>Raw_Data!A861</f>
        <v/>
      </c>
      <c r="B861" s="29">
        <f>Raw_Data!B861</f>
        <v/>
      </c>
      <c r="C861">
        <f>YEAR(B861)</f>
        <v/>
      </c>
      <c r="D861">
        <f>MONTH(B861)</f>
        <v/>
      </c>
      <c r="E861">
        <f>TEXT(B861,"MMM-YYYY")</f>
        <v/>
      </c>
      <c r="F861">
        <f>Raw_Data!C861</f>
        <v/>
      </c>
      <c r="G861">
        <f>Raw_Data!D861</f>
        <v/>
      </c>
      <c r="H861">
        <f>Raw_Data!E861</f>
        <v/>
      </c>
      <c r="I861">
        <f>Raw_Data!F861</f>
        <v/>
      </c>
      <c r="J861">
        <f>Raw_Data!G861</f>
        <v/>
      </c>
      <c r="K861">
        <f>Raw_Data!H861</f>
        <v/>
      </c>
      <c r="L861" s="30">
        <f>Raw_Data!I861</f>
        <v/>
      </c>
      <c r="M861" s="31">
        <f>Raw_Data!J861</f>
        <v/>
      </c>
      <c r="N861" s="17">
        <f>K861*L861</f>
        <v/>
      </c>
      <c r="O861" s="17">
        <f>N861*(1-M861)</f>
        <v/>
      </c>
      <c r="P861" s="17">
        <f>Raw_Data!L861</f>
        <v/>
      </c>
      <c r="Q861" s="17">
        <f>O861-P861</f>
        <v/>
      </c>
      <c r="R861" s="31">
        <f>IF(O861=0,0,Q861/O861)</f>
        <v/>
      </c>
      <c r="S861">
        <f>XLOOKUP(F861,Lookups!$B$7:$B$11,Lookups!$C$7:$C$11,"Unknown")</f>
        <v/>
      </c>
      <c r="T861" s="31">
        <f>XLOOKUP(G861,Lookups!$E$7:$E$11,Lookups!$F$7:$F$11,0)</f>
        <v/>
      </c>
      <c r="U861" s="32">
        <f>R861-T861</f>
        <v/>
      </c>
      <c r="V861">
        <f>XLOOKUP(I861,Lookups!$H$7:$H$10,Lookups!$I$7:$I$10,"")</f>
        <v/>
      </c>
      <c r="W861">
        <f>IF(O861&gt;=50000,"HIGH VALUE","")</f>
        <v/>
      </c>
      <c r="X861">
        <f>IF(Q861&lt;0,"LOSS","")</f>
        <v/>
      </c>
      <c r="Y861">
        <f>IFS(M861&gt;=0.15,"Deep Discount",M861&gt;=0.1,"Moderate",TRUE,"Standard")</f>
        <v/>
      </c>
    </row>
    <row r="862">
      <c r="A862">
        <f>Raw_Data!A862</f>
        <v/>
      </c>
      <c r="B862" s="29">
        <f>Raw_Data!B862</f>
        <v/>
      </c>
      <c r="C862">
        <f>YEAR(B862)</f>
        <v/>
      </c>
      <c r="D862">
        <f>MONTH(B862)</f>
        <v/>
      </c>
      <c r="E862">
        <f>TEXT(B862,"MMM-YYYY")</f>
        <v/>
      </c>
      <c r="F862">
        <f>Raw_Data!C862</f>
        <v/>
      </c>
      <c r="G862">
        <f>Raw_Data!D862</f>
        <v/>
      </c>
      <c r="H862">
        <f>Raw_Data!E862</f>
        <v/>
      </c>
      <c r="I862">
        <f>Raw_Data!F862</f>
        <v/>
      </c>
      <c r="J862">
        <f>Raw_Data!G862</f>
        <v/>
      </c>
      <c r="K862">
        <f>Raw_Data!H862</f>
        <v/>
      </c>
      <c r="L862" s="30">
        <f>Raw_Data!I862</f>
        <v/>
      </c>
      <c r="M862" s="31">
        <f>Raw_Data!J862</f>
        <v/>
      </c>
      <c r="N862" s="17">
        <f>K862*L862</f>
        <v/>
      </c>
      <c r="O862" s="17">
        <f>N862*(1-M862)</f>
        <v/>
      </c>
      <c r="P862" s="17">
        <f>Raw_Data!L862</f>
        <v/>
      </c>
      <c r="Q862" s="17">
        <f>O862-P862</f>
        <v/>
      </c>
      <c r="R862" s="31">
        <f>IF(O862=0,0,Q862/O862)</f>
        <v/>
      </c>
      <c r="S862">
        <f>XLOOKUP(F862,Lookups!$B$7:$B$11,Lookups!$C$7:$C$11,"Unknown")</f>
        <v/>
      </c>
      <c r="T862" s="31">
        <f>XLOOKUP(G862,Lookups!$E$7:$E$11,Lookups!$F$7:$F$11,0)</f>
        <v/>
      </c>
      <c r="U862" s="32">
        <f>R862-T862</f>
        <v/>
      </c>
      <c r="V862">
        <f>XLOOKUP(I862,Lookups!$H$7:$H$10,Lookups!$I$7:$I$10,"")</f>
        <v/>
      </c>
      <c r="W862">
        <f>IF(O862&gt;=50000,"HIGH VALUE","")</f>
        <v/>
      </c>
      <c r="X862">
        <f>IF(Q862&lt;0,"LOSS","")</f>
        <v/>
      </c>
      <c r="Y862">
        <f>IFS(M862&gt;=0.15,"Deep Discount",M862&gt;=0.1,"Moderate",TRUE,"Standard")</f>
        <v/>
      </c>
    </row>
    <row r="863">
      <c r="A863">
        <f>Raw_Data!A863</f>
        <v/>
      </c>
      <c r="B863" s="29">
        <f>Raw_Data!B863</f>
        <v/>
      </c>
      <c r="C863">
        <f>YEAR(B863)</f>
        <v/>
      </c>
      <c r="D863">
        <f>MONTH(B863)</f>
        <v/>
      </c>
      <c r="E863">
        <f>TEXT(B863,"MMM-YYYY")</f>
        <v/>
      </c>
      <c r="F863">
        <f>Raw_Data!C863</f>
        <v/>
      </c>
      <c r="G863">
        <f>Raw_Data!D863</f>
        <v/>
      </c>
      <c r="H863">
        <f>Raw_Data!E863</f>
        <v/>
      </c>
      <c r="I863">
        <f>Raw_Data!F863</f>
        <v/>
      </c>
      <c r="J863">
        <f>Raw_Data!G863</f>
        <v/>
      </c>
      <c r="K863">
        <f>Raw_Data!H863</f>
        <v/>
      </c>
      <c r="L863" s="30">
        <f>Raw_Data!I863</f>
        <v/>
      </c>
      <c r="M863" s="31">
        <f>Raw_Data!J863</f>
        <v/>
      </c>
      <c r="N863" s="17">
        <f>K863*L863</f>
        <v/>
      </c>
      <c r="O863" s="17">
        <f>N863*(1-M863)</f>
        <v/>
      </c>
      <c r="P863" s="17">
        <f>Raw_Data!L863</f>
        <v/>
      </c>
      <c r="Q863" s="17">
        <f>O863-P863</f>
        <v/>
      </c>
      <c r="R863" s="31">
        <f>IF(O863=0,0,Q863/O863)</f>
        <v/>
      </c>
      <c r="S863">
        <f>XLOOKUP(F863,Lookups!$B$7:$B$11,Lookups!$C$7:$C$11,"Unknown")</f>
        <v/>
      </c>
      <c r="T863" s="31">
        <f>XLOOKUP(G863,Lookups!$E$7:$E$11,Lookups!$F$7:$F$11,0)</f>
        <v/>
      </c>
      <c r="U863" s="32">
        <f>R863-T863</f>
        <v/>
      </c>
      <c r="V863">
        <f>XLOOKUP(I863,Lookups!$H$7:$H$10,Lookups!$I$7:$I$10,"")</f>
        <v/>
      </c>
      <c r="W863">
        <f>IF(O863&gt;=50000,"HIGH VALUE","")</f>
        <v/>
      </c>
      <c r="X863">
        <f>IF(Q863&lt;0,"LOSS","")</f>
        <v/>
      </c>
      <c r="Y863">
        <f>IFS(M863&gt;=0.15,"Deep Discount",M863&gt;=0.1,"Moderate",TRUE,"Standard")</f>
        <v/>
      </c>
    </row>
    <row r="864">
      <c r="A864">
        <f>Raw_Data!A864</f>
        <v/>
      </c>
      <c r="B864" s="29">
        <f>Raw_Data!B864</f>
        <v/>
      </c>
      <c r="C864">
        <f>YEAR(B864)</f>
        <v/>
      </c>
      <c r="D864">
        <f>MONTH(B864)</f>
        <v/>
      </c>
      <c r="E864">
        <f>TEXT(B864,"MMM-YYYY")</f>
        <v/>
      </c>
      <c r="F864">
        <f>Raw_Data!C864</f>
        <v/>
      </c>
      <c r="G864">
        <f>Raw_Data!D864</f>
        <v/>
      </c>
      <c r="H864">
        <f>Raw_Data!E864</f>
        <v/>
      </c>
      <c r="I864">
        <f>Raw_Data!F864</f>
        <v/>
      </c>
      <c r="J864">
        <f>Raw_Data!G864</f>
        <v/>
      </c>
      <c r="K864">
        <f>Raw_Data!H864</f>
        <v/>
      </c>
      <c r="L864" s="30">
        <f>Raw_Data!I864</f>
        <v/>
      </c>
      <c r="M864" s="31">
        <f>Raw_Data!J864</f>
        <v/>
      </c>
      <c r="N864" s="17">
        <f>K864*L864</f>
        <v/>
      </c>
      <c r="O864" s="17">
        <f>N864*(1-M864)</f>
        <v/>
      </c>
      <c r="P864" s="17">
        <f>Raw_Data!L864</f>
        <v/>
      </c>
      <c r="Q864" s="17">
        <f>O864-P864</f>
        <v/>
      </c>
      <c r="R864" s="31">
        <f>IF(O864=0,0,Q864/O864)</f>
        <v/>
      </c>
      <c r="S864">
        <f>XLOOKUP(F864,Lookups!$B$7:$B$11,Lookups!$C$7:$C$11,"Unknown")</f>
        <v/>
      </c>
      <c r="T864" s="31">
        <f>XLOOKUP(G864,Lookups!$E$7:$E$11,Lookups!$F$7:$F$11,0)</f>
        <v/>
      </c>
      <c r="U864" s="32">
        <f>R864-T864</f>
        <v/>
      </c>
      <c r="V864">
        <f>XLOOKUP(I864,Lookups!$H$7:$H$10,Lookups!$I$7:$I$10,"")</f>
        <v/>
      </c>
      <c r="W864">
        <f>IF(O864&gt;=50000,"HIGH VALUE","")</f>
        <v/>
      </c>
      <c r="X864">
        <f>IF(Q864&lt;0,"LOSS","")</f>
        <v/>
      </c>
      <c r="Y864">
        <f>IFS(M864&gt;=0.15,"Deep Discount",M864&gt;=0.1,"Moderate",TRUE,"Standard")</f>
        <v/>
      </c>
    </row>
    <row r="865">
      <c r="A865">
        <f>Raw_Data!A865</f>
        <v/>
      </c>
      <c r="B865" s="29">
        <f>Raw_Data!B865</f>
        <v/>
      </c>
      <c r="C865">
        <f>YEAR(B865)</f>
        <v/>
      </c>
      <c r="D865">
        <f>MONTH(B865)</f>
        <v/>
      </c>
      <c r="E865">
        <f>TEXT(B865,"MMM-YYYY")</f>
        <v/>
      </c>
      <c r="F865">
        <f>Raw_Data!C865</f>
        <v/>
      </c>
      <c r="G865">
        <f>Raw_Data!D865</f>
        <v/>
      </c>
      <c r="H865">
        <f>Raw_Data!E865</f>
        <v/>
      </c>
      <c r="I865">
        <f>Raw_Data!F865</f>
        <v/>
      </c>
      <c r="J865">
        <f>Raw_Data!G865</f>
        <v/>
      </c>
      <c r="K865">
        <f>Raw_Data!H865</f>
        <v/>
      </c>
      <c r="L865" s="30">
        <f>Raw_Data!I865</f>
        <v/>
      </c>
      <c r="M865" s="31">
        <f>Raw_Data!J865</f>
        <v/>
      </c>
      <c r="N865" s="17">
        <f>K865*L865</f>
        <v/>
      </c>
      <c r="O865" s="17">
        <f>N865*(1-M865)</f>
        <v/>
      </c>
      <c r="P865" s="17">
        <f>Raw_Data!L865</f>
        <v/>
      </c>
      <c r="Q865" s="17">
        <f>O865-P865</f>
        <v/>
      </c>
      <c r="R865" s="31">
        <f>IF(O865=0,0,Q865/O865)</f>
        <v/>
      </c>
      <c r="S865">
        <f>XLOOKUP(F865,Lookups!$B$7:$B$11,Lookups!$C$7:$C$11,"Unknown")</f>
        <v/>
      </c>
      <c r="T865" s="31">
        <f>XLOOKUP(G865,Lookups!$E$7:$E$11,Lookups!$F$7:$F$11,0)</f>
        <v/>
      </c>
      <c r="U865" s="32">
        <f>R865-T865</f>
        <v/>
      </c>
      <c r="V865">
        <f>XLOOKUP(I865,Lookups!$H$7:$H$10,Lookups!$I$7:$I$10,"")</f>
        <v/>
      </c>
      <c r="W865">
        <f>IF(O865&gt;=50000,"HIGH VALUE","")</f>
        <v/>
      </c>
      <c r="X865">
        <f>IF(Q865&lt;0,"LOSS","")</f>
        <v/>
      </c>
      <c r="Y865">
        <f>IFS(M865&gt;=0.15,"Deep Discount",M865&gt;=0.1,"Moderate",TRUE,"Standard")</f>
        <v/>
      </c>
    </row>
    <row r="866">
      <c r="A866">
        <f>Raw_Data!A866</f>
        <v/>
      </c>
      <c r="B866" s="29">
        <f>Raw_Data!B866</f>
        <v/>
      </c>
      <c r="C866">
        <f>YEAR(B866)</f>
        <v/>
      </c>
      <c r="D866">
        <f>MONTH(B866)</f>
        <v/>
      </c>
      <c r="E866">
        <f>TEXT(B866,"MMM-YYYY")</f>
        <v/>
      </c>
      <c r="F866">
        <f>Raw_Data!C866</f>
        <v/>
      </c>
      <c r="G866">
        <f>Raw_Data!D866</f>
        <v/>
      </c>
      <c r="H866">
        <f>Raw_Data!E866</f>
        <v/>
      </c>
      <c r="I866">
        <f>Raw_Data!F866</f>
        <v/>
      </c>
      <c r="J866">
        <f>Raw_Data!G866</f>
        <v/>
      </c>
      <c r="K866">
        <f>Raw_Data!H866</f>
        <v/>
      </c>
      <c r="L866" s="30">
        <f>Raw_Data!I866</f>
        <v/>
      </c>
      <c r="M866" s="31">
        <f>Raw_Data!J866</f>
        <v/>
      </c>
      <c r="N866" s="17">
        <f>K866*L866</f>
        <v/>
      </c>
      <c r="O866" s="17">
        <f>N866*(1-M866)</f>
        <v/>
      </c>
      <c r="P866" s="17">
        <f>Raw_Data!L866</f>
        <v/>
      </c>
      <c r="Q866" s="17">
        <f>O866-P866</f>
        <v/>
      </c>
      <c r="R866" s="31">
        <f>IF(O866=0,0,Q866/O866)</f>
        <v/>
      </c>
      <c r="S866">
        <f>XLOOKUP(F866,Lookups!$B$7:$B$11,Lookups!$C$7:$C$11,"Unknown")</f>
        <v/>
      </c>
      <c r="T866" s="31">
        <f>XLOOKUP(G866,Lookups!$E$7:$E$11,Lookups!$F$7:$F$11,0)</f>
        <v/>
      </c>
      <c r="U866" s="32">
        <f>R866-T866</f>
        <v/>
      </c>
      <c r="V866">
        <f>XLOOKUP(I866,Lookups!$H$7:$H$10,Lookups!$I$7:$I$10,"")</f>
        <v/>
      </c>
      <c r="W866">
        <f>IF(O866&gt;=50000,"HIGH VALUE","")</f>
        <v/>
      </c>
      <c r="X866">
        <f>IF(Q866&lt;0,"LOSS","")</f>
        <v/>
      </c>
      <c r="Y866">
        <f>IFS(M866&gt;=0.15,"Deep Discount",M866&gt;=0.1,"Moderate",TRUE,"Standard")</f>
        <v/>
      </c>
    </row>
    <row r="867">
      <c r="A867">
        <f>Raw_Data!A867</f>
        <v/>
      </c>
      <c r="B867" s="29">
        <f>Raw_Data!B867</f>
        <v/>
      </c>
      <c r="C867">
        <f>YEAR(B867)</f>
        <v/>
      </c>
      <c r="D867">
        <f>MONTH(B867)</f>
        <v/>
      </c>
      <c r="E867">
        <f>TEXT(B867,"MMM-YYYY")</f>
        <v/>
      </c>
      <c r="F867">
        <f>Raw_Data!C867</f>
        <v/>
      </c>
      <c r="G867">
        <f>Raw_Data!D867</f>
        <v/>
      </c>
      <c r="H867">
        <f>Raw_Data!E867</f>
        <v/>
      </c>
      <c r="I867">
        <f>Raw_Data!F867</f>
        <v/>
      </c>
      <c r="J867">
        <f>Raw_Data!G867</f>
        <v/>
      </c>
      <c r="K867">
        <f>Raw_Data!H867</f>
        <v/>
      </c>
      <c r="L867" s="30">
        <f>Raw_Data!I867</f>
        <v/>
      </c>
      <c r="M867" s="31">
        <f>Raw_Data!J867</f>
        <v/>
      </c>
      <c r="N867" s="17">
        <f>K867*L867</f>
        <v/>
      </c>
      <c r="O867" s="17">
        <f>N867*(1-M867)</f>
        <v/>
      </c>
      <c r="P867" s="17">
        <f>Raw_Data!L867</f>
        <v/>
      </c>
      <c r="Q867" s="17">
        <f>O867-P867</f>
        <v/>
      </c>
      <c r="R867" s="31">
        <f>IF(O867=0,0,Q867/O867)</f>
        <v/>
      </c>
      <c r="S867">
        <f>XLOOKUP(F867,Lookups!$B$7:$B$11,Lookups!$C$7:$C$11,"Unknown")</f>
        <v/>
      </c>
      <c r="T867" s="31">
        <f>XLOOKUP(G867,Lookups!$E$7:$E$11,Lookups!$F$7:$F$11,0)</f>
        <v/>
      </c>
      <c r="U867" s="32">
        <f>R867-T867</f>
        <v/>
      </c>
      <c r="V867">
        <f>XLOOKUP(I867,Lookups!$H$7:$H$10,Lookups!$I$7:$I$10,"")</f>
        <v/>
      </c>
      <c r="W867">
        <f>IF(O867&gt;=50000,"HIGH VALUE","")</f>
        <v/>
      </c>
      <c r="X867">
        <f>IF(Q867&lt;0,"LOSS","")</f>
        <v/>
      </c>
      <c r="Y867">
        <f>IFS(M867&gt;=0.15,"Deep Discount",M867&gt;=0.1,"Moderate",TRUE,"Standard")</f>
        <v/>
      </c>
    </row>
    <row r="868">
      <c r="A868">
        <f>Raw_Data!A868</f>
        <v/>
      </c>
      <c r="B868" s="29">
        <f>Raw_Data!B868</f>
        <v/>
      </c>
      <c r="C868">
        <f>YEAR(B868)</f>
        <v/>
      </c>
      <c r="D868">
        <f>MONTH(B868)</f>
        <v/>
      </c>
      <c r="E868">
        <f>TEXT(B868,"MMM-YYYY")</f>
        <v/>
      </c>
      <c r="F868">
        <f>Raw_Data!C868</f>
        <v/>
      </c>
      <c r="G868">
        <f>Raw_Data!D868</f>
        <v/>
      </c>
      <c r="H868">
        <f>Raw_Data!E868</f>
        <v/>
      </c>
      <c r="I868">
        <f>Raw_Data!F868</f>
        <v/>
      </c>
      <c r="J868">
        <f>Raw_Data!G868</f>
        <v/>
      </c>
      <c r="K868">
        <f>Raw_Data!H868</f>
        <v/>
      </c>
      <c r="L868" s="30">
        <f>Raw_Data!I868</f>
        <v/>
      </c>
      <c r="M868" s="31">
        <f>Raw_Data!J868</f>
        <v/>
      </c>
      <c r="N868" s="17">
        <f>K868*L868</f>
        <v/>
      </c>
      <c r="O868" s="17">
        <f>N868*(1-M868)</f>
        <v/>
      </c>
      <c r="P868" s="17">
        <f>Raw_Data!L868</f>
        <v/>
      </c>
      <c r="Q868" s="17">
        <f>O868-P868</f>
        <v/>
      </c>
      <c r="R868" s="31">
        <f>IF(O868=0,0,Q868/O868)</f>
        <v/>
      </c>
      <c r="S868">
        <f>XLOOKUP(F868,Lookups!$B$7:$B$11,Lookups!$C$7:$C$11,"Unknown")</f>
        <v/>
      </c>
      <c r="T868" s="31">
        <f>XLOOKUP(G868,Lookups!$E$7:$E$11,Lookups!$F$7:$F$11,0)</f>
        <v/>
      </c>
      <c r="U868" s="32">
        <f>R868-T868</f>
        <v/>
      </c>
      <c r="V868">
        <f>XLOOKUP(I868,Lookups!$H$7:$H$10,Lookups!$I$7:$I$10,"")</f>
        <v/>
      </c>
      <c r="W868">
        <f>IF(O868&gt;=50000,"HIGH VALUE","")</f>
        <v/>
      </c>
      <c r="X868">
        <f>IF(Q868&lt;0,"LOSS","")</f>
        <v/>
      </c>
      <c r="Y868">
        <f>IFS(M868&gt;=0.15,"Deep Discount",M868&gt;=0.1,"Moderate",TRUE,"Standard")</f>
        <v/>
      </c>
    </row>
    <row r="869">
      <c r="A869">
        <f>Raw_Data!A869</f>
        <v/>
      </c>
      <c r="B869" s="29">
        <f>Raw_Data!B869</f>
        <v/>
      </c>
      <c r="C869">
        <f>YEAR(B869)</f>
        <v/>
      </c>
      <c r="D869">
        <f>MONTH(B869)</f>
        <v/>
      </c>
      <c r="E869">
        <f>TEXT(B869,"MMM-YYYY")</f>
        <v/>
      </c>
      <c r="F869">
        <f>Raw_Data!C869</f>
        <v/>
      </c>
      <c r="G869">
        <f>Raw_Data!D869</f>
        <v/>
      </c>
      <c r="H869">
        <f>Raw_Data!E869</f>
        <v/>
      </c>
      <c r="I869">
        <f>Raw_Data!F869</f>
        <v/>
      </c>
      <c r="J869">
        <f>Raw_Data!G869</f>
        <v/>
      </c>
      <c r="K869">
        <f>Raw_Data!H869</f>
        <v/>
      </c>
      <c r="L869" s="30">
        <f>Raw_Data!I869</f>
        <v/>
      </c>
      <c r="M869" s="31">
        <f>Raw_Data!J869</f>
        <v/>
      </c>
      <c r="N869" s="17">
        <f>K869*L869</f>
        <v/>
      </c>
      <c r="O869" s="17">
        <f>N869*(1-M869)</f>
        <v/>
      </c>
      <c r="P869" s="17">
        <f>Raw_Data!L869</f>
        <v/>
      </c>
      <c r="Q869" s="17">
        <f>O869-P869</f>
        <v/>
      </c>
      <c r="R869" s="31">
        <f>IF(O869=0,0,Q869/O869)</f>
        <v/>
      </c>
      <c r="S869">
        <f>XLOOKUP(F869,Lookups!$B$7:$B$11,Lookups!$C$7:$C$11,"Unknown")</f>
        <v/>
      </c>
      <c r="T869" s="31">
        <f>XLOOKUP(G869,Lookups!$E$7:$E$11,Lookups!$F$7:$F$11,0)</f>
        <v/>
      </c>
      <c r="U869" s="32">
        <f>R869-T869</f>
        <v/>
      </c>
      <c r="V869">
        <f>XLOOKUP(I869,Lookups!$H$7:$H$10,Lookups!$I$7:$I$10,"")</f>
        <v/>
      </c>
      <c r="W869">
        <f>IF(O869&gt;=50000,"HIGH VALUE","")</f>
        <v/>
      </c>
      <c r="X869">
        <f>IF(Q869&lt;0,"LOSS","")</f>
        <v/>
      </c>
      <c r="Y869">
        <f>IFS(M869&gt;=0.15,"Deep Discount",M869&gt;=0.1,"Moderate",TRUE,"Standard")</f>
        <v/>
      </c>
    </row>
    <row r="870">
      <c r="A870">
        <f>Raw_Data!A870</f>
        <v/>
      </c>
      <c r="B870" s="29">
        <f>Raw_Data!B870</f>
        <v/>
      </c>
      <c r="C870">
        <f>YEAR(B870)</f>
        <v/>
      </c>
      <c r="D870">
        <f>MONTH(B870)</f>
        <v/>
      </c>
      <c r="E870">
        <f>TEXT(B870,"MMM-YYYY")</f>
        <v/>
      </c>
      <c r="F870">
        <f>Raw_Data!C870</f>
        <v/>
      </c>
      <c r="G870">
        <f>Raw_Data!D870</f>
        <v/>
      </c>
      <c r="H870">
        <f>Raw_Data!E870</f>
        <v/>
      </c>
      <c r="I870">
        <f>Raw_Data!F870</f>
        <v/>
      </c>
      <c r="J870">
        <f>Raw_Data!G870</f>
        <v/>
      </c>
      <c r="K870">
        <f>Raw_Data!H870</f>
        <v/>
      </c>
      <c r="L870" s="30">
        <f>Raw_Data!I870</f>
        <v/>
      </c>
      <c r="M870" s="31">
        <f>Raw_Data!J870</f>
        <v/>
      </c>
      <c r="N870" s="17">
        <f>K870*L870</f>
        <v/>
      </c>
      <c r="O870" s="17">
        <f>N870*(1-M870)</f>
        <v/>
      </c>
      <c r="P870" s="17">
        <f>Raw_Data!L870</f>
        <v/>
      </c>
      <c r="Q870" s="17">
        <f>O870-P870</f>
        <v/>
      </c>
      <c r="R870" s="31">
        <f>IF(O870=0,0,Q870/O870)</f>
        <v/>
      </c>
      <c r="S870">
        <f>XLOOKUP(F870,Lookups!$B$7:$B$11,Lookups!$C$7:$C$11,"Unknown")</f>
        <v/>
      </c>
      <c r="T870" s="31">
        <f>XLOOKUP(G870,Lookups!$E$7:$E$11,Lookups!$F$7:$F$11,0)</f>
        <v/>
      </c>
      <c r="U870" s="32">
        <f>R870-T870</f>
        <v/>
      </c>
      <c r="V870">
        <f>XLOOKUP(I870,Lookups!$H$7:$H$10,Lookups!$I$7:$I$10,"")</f>
        <v/>
      </c>
      <c r="W870">
        <f>IF(O870&gt;=50000,"HIGH VALUE","")</f>
        <v/>
      </c>
      <c r="X870">
        <f>IF(Q870&lt;0,"LOSS","")</f>
        <v/>
      </c>
      <c r="Y870">
        <f>IFS(M870&gt;=0.15,"Deep Discount",M870&gt;=0.1,"Moderate",TRUE,"Standard")</f>
        <v/>
      </c>
    </row>
    <row r="871">
      <c r="A871">
        <f>Raw_Data!A871</f>
        <v/>
      </c>
      <c r="B871" s="29">
        <f>Raw_Data!B871</f>
        <v/>
      </c>
      <c r="C871">
        <f>YEAR(B871)</f>
        <v/>
      </c>
      <c r="D871">
        <f>MONTH(B871)</f>
        <v/>
      </c>
      <c r="E871">
        <f>TEXT(B871,"MMM-YYYY")</f>
        <v/>
      </c>
      <c r="F871">
        <f>Raw_Data!C871</f>
        <v/>
      </c>
      <c r="G871">
        <f>Raw_Data!D871</f>
        <v/>
      </c>
      <c r="H871">
        <f>Raw_Data!E871</f>
        <v/>
      </c>
      <c r="I871">
        <f>Raw_Data!F871</f>
        <v/>
      </c>
      <c r="J871">
        <f>Raw_Data!G871</f>
        <v/>
      </c>
      <c r="K871">
        <f>Raw_Data!H871</f>
        <v/>
      </c>
      <c r="L871" s="30">
        <f>Raw_Data!I871</f>
        <v/>
      </c>
      <c r="M871" s="31">
        <f>Raw_Data!J871</f>
        <v/>
      </c>
      <c r="N871" s="17">
        <f>K871*L871</f>
        <v/>
      </c>
      <c r="O871" s="17">
        <f>N871*(1-M871)</f>
        <v/>
      </c>
      <c r="P871" s="17">
        <f>Raw_Data!L871</f>
        <v/>
      </c>
      <c r="Q871" s="17">
        <f>O871-P871</f>
        <v/>
      </c>
      <c r="R871" s="31">
        <f>IF(O871=0,0,Q871/O871)</f>
        <v/>
      </c>
      <c r="S871">
        <f>XLOOKUP(F871,Lookups!$B$7:$B$11,Lookups!$C$7:$C$11,"Unknown")</f>
        <v/>
      </c>
      <c r="T871" s="31">
        <f>XLOOKUP(G871,Lookups!$E$7:$E$11,Lookups!$F$7:$F$11,0)</f>
        <v/>
      </c>
      <c r="U871" s="32">
        <f>R871-T871</f>
        <v/>
      </c>
      <c r="V871">
        <f>XLOOKUP(I871,Lookups!$H$7:$H$10,Lookups!$I$7:$I$10,"")</f>
        <v/>
      </c>
      <c r="W871">
        <f>IF(O871&gt;=50000,"HIGH VALUE","")</f>
        <v/>
      </c>
      <c r="X871">
        <f>IF(Q871&lt;0,"LOSS","")</f>
        <v/>
      </c>
      <c r="Y871">
        <f>IFS(M871&gt;=0.15,"Deep Discount",M871&gt;=0.1,"Moderate",TRUE,"Standard")</f>
        <v/>
      </c>
    </row>
    <row r="872">
      <c r="A872">
        <f>Raw_Data!A872</f>
        <v/>
      </c>
      <c r="B872" s="29">
        <f>Raw_Data!B872</f>
        <v/>
      </c>
      <c r="C872">
        <f>YEAR(B872)</f>
        <v/>
      </c>
      <c r="D872">
        <f>MONTH(B872)</f>
        <v/>
      </c>
      <c r="E872">
        <f>TEXT(B872,"MMM-YYYY")</f>
        <v/>
      </c>
      <c r="F872">
        <f>Raw_Data!C872</f>
        <v/>
      </c>
      <c r="G872">
        <f>Raw_Data!D872</f>
        <v/>
      </c>
      <c r="H872">
        <f>Raw_Data!E872</f>
        <v/>
      </c>
      <c r="I872">
        <f>Raw_Data!F872</f>
        <v/>
      </c>
      <c r="J872">
        <f>Raw_Data!G872</f>
        <v/>
      </c>
      <c r="K872">
        <f>Raw_Data!H872</f>
        <v/>
      </c>
      <c r="L872" s="30">
        <f>Raw_Data!I872</f>
        <v/>
      </c>
      <c r="M872" s="31">
        <f>Raw_Data!J872</f>
        <v/>
      </c>
      <c r="N872" s="17">
        <f>K872*L872</f>
        <v/>
      </c>
      <c r="O872" s="17">
        <f>N872*(1-M872)</f>
        <v/>
      </c>
      <c r="P872" s="17">
        <f>Raw_Data!L872</f>
        <v/>
      </c>
      <c r="Q872" s="17">
        <f>O872-P872</f>
        <v/>
      </c>
      <c r="R872" s="31">
        <f>IF(O872=0,0,Q872/O872)</f>
        <v/>
      </c>
      <c r="S872">
        <f>XLOOKUP(F872,Lookups!$B$7:$B$11,Lookups!$C$7:$C$11,"Unknown")</f>
        <v/>
      </c>
      <c r="T872" s="31">
        <f>XLOOKUP(G872,Lookups!$E$7:$E$11,Lookups!$F$7:$F$11,0)</f>
        <v/>
      </c>
      <c r="U872" s="32">
        <f>R872-T872</f>
        <v/>
      </c>
      <c r="V872">
        <f>XLOOKUP(I872,Lookups!$H$7:$H$10,Lookups!$I$7:$I$10,"")</f>
        <v/>
      </c>
      <c r="W872">
        <f>IF(O872&gt;=50000,"HIGH VALUE","")</f>
        <v/>
      </c>
      <c r="X872">
        <f>IF(Q872&lt;0,"LOSS","")</f>
        <v/>
      </c>
      <c r="Y872">
        <f>IFS(M872&gt;=0.15,"Deep Discount",M872&gt;=0.1,"Moderate",TRUE,"Standard")</f>
        <v/>
      </c>
    </row>
    <row r="873">
      <c r="A873">
        <f>Raw_Data!A873</f>
        <v/>
      </c>
      <c r="B873" s="29">
        <f>Raw_Data!B873</f>
        <v/>
      </c>
      <c r="C873">
        <f>YEAR(B873)</f>
        <v/>
      </c>
      <c r="D873">
        <f>MONTH(B873)</f>
        <v/>
      </c>
      <c r="E873">
        <f>TEXT(B873,"MMM-YYYY")</f>
        <v/>
      </c>
      <c r="F873">
        <f>Raw_Data!C873</f>
        <v/>
      </c>
      <c r="G873">
        <f>Raw_Data!D873</f>
        <v/>
      </c>
      <c r="H873">
        <f>Raw_Data!E873</f>
        <v/>
      </c>
      <c r="I873">
        <f>Raw_Data!F873</f>
        <v/>
      </c>
      <c r="J873">
        <f>Raw_Data!G873</f>
        <v/>
      </c>
      <c r="K873">
        <f>Raw_Data!H873</f>
        <v/>
      </c>
      <c r="L873" s="30">
        <f>Raw_Data!I873</f>
        <v/>
      </c>
      <c r="M873" s="31">
        <f>Raw_Data!J873</f>
        <v/>
      </c>
      <c r="N873" s="17">
        <f>K873*L873</f>
        <v/>
      </c>
      <c r="O873" s="17">
        <f>N873*(1-M873)</f>
        <v/>
      </c>
      <c r="P873" s="17">
        <f>Raw_Data!L873</f>
        <v/>
      </c>
      <c r="Q873" s="17">
        <f>O873-P873</f>
        <v/>
      </c>
      <c r="R873" s="31">
        <f>IF(O873=0,0,Q873/O873)</f>
        <v/>
      </c>
      <c r="S873">
        <f>XLOOKUP(F873,Lookups!$B$7:$B$11,Lookups!$C$7:$C$11,"Unknown")</f>
        <v/>
      </c>
      <c r="T873" s="31">
        <f>XLOOKUP(G873,Lookups!$E$7:$E$11,Lookups!$F$7:$F$11,0)</f>
        <v/>
      </c>
      <c r="U873" s="32">
        <f>R873-T873</f>
        <v/>
      </c>
      <c r="V873">
        <f>XLOOKUP(I873,Lookups!$H$7:$H$10,Lookups!$I$7:$I$10,"")</f>
        <v/>
      </c>
      <c r="W873">
        <f>IF(O873&gt;=50000,"HIGH VALUE","")</f>
        <v/>
      </c>
      <c r="X873">
        <f>IF(Q873&lt;0,"LOSS","")</f>
        <v/>
      </c>
      <c r="Y873">
        <f>IFS(M873&gt;=0.15,"Deep Discount",M873&gt;=0.1,"Moderate",TRUE,"Standard")</f>
        <v/>
      </c>
    </row>
    <row r="874">
      <c r="A874">
        <f>Raw_Data!A874</f>
        <v/>
      </c>
      <c r="B874" s="29">
        <f>Raw_Data!B874</f>
        <v/>
      </c>
      <c r="C874">
        <f>YEAR(B874)</f>
        <v/>
      </c>
      <c r="D874">
        <f>MONTH(B874)</f>
        <v/>
      </c>
      <c r="E874">
        <f>TEXT(B874,"MMM-YYYY")</f>
        <v/>
      </c>
      <c r="F874">
        <f>Raw_Data!C874</f>
        <v/>
      </c>
      <c r="G874">
        <f>Raw_Data!D874</f>
        <v/>
      </c>
      <c r="H874">
        <f>Raw_Data!E874</f>
        <v/>
      </c>
      <c r="I874">
        <f>Raw_Data!F874</f>
        <v/>
      </c>
      <c r="J874">
        <f>Raw_Data!G874</f>
        <v/>
      </c>
      <c r="K874">
        <f>Raw_Data!H874</f>
        <v/>
      </c>
      <c r="L874" s="30">
        <f>Raw_Data!I874</f>
        <v/>
      </c>
      <c r="M874" s="31">
        <f>Raw_Data!J874</f>
        <v/>
      </c>
      <c r="N874" s="17">
        <f>K874*L874</f>
        <v/>
      </c>
      <c r="O874" s="17">
        <f>N874*(1-M874)</f>
        <v/>
      </c>
      <c r="P874" s="17">
        <f>Raw_Data!L874</f>
        <v/>
      </c>
      <c r="Q874" s="17">
        <f>O874-P874</f>
        <v/>
      </c>
      <c r="R874" s="31">
        <f>IF(O874=0,0,Q874/O874)</f>
        <v/>
      </c>
      <c r="S874">
        <f>XLOOKUP(F874,Lookups!$B$7:$B$11,Lookups!$C$7:$C$11,"Unknown")</f>
        <v/>
      </c>
      <c r="T874" s="31">
        <f>XLOOKUP(G874,Lookups!$E$7:$E$11,Lookups!$F$7:$F$11,0)</f>
        <v/>
      </c>
      <c r="U874" s="32">
        <f>R874-T874</f>
        <v/>
      </c>
      <c r="V874">
        <f>XLOOKUP(I874,Lookups!$H$7:$H$10,Lookups!$I$7:$I$10,"")</f>
        <v/>
      </c>
      <c r="W874">
        <f>IF(O874&gt;=50000,"HIGH VALUE","")</f>
        <v/>
      </c>
      <c r="X874">
        <f>IF(Q874&lt;0,"LOSS","")</f>
        <v/>
      </c>
      <c r="Y874">
        <f>IFS(M874&gt;=0.15,"Deep Discount",M874&gt;=0.1,"Moderate",TRUE,"Standard")</f>
        <v/>
      </c>
    </row>
    <row r="875">
      <c r="A875">
        <f>Raw_Data!A875</f>
        <v/>
      </c>
      <c r="B875" s="29">
        <f>Raw_Data!B875</f>
        <v/>
      </c>
      <c r="C875">
        <f>YEAR(B875)</f>
        <v/>
      </c>
      <c r="D875">
        <f>MONTH(B875)</f>
        <v/>
      </c>
      <c r="E875">
        <f>TEXT(B875,"MMM-YYYY")</f>
        <v/>
      </c>
      <c r="F875">
        <f>Raw_Data!C875</f>
        <v/>
      </c>
      <c r="G875">
        <f>Raw_Data!D875</f>
        <v/>
      </c>
      <c r="H875">
        <f>Raw_Data!E875</f>
        <v/>
      </c>
      <c r="I875">
        <f>Raw_Data!F875</f>
        <v/>
      </c>
      <c r="J875">
        <f>Raw_Data!G875</f>
        <v/>
      </c>
      <c r="K875">
        <f>Raw_Data!H875</f>
        <v/>
      </c>
      <c r="L875" s="30">
        <f>Raw_Data!I875</f>
        <v/>
      </c>
      <c r="M875" s="31">
        <f>Raw_Data!J875</f>
        <v/>
      </c>
      <c r="N875" s="17">
        <f>K875*L875</f>
        <v/>
      </c>
      <c r="O875" s="17">
        <f>N875*(1-M875)</f>
        <v/>
      </c>
      <c r="P875" s="17">
        <f>Raw_Data!L875</f>
        <v/>
      </c>
      <c r="Q875" s="17">
        <f>O875-P875</f>
        <v/>
      </c>
      <c r="R875" s="31">
        <f>IF(O875=0,0,Q875/O875)</f>
        <v/>
      </c>
      <c r="S875">
        <f>XLOOKUP(F875,Lookups!$B$7:$B$11,Lookups!$C$7:$C$11,"Unknown")</f>
        <v/>
      </c>
      <c r="T875" s="31">
        <f>XLOOKUP(G875,Lookups!$E$7:$E$11,Lookups!$F$7:$F$11,0)</f>
        <v/>
      </c>
      <c r="U875" s="32">
        <f>R875-T875</f>
        <v/>
      </c>
      <c r="V875">
        <f>XLOOKUP(I875,Lookups!$H$7:$H$10,Lookups!$I$7:$I$10,"")</f>
        <v/>
      </c>
      <c r="W875">
        <f>IF(O875&gt;=50000,"HIGH VALUE","")</f>
        <v/>
      </c>
      <c r="X875">
        <f>IF(Q875&lt;0,"LOSS","")</f>
        <v/>
      </c>
      <c r="Y875">
        <f>IFS(M875&gt;=0.15,"Deep Discount",M875&gt;=0.1,"Moderate",TRUE,"Standard")</f>
        <v/>
      </c>
    </row>
    <row r="876">
      <c r="A876">
        <f>Raw_Data!A876</f>
        <v/>
      </c>
      <c r="B876" s="29">
        <f>Raw_Data!B876</f>
        <v/>
      </c>
      <c r="C876">
        <f>YEAR(B876)</f>
        <v/>
      </c>
      <c r="D876">
        <f>MONTH(B876)</f>
        <v/>
      </c>
      <c r="E876">
        <f>TEXT(B876,"MMM-YYYY")</f>
        <v/>
      </c>
      <c r="F876">
        <f>Raw_Data!C876</f>
        <v/>
      </c>
      <c r="G876">
        <f>Raw_Data!D876</f>
        <v/>
      </c>
      <c r="H876">
        <f>Raw_Data!E876</f>
        <v/>
      </c>
      <c r="I876">
        <f>Raw_Data!F876</f>
        <v/>
      </c>
      <c r="J876">
        <f>Raw_Data!G876</f>
        <v/>
      </c>
      <c r="K876">
        <f>Raw_Data!H876</f>
        <v/>
      </c>
      <c r="L876" s="30">
        <f>Raw_Data!I876</f>
        <v/>
      </c>
      <c r="M876" s="31">
        <f>Raw_Data!J876</f>
        <v/>
      </c>
      <c r="N876" s="17">
        <f>K876*L876</f>
        <v/>
      </c>
      <c r="O876" s="17">
        <f>N876*(1-M876)</f>
        <v/>
      </c>
      <c r="P876" s="17">
        <f>Raw_Data!L876</f>
        <v/>
      </c>
      <c r="Q876" s="17">
        <f>O876-P876</f>
        <v/>
      </c>
      <c r="R876" s="31">
        <f>IF(O876=0,0,Q876/O876)</f>
        <v/>
      </c>
      <c r="S876">
        <f>XLOOKUP(F876,Lookups!$B$7:$B$11,Lookups!$C$7:$C$11,"Unknown")</f>
        <v/>
      </c>
      <c r="T876" s="31">
        <f>XLOOKUP(G876,Lookups!$E$7:$E$11,Lookups!$F$7:$F$11,0)</f>
        <v/>
      </c>
      <c r="U876" s="32">
        <f>R876-T876</f>
        <v/>
      </c>
      <c r="V876">
        <f>XLOOKUP(I876,Lookups!$H$7:$H$10,Lookups!$I$7:$I$10,"")</f>
        <v/>
      </c>
      <c r="W876">
        <f>IF(O876&gt;=50000,"HIGH VALUE","")</f>
        <v/>
      </c>
      <c r="X876">
        <f>IF(Q876&lt;0,"LOSS","")</f>
        <v/>
      </c>
      <c r="Y876">
        <f>IFS(M876&gt;=0.15,"Deep Discount",M876&gt;=0.1,"Moderate",TRUE,"Standard")</f>
        <v/>
      </c>
    </row>
    <row r="877">
      <c r="A877">
        <f>Raw_Data!A877</f>
        <v/>
      </c>
      <c r="B877" s="29">
        <f>Raw_Data!B877</f>
        <v/>
      </c>
      <c r="C877">
        <f>YEAR(B877)</f>
        <v/>
      </c>
      <c r="D877">
        <f>MONTH(B877)</f>
        <v/>
      </c>
      <c r="E877">
        <f>TEXT(B877,"MMM-YYYY")</f>
        <v/>
      </c>
      <c r="F877">
        <f>Raw_Data!C877</f>
        <v/>
      </c>
      <c r="G877">
        <f>Raw_Data!D877</f>
        <v/>
      </c>
      <c r="H877">
        <f>Raw_Data!E877</f>
        <v/>
      </c>
      <c r="I877">
        <f>Raw_Data!F877</f>
        <v/>
      </c>
      <c r="J877">
        <f>Raw_Data!G877</f>
        <v/>
      </c>
      <c r="K877">
        <f>Raw_Data!H877</f>
        <v/>
      </c>
      <c r="L877" s="30">
        <f>Raw_Data!I877</f>
        <v/>
      </c>
      <c r="M877" s="31">
        <f>Raw_Data!J877</f>
        <v/>
      </c>
      <c r="N877" s="17">
        <f>K877*L877</f>
        <v/>
      </c>
      <c r="O877" s="17">
        <f>N877*(1-M877)</f>
        <v/>
      </c>
      <c r="P877" s="17">
        <f>Raw_Data!L877</f>
        <v/>
      </c>
      <c r="Q877" s="17">
        <f>O877-P877</f>
        <v/>
      </c>
      <c r="R877" s="31">
        <f>IF(O877=0,0,Q877/O877)</f>
        <v/>
      </c>
      <c r="S877">
        <f>XLOOKUP(F877,Lookups!$B$7:$B$11,Lookups!$C$7:$C$11,"Unknown")</f>
        <v/>
      </c>
      <c r="T877" s="31">
        <f>XLOOKUP(G877,Lookups!$E$7:$E$11,Lookups!$F$7:$F$11,0)</f>
        <v/>
      </c>
      <c r="U877" s="32">
        <f>R877-T877</f>
        <v/>
      </c>
      <c r="V877">
        <f>XLOOKUP(I877,Lookups!$H$7:$H$10,Lookups!$I$7:$I$10,"")</f>
        <v/>
      </c>
      <c r="W877">
        <f>IF(O877&gt;=50000,"HIGH VALUE","")</f>
        <v/>
      </c>
      <c r="X877">
        <f>IF(Q877&lt;0,"LOSS","")</f>
        <v/>
      </c>
      <c r="Y877">
        <f>IFS(M877&gt;=0.15,"Deep Discount",M877&gt;=0.1,"Moderate",TRUE,"Standard")</f>
        <v/>
      </c>
    </row>
    <row r="878">
      <c r="A878">
        <f>Raw_Data!A878</f>
        <v/>
      </c>
      <c r="B878" s="29">
        <f>Raw_Data!B878</f>
        <v/>
      </c>
      <c r="C878">
        <f>YEAR(B878)</f>
        <v/>
      </c>
      <c r="D878">
        <f>MONTH(B878)</f>
        <v/>
      </c>
      <c r="E878">
        <f>TEXT(B878,"MMM-YYYY")</f>
        <v/>
      </c>
      <c r="F878">
        <f>Raw_Data!C878</f>
        <v/>
      </c>
      <c r="G878">
        <f>Raw_Data!D878</f>
        <v/>
      </c>
      <c r="H878">
        <f>Raw_Data!E878</f>
        <v/>
      </c>
      <c r="I878">
        <f>Raw_Data!F878</f>
        <v/>
      </c>
      <c r="J878">
        <f>Raw_Data!G878</f>
        <v/>
      </c>
      <c r="K878">
        <f>Raw_Data!H878</f>
        <v/>
      </c>
      <c r="L878" s="30">
        <f>Raw_Data!I878</f>
        <v/>
      </c>
      <c r="M878" s="31">
        <f>Raw_Data!J878</f>
        <v/>
      </c>
      <c r="N878" s="17">
        <f>K878*L878</f>
        <v/>
      </c>
      <c r="O878" s="17">
        <f>N878*(1-M878)</f>
        <v/>
      </c>
      <c r="P878" s="17">
        <f>Raw_Data!L878</f>
        <v/>
      </c>
      <c r="Q878" s="17">
        <f>O878-P878</f>
        <v/>
      </c>
      <c r="R878" s="31">
        <f>IF(O878=0,0,Q878/O878)</f>
        <v/>
      </c>
      <c r="S878">
        <f>XLOOKUP(F878,Lookups!$B$7:$B$11,Lookups!$C$7:$C$11,"Unknown")</f>
        <v/>
      </c>
      <c r="T878" s="31">
        <f>XLOOKUP(G878,Lookups!$E$7:$E$11,Lookups!$F$7:$F$11,0)</f>
        <v/>
      </c>
      <c r="U878" s="32">
        <f>R878-T878</f>
        <v/>
      </c>
      <c r="V878">
        <f>XLOOKUP(I878,Lookups!$H$7:$H$10,Lookups!$I$7:$I$10,"")</f>
        <v/>
      </c>
      <c r="W878">
        <f>IF(O878&gt;=50000,"HIGH VALUE","")</f>
        <v/>
      </c>
      <c r="X878">
        <f>IF(Q878&lt;0,"LOSS","")</f>
        <v/>
      </c>
      <c r="Y878">
        <f>IFS(M878&gt;=0.15,"Deep Discount",M878&gt;=0.1,"Moderate",TRUE,"Standard")</f>
        <v/>
      </c>
    </row>
    <row r="879">
      <c r="A879">
        <f>Raw_Data!A879</f>
        <v/>
      </c>
      <c r="B879" s="29">
        <f>Raw_Data!B879</f>
        <v/>
      </c>
      <c r="C879">
        <f>YEAR(B879)</f>
        <v/>
      </c>
      <c r="D879">
        <f>MONTH(B879)</f>
        <v/>
      </c>
      <c r="E879">
        <f>TEXT(B879,"MMM-YYYY")</f>
        <v/>
      </c>
      <c r="F879">
        <f>Raw_Data!C879</f>
        <v/>
      </c>
      <c r="G879">
        <f>Raw_Data!D879</f>
        <v/>
      </c>
      <c r="H879">
        <f>Raw_Data!E879</f>
        <v/>
      </c>
      <c r="I879">
        <f>Raw_Data!F879</f>
        <v/>
      </c>
      <c r="J879">
        <f>Raw_Data!G879</f>
        <v/>
      </c>
      <c r="K879">
        <f>Raw_Data!H879</f>
        <v/>
      </c>
      <c r="L879" s="30">
        <f>Raw_Data!I879</f>
        <v/>
      </c>
      <c r="M879" s="31">
        <f>Raw_Data!J879</f>
        <v/>
      </c>
      <c r="N879" s="17">
        <f>K879*L879</f>
        <v/>
      </c>
      <c r="O879" s="17">
        <f>N879*(1-M879)</f>
        <v/>
      </c>
      <c r="P879" s="17">
        <f>Raw_Data!L879</f>
        <v/>
      </c>
      <c r="Q879" s="17">
        <f>O879-P879</f>
        <v/>
      </c>
      <c r="R879" s="31">
        <f>IF(O879=0,0,Q879/O879)</f>
        <v/>
      </c>
      <c r="S879">
        <f>XLOOKUP(F879,Lookups!$B$7:$B$11,Lookups!$C$7:$C$11,"Unknown")</f>
        <v/>
      </c>
      <c r="T879" s="31">
        <f>XLOOKUP(G879,Lookups!$E$7:$E$11,Lookups!$F$7:$F$11,0)</f>
        <v/>
      </c>
      <c r="U879" s="32">
        <f>R879-T879</f>
        <v/>
      </c>
      <c r="V879">
        <f>XLOOKUP(I879,Lookups!$H$7:$H$10,Lookups!$I$7:$I$10,"")</f>
        <v/>
      </c>
      <c r="W879">
        <f>IF(O879&gt;=50000,"HIGH VALUE","")</f>
        <v/>
      </c>
      <c r="X879">
        <f>IF(Q879&lt;0,"LOSS","")</f>
        <v/>
      </c>
      <c r="Y879">
        <f>IFS(M879&gt;=0.15,"Deep Discount",M879&gt;=0.1,"Moderate",TRUE,"Standard")</f>
        <v/>
      </c>
    </row>
    <row r="880">
      <c r="A880">
        <f>Raw_Data!A880</f>
        <v/>
      </c>
      <c r="B880" s="29">
        <f>Raw_Data!B880</f>
        <v/>
      </c>
      <c r="C880">
        <f>YEAR(B880)</f>
        <v/>
      </c>
      <c r="D880">
        <f>MONTH(B880)</f>
        <v/>
      </c>
      <c r="E880">
        <f>TEXT(B880,"MMM-YYYY")</f>
        <v/>
      </c>
      <c r="F880">
        <f>Raw_Data!C880</f>
        <v/>
      </c>
      <c r="G880">
        <f>Raw_Data!D880</f>
        <v/>
      </c>
      <c r="H880">
        <f>Raw_Data!E880</f>
        <v/>
      </c>
      <c r="I880">
        <f>Raw_Data!F880</f>
        <v/>
      </c>
      <c r="J880">
        <f>Raw_Data!G880</f>
        <v/>
      </c>
      <c r="K880">
        <f>Raw_Data!H880</f>
        <v/>
      </c>
      <c r="L880" s="30">
        <f>Raw_Data!I880</f>
        <v/>
      </c>
      <c r="M880" s="31">
        <f>Raw_Data!J880</f>
        <v/>
      </c>
      <c r="N880" s="17">
        <f>K880*L880</f>
        <v/>
      </c>
      <c r="O880" s="17">
        <f>N880*(1-M880)</f>
        <v/>
      </c>
      <c r="P880" s="17">
        <f>Raw_Data!L880</f>
        <v/>
      </c>
      <c r="Q880" s="17">
        <f>O880-P880</f>
        <v/>
      </c>
      <c r="R880" s="31">
        <f>IF(O880=0,0,Q880/O880)</f>
        <v/>
      </c>
      <c r="S880">
        <f>XLOOKUP(F880,Lookups!$B$7:$B$11,Lookups!$C$7:$C$11,"Unknown")</f>
        <v/>
      </c>
      <c r="T880" s="31">
        <f>XLOOKUP(G880,Lookups!$E$7:$E$11,Lookups!$F$7:$F$11,0)</f>
        <v/>
      </c>
      <c r="U880" s="32">
        <f>R880-T880</f>
        <v/>
      </c>
      <c r="V880">
        <f>XLOOKUP(I880,Lookups!$H$7:$H$10,Lookups!$I$7:$I$10,"")</f>
        <v/>
      </c>
      <c r="W880">
        <f>IF(O880&gt;=50000,"HIGH VALUE","")</f>
        <v/>
      </c>
      <c r="X880">
        <f>IF(Q880&lt;0,"LOSS","")</f>
        <v/>
      </c>
      <c r="Y880">
        <f>IFS(M880&gt;=0.15,"Deep Discount",M880&gt;=0.1,"Moderate",TRUE,"Standard")</f>
        <v/>
      </c>
    </row>
    <row r="881">
      <c r="A881">
        <f>Raw_Data!A881</f>
        <v/>
      </c>
      <c r="B881" s="29">
        <f>Raw_Data!B881</f>
        <v/>
      </c>
      <c r="C881">
        <f>YEAR(B881)</f>
        <v/>
      </c>
      <c r="D881">
        <f>MONTH(B881)</f>
        <v/>
      </c>
      <c r="E881">
        <f>TEXT(B881,"MMM-YYYY")</f>
        <v/>
      </c>
      <c r="F881">
        <f>Raw_Data!C881</f>
        <v/>
      </c>
      <c r="G881">
        <f>Raw_Data!D881</f>
        <v/>
      </c>
      <c r="H881">
        <f>Raw_Data!E881</f>
        <v/>
      </c>
      <c r="I881">
        <f>Raw_Data!F881</f>
        <v/>
      </c>
      <c r="J881">
        <f>Raw_Data!G881</f>
        <v/>
      </c>
      <c r="K881">
        <f>Raw_Data!H881</f>
        <v/>
      </c>
      <c r="L881" s="30">
        <f>Raw_Data!I881</f>
        <v/>
      </c>
      <c r="M881" s="31">
        <f>Raw_Data!J881</f>
        <v/>
      </c>
      <c r="N881" s="17">
        <f>K881*L881</f>
        <v/>
      </c>
      <c r="O881" s="17">
        <f>N881*(1-M881)</f>
        <v/>
      </c>
      <c r="P881" s="17">
        <f>Raw_Data!L881</f>
        <v/>
      </c>
      <c r="Q881" s="17">
        <f>O881-P881</f>
        <v/>
      </c>
      <c r="R881" s="31">
        <f>IF(O881=0,0,Q881/O881)</f>
        <v/>
      </c>
      <c r="S881">
        <f>XLOOKUP(F881,Lookups!$B$7:$B$11,Lookups!$C$7:$C$11,"Unknown")</f>
        <v/>
      </c>
      <c r="T881" s="31">
        <f>XLOOKUP(G881,Lookups!$E$7:$E$11,Lookups!$F$7:$F$11,0)</f>
        <v/>
      </c>
      <c r="U881" s="32">
        <f>R881-T881</f>
        <v/>
      </c>
      <c r="V881">
        <f>XLOOKUP(I881,Lookups!$H$7:$H$10,Lookups!$I$7:$I$10,"")</f>
        <v/>
      </c>
      <c r="W881">
        <f>IF(O881&gt;=50000,"HIGH VALUE","")</f>
        <v/>
      </c>
      <c r="X881">
        <f>IF(Q881&lt;0,"LOSS","")</f>
        <v/>
      </c>
      <c r="Y881">
        <f>IFS(M881&gt;=0.15,"Deep Discount",M881&gt;=0.1,"Moderate",TRUE,"Standard")</f>
        <v/>
      </c>
    </row>
    <row r="882">
      <c r="A882">
        <f>Raw_Data!A882</f>
        <v/>
      </c>
      <c r="B882" s="29">
        <f>Raw_Data!B882</f>
        <v/>
      </c>
      <c r="C882">
        <f>YEAR(B882)</f>
        <v/>
      </c>
      <c r="D882">
        <f>MONTH(B882)</f>
        <v/>
      </c>
      <c r="E882">
        <f>TEXT(B882,"MMM-YYYY")</f>
        <v/>
      </c>
      <c r="F882">
        <f>Raw_Data!C882</f>
        <v/>
      </c>
      <c r="G882">
        <f>Raw_Data!D882</f>
        <v/>
      </c>
      <c r="H882">
        <f>Raw_Data!E882</f>
        <v/>
      </c>
      <c r="I882">
        <f>Raw_Data!F882</f>
        <v/>
      </c>
      <c r="J882">
        <f>Raw_Data!G882</f>
        <v/>
      </c>
      <c r="K882">
        <f>Raw_Data!H882</f>
        <v/>
      </c>
      <c r="L882" s="30">
        <f>Raw_Data!I882</f>
        <v/>
      </c>
      <c r="M882" s="31">
        <f>Raw_Data!J882</f>
        <v/>
      </c>
      <c r="N882" s="17">
        <f>K882*L882</f>
        <v/>
      </c>
      <c r="O882" s="17">
        <f>N882*(1-M882)</f>
        <v/>
      </c>
      <c r="P882" s="17">
        <f>Raw_Data!L882</f>
        <v/>
      </c>
      <c r="Q882" s="17">
        <f>O882-P882</f>
        <v/>
      </c>
      <c r="R882" s="31">
        <f>IF(O882=0,0,Q882/O882)</f>
        <v/>
      </c>
      <c r="S882">
        <f>XLOOKUP(F882,Lookups!$B$7:$B$11,Lookups!$C$7:$C$11,"Unknown")</f>
        <v/>
      </c>
      <c r="T882" s="31">
        <f>XLOOKUP(G882,Lookups!$E$7:$E$11,Lookups!$F$7:$F$11,0)</f>
        <v/>
      </c>
      <c r="U882" s="32">
        <f>R882-T882</f>
        <v/>
      </c>
      <c r="V882">
        <f>XLOOKUP(I882,Lookups!$H$7:$H$10,Lookups!$I$7:$I$10,"")</f>
        <v/>
      </c>
      <c r="W882">
        <f>IF(O882&gt;=50000,"HIGH VALUE","")</f>
        <v/>
      </c>
      <c r="X882">
        <f>IF(Q882&lt;0,"LOSS","")</f>
        <v/>
      </c>
      <c r="Y882">
        <f>IFS(M882&gt;=0.15,"Deep Discount",M882&gt;=0.1,"Moderate",TRUE,"Standard")</f>
        <v/>
      </c>
    </row>
    <row r="883">
      <c r="A883">
        <f>Raw_Data!A883</f>
        <v/>
      </c>
      <c r="B883" s="29">
        <f>Raw_Data!B883</f>
        <v/>
      </c>
      <c r="C883">
        <f>YEAR(B883)</f>
        <v/>
      </c>
      <c r="D883">
        <f>MONTH(B883)</f>
        <v/>
      </c>
      <c r="E883">
        <f>TEXT(B883,"MMM-YYYY")</f>
        <v/>
      </c>
      <c r="F883">
        <f>Raw_Data!C883</f>
        <v/>
      </c>
      <c r="G883">
        <f>Raw_Data!D883</f>
        <v/>
      </c>
      <c r="H883">
        <f>Raw_Data!E883</f>
        <v/>
      </c>
      <c r="I883">
        <f>Raw_Data!F883</f>
        <v/>
      </c>
      <c r="J883">
        <f>Raw_Data!G883</f>
        <v/>
      </c>
      <c r="K883">
        <f>Raw_Data!H883</f>
        <v/>
      </c>
      <c r="L883" s="30">
        <f>Raw_Data!I883</f>
        <v/>
      </c>
      <c r="M883" s="31">
        <f>Raw_Data!J883</f>
        <v/>
      </c>
      <c r="N883" s="17">
        <f>K883*L883</f>
        <v/>
      </c>
      <c r="O883" s="17">
        <f>N883*(1-M883)</f>
        <v/>
      </c>
      <c r="P883" s="17">
        <f>Raw_Data!L883</f>
        <v/>
      </c>
      <c r="Q883" s="17">
        <f>O883-P883</f>
        <v/>
      </c>
      <c r="R883" s="31">
        <f>IF(O883=0,0,Q883/O883)</f>
        <v/>
      </c>
      <c r="S883">
        <f>XLOOKUP(F883,Lookups!$B$7:$B$11,Lookups!$C$7:$C$11,"Unknown")</f>
        <v/>
      </c>
      <c r="T883" s="31">
        <f>XLOOKUP(G883,Lookups!$E$7:$E$11,Lookups!$F$7:$F$11,0)</f>
        <v/>
      </c>
      <c r="U883" s="32">
        <f>R883-T883</f>
        <v/>
      </c>
      <c r="V883">
        <f>XLOOKUP(I883,Lookups!$H$7:$H$10,Lookups!$I$7:$I$10,"")</f>
        <v/>
      </c>
      <c r="W883">
        <f>IF(O883&gt;=50000,"HIGH VALUE","")</f>
        <v/>
      </c>
      <c r="X883">
        <f>IF(Q883&lt;0,"LOSS","")</f>
        <v/>
      </c>
      <c r="Y883">
        <f>IFS(M883&gt;=0.15,"Deep Discount",M883&gt;=0.1,"Moderate",TRUE,"Standard")</f>
        <v/>
      </c>
    </row>
    <row r="884">
      <c r="A884">
        <f>Raw_Data!A884</f>
        <v/>
      </c>
      <c r="B884" s="29">
        <f>Raw_Data!B884</f>
        <v/>
      </c>
      <c r="C884">
        <f>YEAR(B884)</f>
        <v/>
      </c>
      <c r="D884">
        <f>MONTH(B884)</f>
        <v/>
      </c>
      <c r="E884">
        <f>TEXT(B884,"MMM-YYYY")</f>
        <v/>
      </c>
      <c r="F884">
        <f>Raw_Data!C884</f>
        <v/>
      </c>
      <c r="G884">
        <f>Raw_Data!D884</f>
        <v/>
      </c>
      <c r="H884">
        <f>Raw_Data!E884</f>
        <v/>
      </c>
      <c r="I884">
        <f>Raw_Data!F884</f>
        <v/>
      </c>
      <c r="J884">
        <f>Raw_Data!G884</f>
        <v/>
      </c>
      <c r="K884">
        <f>Raw_Data!H884</f>
        <v/>
      </c>
      <c r="L884" s="30">
        <f>Raw_Data!I884</f>
        <v/>
      </c>
      <c r="M884" s="31">
        <f>Raw_Data!J884</f>
        <v/>
      </c>
      <c r="N884" s="17">
        <f>K884*L884</f>
        <v/>
      </c>
      <c r="O884" s="17">
        <f>N884*(1-M884)</f>
        <v/>
      </c>
      <c r="P884" s="17">
        <f>Raw_Data!L884</f>
        <v/>
      </c>
      <c r="Q884" s="17">
        <f>O884-P884</f>
        <v/>
      </c>
      <c r="R884" s="31">
        <f>IF(O884=0,0,Q884/O884)</f>
        <v/>
      </c>
      <c r="S884">
        <f>XLOOKUP(F884,Lookups!$B$7:$B$11,Lookups!$C$7:$C$11,"Unknown")</f>
        <v/>
      </c>
      <c r="T884" s="31">
        <f>XLOOKUP(G884,Lookups!$E$7:$E$11,Lookups!$F$7:$F$11,0)</f>
        <v/>
      </c>
      <c r="U884" s="32">
        <f>R884-T884</f>
        <v/>
      </c>
      <c r="V884">
        <f>XLOOKUP(I884,Lookups!$H$7:$H$10,Lookups!$I$7:$I$10,"")</f>
        <v/>
      </c>
      <c r="W884">
        <f>IF(O884&gt;=50000,"HIGH VALUE","")</f>
        <v/>
      </c>
      <c r="X884">
        <f>IF(Q884&lt;0,"LOSS","")</f>
        <v/>
      </c>
      <c r="Y884">
        <f>IFS(M884&gt;=0.15,"Deep Discount",M884&gt;=0.1,"Moderate",TRUE,"Standard")</f>
        <v/>
      </c>
    </row>
    <row r="885">
      <c r="A885">
        <f>Raw_Data!A885</f>
        <v/>
      </c>
      <c r="B885" s="29">
        <f>Raw_Data!B885</f>
        <v/>
      </c>
      <c r="C885">
        <f>YEAR(B885)</f>
        <v/>
      </c>
      <c r="D885">
        <f>MONTH(B885)</f>
        <v/>
      </c>
      <c r="E885">
        <f>TEXT(B885,"MMM-YYYY")</f>
        <v/>
      </c>
      <c r="F885">
        <f>Raw_Data!C885</f>
        <v/>
      </c>
      <c r="G885">
        <f>Raw_Data!D885</f>
        <v/>
      </c>
      <c r="H885">
        <f>Raw_Data!E885</f>
        <v/>
      </c>
      <c r="I885">
        <f>Raw_Data!F885</f>
        <v/>
      </c>
      <c r="J885">
        <f>Raw_Data!G885</f>
        <v/>
      </c>
      <c r="K885">
        <f>Raw_Data!H885</f>
        <v/>
      </c>
      <c r="L885" s="30">
        <f>Raw_Data!I885</f>
        <v/>
      </c>
      <c r="M885" s="31">
        <f>Raw_Data!J885</f>
        <v/>
      </c>
      <c r="N885" s="17">
        <f>K885*L885</f>
        <v/>
      </c>
      <c r="O885" s="17">
        <f>N885*(1-M885)</f>
        <v/>
      </c>
      <c r="P885" s="17">
        <f>Raw_Data!L885</f>
        <v/>
      </c>
      <c r="Q885" s="17">
        <f>O885-P885</f>
        <v/>
      </c>
      <c r="R885" s="31">
        <f>IF(O885=0,0,Q885/O885)</f>
        <v/>
      </c>
      <c r="S885">
        <f>XLOOKUP(F885,Lookups!$B$7:$B$11,Lookups!$C$7:$C$11,"Unknown")</f>
        <v/>
      </c>
      <c r="T885" s="31">
        <f>XLOOKUP(G885,Lookups!$E$7:$E$11,Lookups!$F$7:$F$11,0)</f>
        <v/>
      </c>
      <c r="U885" s="32">
        <f>R885-T885</f>
        <v/>
      </c>
      <c r="V885">
        <f>XLOOKUP(I885,Lookups!$H$7:$H$10,Lookups!$I$7:$I$10,"")</f>
        <v/>
      </c>
      <c r="W885">
        <f>IF(O885&gt;=50000,"HIGH VALUE","")</f>
        <v/>
      </c>
      <c r="X885">
        <f>IF(Q885&lt;0,"LOSS","")</f>
        <v/>
      </c>
      <c r="Y885">
        <f>IFS(M885&gt;=0.15,"Deep Discount",M885&gt;=0.1,"Moderate",TRUE,"Standard")</f>
        <v/>
      </c>
    </row>
    <row r="886">
      <c r="A886">
        <f>Raw_Data!A886</f>
        <v/>
      </c>
      <c r="B886" s="29">
        <f>Raw_Data!B886</f>
        <v/>
      </c>
      <c r="C886">
        <f>YEAR(B886)</f>
        <v/>
      </c>
      <c r="D886">
        <f>MONTH(B886)</f>
        <v/>
      </c>
      <c r="E886">
        <f>TEXT(B886,"MMM-YYYY")</f>
        <v/>
      </c>
      <c r="F886">
        <f>Raw_Data!C886</f>
        <v/>
      </c>
      <c r="G886">
        <f>Raw_Data!D886</f>
        <v/>
      </c>
      <c r="H886">
        <f>Raw_Data!E886</f>
        <v/>
      </c>
      <c r="I886">
        <f>Raw_Data!F886</f>
        <v/>
      </c>
      <c r="J886">
        <f>Raw_Data!G886</f>
        <v/>
      </c>
      <c r="K886">
        <f>Raw_Data!H886</f>
        <v/>
      </c>
      <c r="L886" s="30">
        <f>Raw_Data!I886</f>
        <v/>
      </c>
      <c r="M886" s="31">
        <f>Raw_Data!J886</f>
        <v/>
      </c>
      <c r="N886" s="17">
        <f>K886*L886</f>
        <v/>
      </c>
      <c r="O886" s="17">
        <f>N886*(1-M886)</f>
        <v/>
      </c>
      <c r="P886" s="17">
        <f>Raw_Data!L886</f>
        <v/>
      </c>
      <c r="Q886" s="17">
        <f>O886-P886</f>
        <v/>
      </c>
      <c r="R886" s="31">
        <f>IF(O886=0,0,Q886/O886)</f>
        <v/>
      </c>
      <c r="S886">
        <f>XLOOKUP(F886,Lookups!$B$7:$B$11,Lookups!$C$7:$C$11,"Unknown")</f>
        <v/>
      </c>
      <c r="T886" s="31">
        <f>XLOOKUP(G886,Lookups!$E$7:$E$11,Lookups!$F$7:$F$11,0)</f>
        <v/>
      </c>
      <c r="U886" s="32">
        <f>R886-T886</f>
        <v/>
      </c>
      <c r="V886">
        <f>XLOOKUP(I886,Lookups!$H$7:$H$10,Lookups!$I$7:$I$10,"")</f>
        <v/>
      </c>
      <c r="W886">
        <f>IF(O886&gt;=50000,"HIGH VALUE","")</f>
        <v/>
      </c>
      <c r="X886">
        <f>IF(Q886&lt;0,"LOSS","")</f>
        <v/>
      </c>
      <c r="Y886">
        <f>IFS(M886&gt;=0.15,"Deep Discount",M886&gt;=0.1,"Moderate",TRUE,"Standard")</f>
        <v/>
      </c>
    </row>
    <row r="887">
      <c r="A887">
        <f>Raw_Data!A887</f>
        <v/>
      </c>
      <c r="B887" s="29">
        <f>Raw_Data!B887</f>
        <v/>
      </c>
      <c r="C887">
        <f>YEAR(B887)</f>
        <v/>
      </c>
      <c r="D887">
        <f>MONTH(B887)</f>
        <v/>
      </c>
      <c r="E887">
        <f>TEXT(B887,"MMM-YYYY")</f>
        <v/>
      </c>
      <c r="F887">
        <f>Raw_Data!C887</f>
        <v/>
      </c>
      <c r="G887">
        <f>Raw_Data!D887</f>
        <v/>
      </c>
      <c r="H887">
        <f>Raw_Data!E887</f>
        <v/>
      </c>
      <c r="I887">
        <f>Raw_Data!F887</f>
        <v/>
      </c>
      <c r="J887">
        <f>Raw_Data!G887</f>
        <v/>
      </c>
      <c r="K887">
        <f>Raw_Data!H887</f>
        <v/>
      </c>
      <c r="L887" s="30">
        <f>Raw_Data!I887</f>
        <v/>
      </c>
      <c r="M887" s="31">
        <f>Raw_Data!J887</f>
        <v/>
      </c>
      <c r="N887" s="17">
        <f>K887*L887</f>
        <v/>
      </c>
      <c r="O887" s="17">
        <f>N887*(1-M887)</f>
        <v/>
      </c>
      <c r="P887" s="17">
        <f>Raw_Data!L887</f>
        <v/>
      </c>
      <c r="Q887" s="17">
        <f>O887-P887</f>
        <v/>
      </c>
      <c r="R887" s="31">
        <f>IF(O887=0,0,Q887/O887)</f>
        <v/>
      </c>
      <c r="S887">
        <f>XLOOKUP(F887,Lookups!$B$7:$B$11,Lookups!$C$7:$C$11,"Unknown")</f>
        <v/>
      </c>
      <c r="T887" s="31">
        <f>XLOOKUP(G887,Lookups!$E$7:$E$11,Lookups!$F$7:$F$11,0)</f>
        <v/>
      </c>
      <c r="U887" s="32">
        <f>R887-T887</f>
        <v/>
      </c>
      <c r="V887">
        <f>XLOOKUP(I887,Lookups!$H$7:$H$10,Lookups!$I$7:$I$10,"")</f>
        <v/>
      </c>
      <c r="W887">
        <f>IF(O887&gt;=50000,"HIGH VALUE","")</f>
        <v/>
      </c>
      <c r="X887">
        <f>IF(Q887&lt;0,"LOSS","")</f>
        <v/>
      </c>
      <c r="Y887">
        <f>IFS(M887&gt;=0.15,"Deep Discount",M887&gt;=0.1,"Moderate",TRUE,"Standard")</f>
        <v/>
      </c>
    </row>
    <row r="888">
      <c r="A888">
        <f>Raw_Data!A888</f>
        <v/>
      </c>
      <c r="B888" s="29">
        <f>Raw_Data!B888</f>
        <v/>
      </c>
      <c r="C888">
        <f>YEAR(B888)</f>
        <v/>
      </c>
      <c r="D888">
        <f>MONTH(B888)</f>
        <v/>
      </c>
      <c r="E888">
        <f>TEXT(B888,"MMM-YYYY")</f>
        <v/>
      </c>
      <c r="F888">
        <f>Raw_Data!C888</f>
        <v/>
      </c>
      <c r="G888">
        <f>Raw_Data!D888</f>
        <v/>
      </c>
      <c r="H888">
        <f>Raw_Data!E888</f>
        <v/>
      </c>
      <c r="I888">
        <f>Raw_Data!F888</f>
        <v/>
      </c>
      <c r="J888">
        <f>Raw_Data!G888</f>
        <v/>
      </c>
      <c r="K888">
        <f>Raw_Data!H888</f>
        <v/>
      </c>
      <c r="L888" s="30">
        <f>Raw_Data!I888</f>
        <v/>
      </c>
      <c r="M888" s="31">
        <f>Raw_Data!J888</f>
        <v/>
      </c>
      <c r="N888" s="17">
        <f>K888*L888</f>
        <v/>
      </c>
      <c r="O888" s="17">
        <f>N888*(1-M888)</f>
        <v/>
      </c>
      <c r="P888" s="17">
        <f>Raw_Data!L888</f>
        <v/>
      </c>
      <c r="Q888" s="17">
        <f>O888-P888</f>
        <v/>
      </c>
      <c r="R888" s="31">
        <f>IF(O888=0,0,Q888/O888)</f>
        <v/>
      </c>
      <c r="S888">
        <f>XLOOKUP(F888,Lookups!$B$7:$B$11,Lookups!$C$7:$C$11,"Unknown")</f>
        <v/>
      </c>
      <c r="T888" s="31">
        <f>XLOOKUP(G888,Lookups!$E$7:$E$11,Lookups!$F$7:$F$11,0)</f>
        <v/>
      </c>
      <c r="U888" s="32">
        <f>R888-T888</f>
        <v/>
      </c>
      <c r="V888">
        <f>XLOOKUP(I888,Lookups!$H$7:$H$10,Lookups!$I$7:$I$10,"")</f>
        <v/>
      </c>
      <c r="W888">
        <f>IF(O888&gt;=50000,"HIGH VALUE","")</f>
        <v/>
      </c>
      <c r="X888">
        <f>IF(Q888&lt;0,"LOSS","")</f>
        <v/>
      </c>
      <c r="Y888">
        <f>IFS(M888&gt;=0.15,"Deep Discount",M888&gt;=0.1,"Moderate",TRUE,"Standard")</f>
        <v/>
      </c>
    </row>
    <row r="889">
      <c r="A889">
        <f>Raw_Data!A889</f>
        <v/>
      </c>
      <c r="B889" s="29">
        <f>Raw_Data!B889</f>
        <v/>
      </c>
      <c r="C889">
        <f>YEAR(B889)</f>
        <v/>
      </c>
      <c r="D889">
        <f>MONTH(B889)</f>
        <v/>
      </c>
      <c r="E889">
        <f>TEXT(B889,"MMM-YYYY")</f>
        <v/>
      </c>
      <c r="F889">
        <f>Raw_Data!C889</f>
        <v/>
      </c>
      <c r="G889">
        <f>Raw_Data!D889</f>
        <v/>
      </c>
      <c r="H889">
        <f>Raw_Data!E889</f>
        <v/>
      </c>
      <c r="I889">
        <f>Raw_Data!F889</f>
        <v/>
      </c>
      <c r="J889">
        <f>Raw_Data!G889</f>
        <v/>
      </c>
      <c r="K889">
        <f>Raw_Data!H889</f>
        <v/>
      </c>
      <c r="L889" s="30">
        <f>Raw_Data!I889</f>
        <v/>
      </c>
      <c r="M889" s="31">
        <f>Raw_Data!J889</f>
        <v/>
      </c>
      <c r="N889" s="17">
        <f>K889*L889</f>
        <v/>
      </c>
      <c r="O889" s="17">
        <f>N889*(1-M889)</f>
        <v/>
      </c>
      <c r="P889" s="17">
        <f>Raw_Data!L889</f>
        <v/>
      </c>
      <c r="Q889" s="17">
        <f>O889-P889</f>
        <v/>
      </c>
      <c r="R889" s="31">
        <f>IF(O889=0,0,Q889/O889)</f>
        <v/>
      </c>
      <c r="S889">
        <f>XLOOKUP(F889,Lookups!$B$7:$B$11,Lookups!$C$7:$C$11,"Unknown")</f>
        <v/>
      </c>
      <c r="T889" s="31">
        <f>XLOOKUP(G889,Lookups!$E$7:$E$11,Lookups!$F$7:$F$11,0)</f>
        <v/>
      </c>
      <c r="U889" s="32">
        <f>R889-T889</f>
        <v/>
      </c>
      <c r="V889">
        <f>XLOOKUP(I889,Lookups!$H$7:$H$10,Lookups!$I$7:$I$10,"")</f>
        <v/>
      </c>
      <c r="W889">
        <f>IF(O889&gt;=50000,"HIGH VALUE","")</f>
        <v/>
      </c>
      <c r="X889">
        <f>IF(Q889&lt;0,"LOSS","")</f>
        <v/>
      </c>
      <c r="Y889">
        <f>IFS(M889&gt;=0.15,"Deep Discount",M889&gt;=0.1,"Moderate",TRUE,"Standard")</f>
        <v/>
      </c>
    </row>
    <row r="890">
      <c r="A890">
        <f>Raw_Data!A890</f>
        <v/>
      </c>
      <c r="B890" s="29">
        <f>Raw_Data!B890</f>
        <v/>
      </c>
      <c r="C890">
        <f>YEAR(B890)</f>
        <v/>
      </c>
      <c r="D890">
        <f>MONTH(B890)</f>
        <v/>
      </c>
      <c r="E890">
        <f>TEXT(B890,"MMM-YYYY")</f>
        <v/>
      </c>
      <c r="F890">
        <f>Raw_Data!C890</f>
        <v/>
      </c>
      <c r="G890">
        <f>Raw_Data!D890</f>
        <v/>
      </c>
      <c r="H890">
        <f>Raw_Data!E890</f>
        <v/>
      </c>
      <c r="I890">
        <f>Raw_Data!F890</f>
        <v/>
      </c>
      <c r="J890">
        <f>Raw_Data!G890</f>
        <v/>
      </c>
      <c r="K890">
        <f>Raw_Data!H890</f>
        <v/>
      </c>
      <c r="L890" s="30">
        <f>Raw_Data!I890</f>
        <v/>
      </c>
      <c r="M890" s="31">
        <f>Raw_Data!J890</f>
        <v/>
      </c>
      <c r="N890" s="17">
        <f>K890*L890</f>
        <v/>
      </c>
      <c r="O890" s="17">
        <f>N890*(1-M890)</f>
        <v/>
      </c>
      <c r="P890" s="17">
        <f>Raw_Data!L890</f>
        <v/>
      </c>
      <c r="Q890" s="17">
        <f>O890-P890</f>
        <v/>
      </c>
      <c r="R890" s="31">
        <f>IF(O890=0,0,Q890/O890)</f>
        <v/>
      </c>
      <c r="S890">
        <f>XLOOKUP(F890,Lookups!$B$7:$B$11,Lookups!$C$7:$C$11,"Unknown")</f>
        <v/>
      </c>
      <c r="T890" s="31">
        <f>XLOOKUP(G890,Lookups!$E$7:$E$11,Lookups!$F$7:$F$11,0)</f>
        <v/>
      </c>
      <c r="U890" s="32">
        <f>R890-T890</f>
        <v/>
      </c>
      <c r="V890">
        <f>XLOOKUP(I890,Lookups!$H$7:$H$10,Lookups!$I$7:$I$10,"")</f>
        <v/>
      </c>
      <c r="W890">
        <f>IF(O890&gt;=50000,"HIGH VALUE","")</f>
        <v/>
      </c>
      <c r="X890">
        <f>IF(Q890&lt;0,"LOSS","")</f>
        <v/>
      </c>
      <c r="Y890">
        <f>IFS(M890&gt;=0.15,"Deep Discount",M890&gt;=0.1,"Moderate",TRUE,"Standard")</f>
        <v/>
      </c>
    </row>
    <row r="891">
      <c r="A891">
        <f>Raw_Data!A891</f>
        <v/>
      </c>
      <c r="B891" s="29">
        <f>Raw_Data!B891</f>
        <v/>
      </c>
      <c r="C891">
        <f>YEAR(B891)</f>
        <v/>
      </c>
      <c r="D891">
        <f>MONTH(B891)</f>
        <v/>
      </c>
      <c r="E891">
        <f>TEXT(B891,"MMM-YYYY")</f>
        <v/>
      </c>
      <c r="F891">
        <f>Raw_Data!C891</f>
        <v/>
      </c>
      <c r="G891">
        <f>Raw_Data!D891</f>
        <v/>
      </c>
      <c r="H891">
        <f>Raw_Data!E891</f>
        <v/>
      </c>
      <c r="I891">
        <f>Raw_Data!F891</f>
        <v/>
      </c>
      <c r="J891">
        <f>Raw_Data!G891</f>
        <v/>
      </c>
      <c r="K891">
        <f>Raw_Data!H891</f>
        <v/>
      </c>
      <c r="L891" s="30">
        <f>Raw_Data!I891</f>
        <v/>
      </c>
      <c r="M891" s="31">
        <f>Raw_Data!J891</f>
        <v/>
      </c>
      <c r="N891" s="17">
        <f>K891*L891</f>
        <v/>
      </c>
      <c r="O891" s="17">
        <f>N891*(1-M891)</f>
        <v/>
      </c>
      <c r="P891" s="17">
        <f>Raw_Data!L891</f>
        <v/>
      </c>
      <c r="Q891" s="17">
        <f>O891-P891</f>
        <v/>
      </c>
      <c r="R891" s="31">
        <f>IF(O891=0,0,Q891/O891)</f>
        <v/>
      </c>
      <c r="S891">
        <f>XLOOKUP(F891,Lookups!$B$7:$B$11,Lookups!$C$7:$C$11,"Unknown")</f>
        <v/>
      </c>
      <c r="T891" s="31">
        <f>XLOOKUP(G891,Lookups!$E$7:$E$11,Lookups!$F$7:$F$11,0)</f>
        <v/>
      </c>
      <c r="U891" s="32">
        <f>R891-T891</f>
        <v/>
      </c>
      <c r="V891">
        <f>XLOOKUP(I891,Lookups!$H$7:$H$10,Lookups!$I$7:$I$10,"")</f>
        <v/>
      </c>
      <c r="W891">
        <f>IF(O891&gt;=50000,"HIGH VALUE","")</f>
        <v/>
      </c>
      <c r="X891">
        <f>IF(Q891&lt;0,"LOSS","")</f>
        <v/>
      </c>
      <c r="Y891">
        <f>IFS(M891&gt;=0.15,"Deep Discount",M891&gt;=0.1,"Moderate",TRUE,"Standard")</f>
        <v/>
      </c>
    </row>
    <row r="892">
      <c r="A892">
        <f>Raw_Data!A892</f>
        <v/>
      </c>
      <c r="B892" s="29">
        <f>Raw_Data!B892</f>
        <v/>
      </c>
      <c r="C892">
        <f>YEAR(B892)</f>
        <v/>
      </c>
      <c r="D892">
        <f>MONTH(B892)</f>
        <v/>
      </c>
      <c r="E892">
        <f>TEXT(B892,"MMM-YYYY")</f>
        <v/>
      </c>
      <c r="F892">
        <f>Raw_Data!C892</f>
        <v/>
      </c>
      <c r="G892">
        <f>Raw_Data!D892</f>
        <v/>
      </c>
      <c r="H892">
        <f>Raw_Data!E892</f>
        <v/>
      </c>
      <c r="I892">
        <f>Raw_Data!F892</f>
        <v/>
      </c>
      <c r="J892">
        <f>Raw_Data!G892</f>
        <v/>
      </c>
      <c r="K892">
        <f>Raw_Data!H892</f>
        <v/>
      </c>
      <c r="L892" s="30">
        <f>Raw_Data!I892</f>
        <v/>
      </c>
      <c r="M892" s="31">
        <f>Raw_Data!J892</f>
        <v/>
      </c>
      <c r="N892" s="17">
        <f>K892*L892</f>
        <v/>
      </c>
      <c r="O892" s="17">
        <f>N892*(1-M892)</f>
        <v/>
      </c>
      <c r="P892" s="17">
        <f>Raw_Data!L892</f>
        <v/>
      </c>
      <c r="Q892" s="17">
        <f>O892-P892</f>
        <v/>
      </c>
      <c r="R892" s="31">
        <f>IF(O892=0,0,Q892/O892)</f>
        <v/>
      </c>
      <c r="S892">
        <f>XLOOKUP(F892,Lookups!$B$7:$B$11,Lookups!$C$7:$C$11,"Unknown")</f>
        <v/>
      </c>
      <c r="T892" s="31">
        <f>XLOOKUP(G892,Lookups!$E$7:$E$11,Lookups!$F$7:$F$11,0)</f>
        <v/>
      </c>
      <c r="U892" s="32">
        <f>R892-T892</f>
        <v/>
      </c>
      <c r="V892">
        <f>XLOOKUP(I892,Lookups!$H$7:$H$10,Lookups!$I$7:$I$10,"")</f>
        <v/>
      </c>
      <c r="W892">
        <f>IF(O892&gt;=50000,"HIGH VALUE","")</f>
        <v/>
      </c>
      <c r="X892">
        <f>IF(Q892&lt;0,"LOSS","")</f>
        <v/>
      </c>
      <c r="Y892">
        <f>IFS(M892&gt;=0.15,"Deep Discount",M892&gt;=0.1,"Moderate",TRUE,"Standard")</f>
        <v/>
      </c>
    </row>
    <row r="893">
      <c r="A893">
        <f>Raw_Data!A893</f>
        <v/>
      </c>
      <c r="B893" s="29">
        <f>Raw_Data!B893</f>
        <v/>
      </c>
      <c r="C893">
        <f>YEAR(B893)</f>
        <v/>
      </c>
      <c r="D893">
        <f>MONTH(B893)</f>
        <v/>
      </c>
      <c r="E893">
        <f>TEXT(B893,"MMM-YYYY")</f>
        <v/>
      </c>
      <c r="F893">
        <f>Raw_Data!C893</f>
        <v/>
      </c>
      <c r="G893">
        <f>Raw_Data!D893</f>
        <v/>
      </c>
      <c r="H893">
        <f>Raw_Data!E893</f>
        <v/>
      </c>
      <c r="I893">
        <f>Raw_Data!F893</f>
        <v/>
      </c>
      <c r="J893">
        <f>Raw_Data!G893</f>
        <v/>
      </c>
      <c r="K893">
        <f>Raw_Data!H893</f>
        <v/>
      </c>
      <c r="L893" s="30">
        <f>Raw_Data!I893</f>
        <v/>
      </c>
      <c r="M893" s="31">
        <f>Raw_Data!J893</f>
        <v/>
      </c>
      <c r="N893" s="17">
        <f>K893*L893</f>
        <v/>
      </c>
      <c r="O893" s="17">
        <f>N893*(1-M893)</f>
        <v/>
      </c>
      <c r="P893" s="17">
        <f>Raw_Data!L893</f>
        <v/>
      </c>
      <c r="Q893" s="17">
        <f>O893-P893</f>
        <v/>
      </c>
      <c r="R893" s="31">
        <f>IF(O893=0,0,Q893/O893)</f>
        <v/>
      </c>
      <c r="S893">
        <f>XLOOKUP(F893,Lookups!$B$7:$B$11,Lookups!$C$7:$C$11,"Unknown")</f>
        <v/>
      </c>
      <c r="T893" s="31">
        <f>XLOOKUP(G893,Lookups!$E$7:$E$11,Lookups!$F$7:$F$11,0)</f>
        <v/>
      </c>
      <c r="U893" s="32">
        <f>R893-T893</f>
        <v/>
      </c>
      <c r="V893">
        <f>XLOOKUP(I893,Lookups!$H$7:$H$10,Lookups!$I$7:$I$10,"")</f>
        <v/>
      </c>
      <c r="W893">
        <f>IF(O893&gt;=50000,"HIGH VALUE","")</f>
        <v/>
      </c>
      <c r="X893">
        <f>IF(Q893&lt;0,"LOSS","")</f>
        <v/>
      </c>
      <c r="Y893">
        <f>IFS(M893&gt;=0.15,"Deep Discount",M893&gt;=0.1,"Moderate",TRUE,"Standard")</f>
        <v/>
      </c>
    </row>
    <row r="894">
      <c r="A894">
        <f>Raw_Data!A894</f>
        <v/>
      </c>
      <c r="B894" s="29">
        <f>Raw_Data!B894</f>
        <v/>
      </c>
      <c r="C894">
        <f>YEAR(B894)</f>
        <v/>
      </c>
      <c r="D894">
        <f>MONTH(B894)</f>
        <v/>
      </c>
      <c r="E894">
        <f>TEXT(B894,"MMM-YYYY")</f>
        <v/>
      </c>
      <c r="F894">
        <f>Raw_Data!C894</f>
        <v/>
      </c>
      <c r="G894">
        <f>Raw_Data!D894</f>
        <v/>
      </c>
      <c r="H894">
        <f>Raw_Data!E894</f>
        <v/>
      </c>
      <c r="I894">
        <f>Raw_Data!F894</f>
        <v/>
      </c>
      <c r="J894">
        <f>Raw_Data!G894</f>
        <v/>
      </c>
      <c r="K894">
        <f>Raw_Data!H894</f>
        <v/>
      </c>
      <c r="L894" s="30">
        <f>Raw_Data!I894</f>
        <v/>
      </c>
      <c r="M894" s="31">
        <f>Raw_Data!J894</f>
        <v/>
      </c>
      <c r="N894" s="17">
        <f>K894*L894</f>
        <v/>
      </c>
      <c r="O894" s="17">
        <f>N894*(1-M894)</f>
        <v/>
      </c>
      <c r="P894" s="17">
        <f>Raw_Data!L894</f>
        <v/>
      </c>
      <c r="Q894" s="17">
        <f>O894-P894</f>
        <v/>
      </c>
      <c r="R894" s="31">
        <f>IF(O894=0,0,Q894/O894)</f>
        <v/>
      </c>
      <c r="S894">
        <f>XLOOKUP(F894,Lookups!$B$7:$B$11,Lookups!$C$7:$C$11,"Unknown")</f>
        <v/>
      </c>
      <c r="T894" s="31">
        <f>XLOOKUP(G894,Lookups!$E$7:$E$11,Lookups!$F$7:$F$11,0)</f>
        <v/>
      </c>
      <c r="U894" s="32">
        <f>R894-T894</f>
        <v/>
      </c>
      <c r="V894">
        <f>XLOOKUP(I894,Lookups!$H$7:$H$10,Lookups!$I$7:$I$10,"")</f>
        <v/>
      </c>
      <c r="W894">
        <f>IF(O894&gt;=50000,"HIGH VALUE","")</f>
        <v/>
      </c>
      <c r="X894">
        <f>IF(Q894&lt;0,"LOSS","")</f>
        <v/>
      </c>
      <c r="Y894">
        <f>IFS(M894&gt;=0.15,"Deep Discount",M894&gt;=0.1,"Moderate",TRUE,"Standard")</f>
        <v/>
      </c>
    </row>
    <row r="895">
      <c r="A895">
        <f>Raw_Data!A895</f>
        <v/>
      </c>
      <c r="B895" s="29">
        <f>Raw_Data!B895</f>
        <v/>
      </c>
      <c r="C895">
        <f>YEAR(B895)</f>
        <v/>
      </c>
      <c r="D895">
        <f>MONTH(B895)</f>
        <v/>
      </c>
      <c r="E895">
        <f>TEXT(B895,"MMM-YYYY")</f>
        <v/>
      </c>
      <c r="F895">
        <f>Raw_Data!C895</f>
        <v/>
      </c>
      <c r="G895">
        <f>Raw_Data!D895</f>
        <v/>
      </c>
      <c r="H895">
        <f>Raw_Data!E895</f>
        <v/>
      </c>
      <c r="I895">
        <f>Raw_Data!F895</f>
        <v/>
      </c>
      <c r="J895">
        <f>Raw_Data!G895</f>
        <v/>
      </c>
      <c r="K895">
        <f>Raw_Data!H895</f>
        <v/>
      </c>
      <c r="L895" s="30">
        <f>Raw_Data!I895</f>
        <v/>
      </c>
      <c r="M895" s="31">
        <f>Raw_Data!J895</f>
        <v/>
      </c>
      <c r="N895" s="17">
        <f>K895*L895</f>
        <v/>
      </c>
      <c r="O895" s="17">
        <f>N895*(1-M895)</f>
        <v/>
      </c>
      <c r="P895" s="17">
        <f>Raw_Data!L895</f>
        <v/>
      </c>
      <c r="Q895" s="17">
        <f>O895-P895</f>
        <v/>
      </c>
      <c r="R895" s="31">
        <f>IF(O895=0,0,Q895/O895)</f>
        <v/>
      </c>
      <c r="S895">
        <f>XLOOKUP(F895,Lookups!$B$7:$B$11,Lookups!$C$7:$C$11,"Unknown")</f>
        <v/>
      </c>
      <c r="T895" s="31">
        <f>XLOOKUP(G895,Lookups!$E$7:$E$11,Lookups!$F$7:$F$11,0)</f>
        <v/>
      </c>
      <c r="U895" s="32">
        <f>R895-T895</f>
        <v/>
      </c>
      <c r="V895">
        <f>XLOOKUP(I895,Lookups!$H$7:$H$10,Lookups!$I$7:$I$10,"")</f>
        <v/>
      </c>
      <c r="W895">
        <f>IF(O895&gt;=50000,"HIGH VALUE","")</f>
        <v/>
      </c>
      <c r="X895">
        <f>IF(Q895&lt;0,"LOSS","")</f>
        <v/>
      </c>
      <c r="Y895">
        <f>IFS(M895&gt;=0.15,"Deep Discount",M895&gt;=0.1,"Moderate",TRUE,"Standard")</f>
        <v/>
      </c>
    </row>
    <row r="896">
      <c r="A896">
        <f>Raw_Data!A896</f>
        <v/>
      </c>
      <c r="B896" s="29">
        <f>Raw_Data!B896</f>
        <v/>
      </c>
      <c r="C896">
        <f>YEAR(B896)</f>
        <v/>
      </c>
      <c r="D896">
        <f>MONTH(B896)</f>
        <v/>
      </c>
      <c r="E896">
        <f>TEXT(B896,"MMM-YYYY")</f>
        <v/>
      </c>
      <c r="F896">
        <f>Raw_Data!C896</f>
        <v/>
      </c>
      <c r="G896">
        <f>Raw_Data!D896</f>
        <v/>
      </c>
      <c r="H896">
        <f>Raw_Data!E896</f>
        <v/>
      </c>
      <c r="I896">
        <f>Raw_Data!F896</f>
        <v/>
      </c>
      <c r="J896">
        <f>Raw_Data!G896</f>
        <v/>
      </c>
      <c r="K896">
        <f>Raw_Data!H896</f>
        <v/>
      </c>
      <c r="L896" s="30">
        <f>Raw_Data!I896</f>
        <v/>
      </c>
      <c r="M896" s="31">
        <f>Raw_Data!J896</f>
        <v/>
      </c>
      <c r="N896" s="17">
        <f>K896*L896</f>
        <v/>
      </c>
      <c r="O896" s="17">
        <f>N896*(1-M896)</f>
        <v/>
      </c>
      <c r="P896" s="17">
        <f>Raw_Data!L896</f>
        <v/>
      </c>
      <c r="Q896" s="17">
        <f>O896-P896</f>
        <v/>
      </c>
      <c r="R896" s="31">
        <f>IF(O896=0,0,Q896/O896)</f>
        <v/>
      </c>
      <c r="S896">
        <f>XLOOKUP(F896,Lookups!$B$7:$B$11,Lookups!$C$7:$C$11,"Unknown")</f>
        <v/>
      </c>
      <c r="T896" s="31">
        <f>XLOOKUP(G896,Lookups!$E$7:$E$11,Lookups!$F$7:$F$11,0)</f>
        <v/>
      </c>
      <c r="U896" s="32">
        <f>R896-T896</f>
        <v/>
      </c>
      <c r="V896">
        <f>XLOOKUP(I896,Lookups!$H$7:$H$10,Lookups!$I$7:$I$10,"")</f>
        <v/>
      </c>
      <c r="W896">
        <f>IF(O896&gt;=50000,"HIGH VALUE","")</f>
        <v/>
      </c>
      <c r="X896">
        <f>IF(Q896&lt;0,"LOSS","")</f>
        <v/>
      </c>
      <c r="Y896">
        <f>IFS(M896&gt;=0.15,"Deep Discount",M896&gt;=0.1,"Moderate",TRUE,"Standard")</f>
        <v/>
      </c>
    </row>
    <row r="897">
      <c r="A897">
        <f>Raw_Data!A897</f>
        <v/>
      </c>
      <c r="B897" s="29">
        <f>Raw_Data!B897</f>
        <v/>
      </c>
      <c r="C897">
        <f>YEAR(B897)</f>
        <v/>
      </c>
      <c r="D897">
        <f>MONTH(B897)</f>
        <v/>
      </c>
      <c r="E897">
        <f>TEXT(B897,"MMM-YYYY")</f>
        <v/>
      </c>
      <c r="F897">
        <f>Raw_Data!C897</f>
        <v/>
      </c>
      <c r="G897">
        <f>Raw_Data!D897</f>
        <v/>
      </c>
      <c r="H897">
        <f>Raw_Data!E897</f>
        <v/>
      </c>
      <c r="I897">
        <f>Raw_Data!F897</f>
        <v/>
      </c>
      <c r="J897">
        <f>Raw_Data!G897</f>
        <v/>
      </c>
      <c r="K897">
        <f>Raw_Data!H897</f>
        <v/>
      </c>
      <c r="L897" s="30">
        <f>Raw_Data!I897</f>
        <v/>
      </c>
      <c r="M897" s="31">
        <f>Raw_Data!J897</f>
        <v/>
      </c>
      <c r="N897" s="17">
        <f>K897*L897</f>
        <v/>
      </c>
      <c r="O897" s="17">
        <f>N897*(1-M897)</f>
        <v/>
      </c>
      <c r="P897" s="17">
        <f>Raw_Data!L897</f>
        <v/>
      </c>
      <c r="Q897" s="17">
        <f>O897-P897</f>
        <v/>
      </c>
      <c r="R897" s="31">
        <f>IF(O897=0,0,Q897/O897)</f>
        <v/>
      </c>
      <c r="S897">
        <f>XLOOKUP(F897,Lookups!$B$7:$B$11,Lookups!$C$7:$C$11,"Unknown")</f>
        <v/>
      </c>
      <c r="T897" s="31">
        <f>XLOOKUP(G897,Lookups!$E$7:$E$11,Lookups!$F$7:$F$11,0)</f>
        <v/>
      </c>
      <c r="U897" s="32">
        <f>R897-T897</f>
        <v/>
      </c>
      <c r="V897">
        <f>XLOOKUP(I897,Lookups!$H$7:$H$10,Lookups!$I$7:$I$10,"")</f>
        <v/>
      </c>
      <c r="W897">
        <f>IF(O897&gt;=50000,"HIGH VALUE","")</f>
        <v/>
      </c>
      <c r="X897">
        <f>IF(Q897&lt;0,"LOSS","")</f>
        <v/>
      </c>
      <c r="Y897">
        <f>IFS(M897&gt;=0.15,"Deep Discount",M897&gt;=0.1,"Moderate",TRUE,"Standard")</f>
        <v/>
      </c>
    </row>
    <row r="898">
      <c r="A898">
        <f>Raw_Data!A898</f>
        <v/>
      </c>
      <c r="B898" s="29">
        <f>Raw_Data!B898</f>
        <v/>
      </c>
      <c r="C898">
        <f>YEAR(B898)</f>
        <v/>
      </c>
      <c r="D898">
        <f>MONTH(B898)</f>
        <v/>
      </c>
      <c r="E898">
        <f>TEXT(B898,"MMM-YYYY")</f>
        <v/>
      </c>
      <c r="F898">
        <f>Raw_Data!C898</f>
        <v/>
      </c>
      <c r="G898">
        <f>Raw_Data!D898</f>
        <v/>
      </c>
      <c r="H898">
        <f>Raw_Data!E898</f>
        <v/>
      </c>
      <c r="I898">
        <f>Raw_Data!F898</f>
        <v/>
      </c>
      <c r="J898">
        <f>Raw_Data!G898</f>
        <v/>
      </c>
      <c r="K898">
        <f>Raw_Data!H898</f>
        <v/>
      </c>
      <c r="L898" s="30">
        <f>Raw_Data!I898</f>
        <v/>
      </c>
      <c r="M898" s="31">
        <f>Raw_Data!J898</f>
        <v/>
      </c>
      <c r="N898" s="17">
        <f>K898*L898</f>
        <v/>
      </c>
      <c r="O898" s="17">
        <f>N898*(1-M898)</f>
        <v/>
      </c>
      <c r="P898" s="17">
        <f>Raw_Data!L898</f>
        <v/>
      </c>
      <c r="Q898" s="17">
        <f>O898-P898</f>
        <v/>
      </c>
      <c r="R898" s="31">
        <f>IF(O898=0,0,Q898/O898)</f>
        <v/>
      </c>
      <c r="S898">
        <f>XLOOKUP(F898,Lookups!$B$7:$B$11,Lookups!$C$7:$C$11,"Unknown")</f>
        <v/>
      </c>
      <c r="T898" s="31">
        <f>XLOOKUP(G898,Lookups!$E$7:$E$11,Lookups!$F$7:$F$11,0)</f>
        <v/>
      </c>
      <c r="U898" s="32">
        <f>R898-T898</f>
        <v/>
      </c>
      <c r="V898">
        <f>XLOOKUP(I898,Lookups!$H$7:$H$10,Lookups!$I$7:$I$10,"")</f>
        <v/>
      </c>
      <c r="W898">
        <f>IF(O898&gt;=50000,"HIGH VALUE","")</f>
        <v/>
      </c>
      <c r="X898">
        <f>IF(Q898&lt;0,"LOSS","")</f>
        <v/>
      </c>
      <c r="Y898">
        <f>IFS(M898&gt;=0.15,"Deep Discount",M898&gt;=0.1,"Moderate",TRUE,"Standard")</f>
        <v/>
      </c>
    </row>
    <row r="899">
      <c r="A899">
        <f>Raw_Data!A899</f>
        <v/>
      </c>
      <c r="B899" s="29">
        <f>Raw_Data!B899</f>
        <v/>
      </c>
      <c r="C899">
        <f>YEAR(B899)</f>
        <v/>
      </c>
      <c r="D899">
        <f>MONTH(B899)</f>
        <v/>
      </c>
      <c r="E899">
        <f>TEXT(B899,"MMM-YYYY")</f>
        <v/>
      </c>
      <c r="F899">
        <f>Raw_Data!C899</f>
        <v/>
      </c>
      <c r="G899">
        <f>Raw_Data!D899</f>
        <v/>
      </c>
      <c r="H899">
        <f>Raw_Data!E899</f>
        <v/>
      </c>
      <c r="I899">
        <f>Raw_Data!F899</f>
        <v/>
      </c>
      <c r="J899">
        <f>Raw_Data!G899</f>
        <v/>
      </c>
      <c r="K899">
        <f>Raw_Data!H899</f>
        <v/>
      </c>
      <c r="L899" s="30">
        <f>Raw_Data!I899</f>
        <v/>
      </c>
      <c r="M899" s="31">
        <f>Raw_Data!J899</f>
        <v/>
      </c>
      <c r="N899" s="17">
        <f>K899*L899</f>
        <v/>
      </c>
      <c r="O899" s="17">
        <f>N899*(1-M899)</f>
        <v/>
      </c>
      <c r="P899" s="17">
        <f>Raw_Data!L899</f>
        <v/>
      </c>
      <c r="Q899" s="17">
        <f>O899-P899</f>
        <v/>
      </c>
      <c r="R899" s="31">
        <f>IF(O899=0,0,Q899/O899)</f>
        <v/>
      </c>
      <c r="S899">
        <f>XLOOKUP(F899,Lookups!$B$7:$B$11,Lookups!$C$7:$C$11,"Unknown")</f>
        <v/>
      </c>
      <c r="T899" s="31">
        <f>XLOOKUP(G899,Lookups!$E$7:$E$11,Lookups!$F$7:$F$11,0)</f>
        <v/>
      </c>
      <c r="U899" s="32">
        <f>R899-T899</f>
        <v/>
      </c>
      <c r="V899">
        <f>XLOOKUP(I899,Lookups!$H$7:$H$10,Lookups!$I$7:$I$10,"")</f>
        <v/>
      </c>
      <c r="W899">
        <f>IF(O899&gt;=50000,"HIGH VALUE","")</f>
        <v/>
      </c>
      <c r="X899">
        <f>IF(Q899&lt;0,"LOSS","")</f>
        <v/>
      </c>
      <c r="Y899">
        <f>IFS(M899&gt;=0.15,"Deep Discount",M899&gt;=0.1,"Moderate",TRUE,"Standard")</f>
        <v/>
      </c>
    </row>
    <row r="900">
      <c r="A900">
        <f>Raw_Data!A900</f>
        <v/>
      </c>
      <c r="B900" s="29">
        <f>Raw_Data!B900</f>
        <v/>
      </c>
      <c r="C900">
        <f>YEAR(B900)</f>
        <v/>
      </c>
      <c r="D900">
        <f>MONTH(B900)</f>
        <v/>
      </c>
      <c r="E900">
        <f>TEXT(B900,"MMM-YYYY")</f>
        <v/>
      </c>
      <c r="F900">
        <f>Raw_Data!C900</f>
        <v/>
      </c>
      <c r="G900">
        <f>Raw_Data!D900</f>
        <v/>
      </c>
      <c r="H900">
        <f>Raw_Data!E900</f>
        <v/>
      </c>
      <c r="I900">
        <f>Raw_Data!F900</f>
        <v/>
      </c>
      <c r="J900">
        <f>Raw_Data!G900</f>
        <v/>
      </c>
      <c r="K900">
        <f>Raw_Data!H900</f>
        <v/>
      </c>
      <c r="L900" s="30">
        <f>Raw_Data!I900</f>
        <v/>
      </c>
      <c r="M900" s="31">
        <f>Raw_Data!J900</f>
        <v/>
      </c>
      <c r="N900" s="17">
        <f>K900*L900</f>
        <v/>
      </c>
      <c r="O900" s="17">
        <f>N900*(1-M900)</f>
        <v/>
      </c>
      <c r="P900" s="17">
        <f>Raw_Data!L900</f>
        <v/>
      </c>
      <c r="Q900" s="17">
        <f>O900-P900</f>
        <v/>
      </c>
      <c r="R900" s="31">
        <f>IF(O900=0,0,Q900/O900)</f>
        <v/>
      </c>
      <c r="S900">
        <f>XLOOKUP(F900,Lookups!$B$7:$B$11,Lookups!$C$7:$C$11,"Unknown")</f>
        <v/>
      </c>
      <c r="T900" s="31">
        <f>XLOOKUP(G900,Lookups!$E$7:$E$11,Lookups!$F$7:$F$11,0)</f>
        <v/>
      </c>
      <c r="U900" s="32">
        <f>R900-T900</f>
        <v/>
      </c>
      <c r="V900">
        <f>XLOOKUP(I900,Lookups!$H$7:$H$10,Lookups!$I$7:$I$10,"")</f>
        <v/>
      </c>
      <c r="W900">
        <f>IF(O900&gt;=50000,"HIGH VALUE","")</f>
        <v/>
      </c>
      <c r="X900">
        <f>IF(Q900&lt;0,"LOSS","")</f>
        <v/>
      </c>
      <c r="Y900">
        <f>IFS(M900&gt;=0.15,"Deep Discount",M900&gt;=0.1,"Moderate",TRUE,"Standard")</f>
        <v/>
      </c>
    </row>
    <row r="901">
      <c r="A901">
        <f>Raw_Data!A901</f>
        <v/>
      </c>
      <c r="B901" s="29">
        <f>Raw_Data!B901</f>
        <v/>
      </c>
      <c r="C901">
        <f>YEAR(B901)</f>
        <v/>
      </c>
      <c r="D901">
        <f>MONTH(B901)</f>
        <v/>
      </c>
      <c r="E901">
        <f>TEXT(B901,"MMM-YYYY")</f>
        <v/>
      </c>
      <c r="F901">
        <f>Raw_Data!C901</f>
        <v/>
      </c>
      <c r="G901">
        <f>Raw_Data!D901</f>
        <v/>
      </c>
      <c r="H901">
        <f>Raw_Data!E901</f>
        <v/>
      </c>
      <c r="I901">
        <f>Raw_Data!F901</f>
        <v/>
      </c>
      <c r="J901">
        <f>Raw_Data!G901</f>
        <v/>
      </c>
      <c r="K901">
        <f>Raw_Data!H901</f>
        <v/>
      </c>
      <c r="L901" s="30">
        <f>Raw_Data!I901</f>
        <v/>
      </c>
      <c r="M901" s="31">
        <f>Raw_Data!J901</f>
        <v/>
      </c>
      <c r="N901" s="17">
        <f>K901*L901</f>
        <v/>
      </c>
      <c r="O901" s="17">
        <f>N901*(1-M901)</f>
        <v/>
      </c>
      <c r="P901" s="17">
        <f>Raw_Data!L901</f>
        <v/>
      </c>
      <c r="Q901" s="17">
        <f>O901-P901</f>
        <v/>
      </c>
      <c r="R901" s="31">
        <f>IF(O901=0,0,Q901/O901)</f>
        <v/>
      </c>
      <c r="S901">
        <f>XLOOKUP(F901,Lookups!$B$7:$B$11,Lookups!$C$7:$C$11,"Unknown")</f>
        <v/>
      </c>
      <c r="T901" s="31">
        <f>XLOOKUP(G901,Lookups!$E$7:$E$11,Lookups!$F$7:$F$11,0)</f>
        <v/>
      </c>
      <c r="U901" s="32">
        <f>R901-T901</f>
        <v/>
      </c>
      <c r="V901">
        <f>XLOOKUP(I901,Lookups!$H$7:$H$10,Lookups!$I$7:$I$10,"")</f>
        <v/>
      </c>
      <c r="W901">
        <f>IF(O901&gt;=50000,"HIGH VALUE","")</f>
        <v/>
      </c>
      <c r="X901">
        <f>IF(Q901&lt;0,"LOSS","")</f>
        <v/>
      </c>
      <c r="Y901">
        <f>IFS(M901&gt;=0.15,"Deep Discount",M901&gt;=0.1,"Moderate",TRUE,"Standard")</f>
        <v/>
      </c>
    </row>
    <row r="902">
      <c r="A902">
        <f>Raw_Data!A902</f>
        <v/>
      </c>
      <c r="B902" s="29">
        <f>Raw_Data!B902</f>
        <v/>
      </c>
      <c r="C902">
        <f>YEAR(B902)</f>
        <v/>
      </c>
      <c r="D902">
        <f>MONTH(B902)</f>
        <v/>
      </c>
      <c r="E902">
        <f>TEXT(B902,"MMM-YYYY")</f>
        <v/>
      </c>
      <c r="F902">
        <f>Raw_Data!C902</f>
        <v/>
      </c>
      <c r="G902">
        <f>Raw_Data!D902</f>
        <v/>
      </c>
      <c r="H902">
        <f>Raw_Data!E902</f>
        <v/>
      </c>
      <c r="I902">
        <f>Raw_Data!F902</f>
        <v/>
      </c>
      <c r="J902">
        <f>Raw_Data!G902</f>
        <v/>
      </c>
      <c r="K902">
        <f>Raw_Data!H902</f>
        <v/>
      </c>
      <c r="L902" s="30">
        <f>Raw_Data!I902</f>
        <v/>
      </c>
      <c r="M902" s="31">
        <f>Raw_Data!J902</f>
        <v/>
      </c>
      <c r="N902" s="17">
        <f>K902*L902</f>
        <v/>
      </c>
      <c r="O902" s="17">
        <f>N902*(1-M902)</f>
        <v/>
      </c>
      <c r="P902" s="17">
        <f>Raw_Data!L902</f>
        <v/>
      </c>
      <c r="Q902" s="17">
        <f>O902-P902</f>
        <v/>
      </c>
      <c r="R902" s="31">
        <f>IF(O902=0,0,Q902/O902)</f>
        <v/>
      </c>
      <c r="S902">
        <f>XLOOKUP(F902,Lookups!$B$7:$B$11,Lookups!$C$7:$C$11,"Unknown")</f>
        <v/>
      </c>
      <c r="T902" s="31">
        <f>XLOOKUP(G902,Lookups!$E$7:$E$11,Lookups!$F$7:$F$11,0)</f>
        <v/>
      </c>
      <c r="U902" s="32">
        <f>R902-T902</f>
        <v/>
      </c>
      <c r="V902">
        <f>XLOOKUP(I902,Lookups!$H$7:$H$10,Lookups!$I$7:$I$10,"")</f>
        <v/>
      </c>
      <c r="W902">
        <f>IF(O902&gt;=50000,"HIGH VALUE","")</f>
        <v/>
      </c>
      <c r="X902">
        <f>IF(Q902&lt;0,"LOSS","")</f>
        <v/>
      </c>
      <c r="Y902">
        <f>IFS(M902&gt;=0.15,"Deep Discount",M902&gt;=0.1,"Moderate",TRUE,"Standard")</f>
        <v/>
      </c>
    </row>
    <row r="903">
      <c r="A903">
        <f>Raw_Data!A903</f>
        <v/>
      </c>
      <c r="B903" s="29">
        <f>Raw_Data!B903</f>
        <v/>
      </c>
      <c r="C903">
        <f>YEAR(B903)</f>
        <v/>
      </c>
      <c r="D903">
        <f>MONTH(B903)</f>
        <v/>
      </c>
      <c r="E903">
        <f>TEXT(B903,"MMM-YYYY")</f>
        <v/>
      </c>
      <c r="F903">
        <f>Raw_Data!C903</f>
        <v/>
      </c>
      <c r="G903">
        <f>Raw_Data!D903</f>
        <v/>
      </c>
      <c r="H903">
        <f>Raw_Data!E903</f>
        <v/>
      </c>
      <c r="I903">
        <f>Raw_Data!F903</f>
        <v/>
      </c>
      <c r="J903">
        <f>Raw_Data!G903</f>
        <v/>
      </c>
      <c r="K903">
        <f>Raw_Data!H903</f>
        <v/>
      </c>
      <c r="L903" s="30">
        <f>Raw_Data!I903</f>
        <v/>
      </c>
      <c r="M903" s="31">
        <f>Raw_Data!J903</f>
        <v/>
      </c>
      <c r="N903" s="17">
        <f>K903*L903</f>
        <v/>
      </c>
      <c r="O903" s="17">
        <f>N903*(1-M903)</f>
        <v/>
      </c>
      <c r="P903" s="17">
        <f>Raw_Data!L903</f>
        <v/>
      </c>
      <c r="Q903" s="17">
        <f>O903-P903</f>
        <v/>
      </c>
      <c r="R903" s="31">
        <f>IF(O903=0,0,Q903/O903)</f>
        <v/>
      </c>
      <c r="S903">
        <f>XLOOKUP(F903,Lookups!$B$7:$B$11,Lookups!$C$7:$C$11,"Unknown")</f>
        <v/>
      </c>
      <c r="T903" s="31">
        <f>XLOOKUP(G903,Lookups!$E$7:$E$11,Lookups!$F$7:$F$11,0)</f>
        <v/>
      </c>
      <c r="U903" s="32">
        <f>R903-T903</f>
        <v/>
      </c>
      <c r="V903">
        <f>XLOOKUP(I903,Lookups!$H$7:$H$10,Lookups!$I$7:$I$10,"")</f>
        <v/>
      </c>
      <c r="W903">
        <f>IF(O903&gt;=50000,"HIGH VALUE","")</f>
        <v/>
      </c>
      <c r="X903">
        <f>IF(Q903&lt;0,"LOSS","")</f>
        <v/>
      </c>
      <c r="Y903">
        <f>IFS(M903&gt;=0.15,"Deep Discount",M903&gt;=0.1,"Moderate",TRUE,"Standard")</f>
        <v/>
      </c>
    </row>
    <row r="904">
      <c r="A904">
        <f>Raw_Data!A904</f>
        <v/>
      </c>
      <c r="B904" s="29">
        <f>Raw_Data!B904</f>
        <v/>
      </c>
      <c r="C904">
        <f>YEAR(B904)</f>
        <v/>
      </c>
      <c r="D904">
        <f>MONTH(B904)</f>
        <v/>
      </c>
      <c r="E904">
        <f>TEXT(B904,"MMM-YYYY")</f>
        <v/>
      </c>
      <c r="F904">
        <f>Raw_Data!C904</f>
        <v/>
      </c>
      <c r="G904">
        <f>Raw_Data!D904</f>
        <v/>
      </c>
      <c r="H904">
        <f>Raw_Data!E904</f>
        <v/>
      </c>
      <c r="I904">
        <f>Raw_Data!F904</f>
        <v/>
      </c>
      <c r="J904">
        <f>Raw_Data!G904</f>
        <v/>
      </c>
      <c r="K904">
        <f>Raw_Data!H904</f>
        <v/>
      </c>
      <c r="L904" s="30">
        <f>Raw_Data!I904</f>
        <v/>
      </c>
      <c r="M904" s="31">
        <f>Raw_Data!J904</f>
        <v/>
      </c>
      <c r="N904" s="17">
        <f>K904*L904</f>
        <v/>
      </c>
      <c r="O904" s="17">
        <f>N904*(1-M904)</f>
        <v/>
      </c>
      <c r="P904" s="17">
        <f>Raw_Data!L904</f>
        <v/>
      </c>
      <c r="Q904" s="17">
        <f>O904-P904</f>
        <v/>
      </c>
      <c r="R904" s="31">
        <f>IF(O904=0,0,Q904/O904)</f>
        <v/>
      </c>
      <c r="S904">
        <f>XLOOKUP(F904,Lookups!$B$7:$B$11,Lookups!$C$7:$C$11,"Unknown")</f>
        <v/>
      </c>
      <c r="T904" s="31">
        <f>XLOOKUP(G904,Lookups!$E$7:$E$11,Lookups!$F$7:$F$11,0)</f>
        <v/>
      </c>
      <c r="U904" s="32">
        <f>R904-T904</f>
        <v/>
      </c>
      <c r="V904">
        <f>XLOOKUP(I904,Lookups!$H$7:$H$10,Lookups!$I$7:$I$10,"")</f>
        <v/>
      </c>
      <c r="W904">
        <f>IF(O904&gt;=50000,"HIGH VALUE","")</f>
        <v/>
      </c>
      <c r="X904">
        <f>IF(Q904&lt;0,"LOSS","")</f>
        <v/>
      </c>
      <c r="Y904">
        <f>IFS(M904&gt;=0.15,"Deep Discount",M904&gt;=0.1,"Moderate",TRUE,"Standard")</f>
        <v/>
      </c>
    </row>
    <row r="905">
      <c r="A905">
        <f>Raw_Data!A905</f>
        <v/>
      </c>
      <c r="B905" s="29">
        <f>Raw_Data!B905</f>
        <v/>
      </c>
      <c r="C905">
        <f>YEAR(B905)</f>
        <v/>
      </c>
      <c r="D905">
        <f>MONTH(B905)</f>
        <v/>
      </c>
      <c r="E905">
        <f>TEXT(B905,"MMM-YYYY")</f>
        <v/>
      </c>
      <c r="F905">
        <f>Raw_Data!C905</f>
        <v/>
      </c>
      <c r="G905">
        <f>Raw_Data!D905</f>
        <v/>
      </c>
      <c r="H905">
        <f>Raw_Data!E905</f>
        <v/>
      </c>
      <c r="I905">
        <f>Raw_Data!F905</f>
        <v/>
      </c>
      <c r="J905">
        <f>Raw_Data!G905</f>
        <v/>
      </c>
      <c r="K905">
        <f>Raw_Data!H905</f>
        <v/>
      </c>
      <c r="L905" s="30">
        <f>Raw_Data!I905</f>
        <v/>
      </c>
      <c r="M905" s="31">
        <f>Raw_Data!J905</f>
        <v/>
      </c>
      <c r="N905" s="17">
        <f>K905*L905</f>
        <v/>
      </c>
      <c r="O905" s="17">
        <f>N905*(1-M905)</f>
        <v/>
      </c>
      <c r="P905" s="17">
        <f>Raw_Data!L905</f>
        <v/>
      </c>
      <c r="Q905" s="17">
        <f>O905-P905</f>
        <v/>
      </c>
      <c r="R905" s="31">
        <f>IF(O905=0,0,Q905/O905)</f>
        <v/>
      </c>
      <c r="S905">
        <f>XLOOKUP(F905,Lookups!$B$7:$B$11,Lookups!$C$7:$C$11,"Unknown")</f>
        <v/>
      </c>
      <c r="T905" s="31">
        <f>XLOOKUP(G905,Lookups!$E$7:$E$11,Lookups!$F$7:$F$11,0)</f>
        <v/>
      </c>
      <c r="U905" s="32">
        <f>R905-T905</f>
        <v/>
      </c>
      <c r="V905">
        <f>XLOOKUP(I905,Lookups!$H$7:$H$10,Lookups!$I$7:$I$10,"")</f>
        <v/>
      </c>
      <c r="W905">
        <f>IF(O905&gt;=50000,"HIGH VALUE","")</f>
        <v/>
      </c>
      <c r="X905">
        <f>IF(Q905&lt;0,"LOSS","")</f>
        <v/>
      </c>
      <c r="Y905">
        <f>IFS(M905&gt;=0.15,"Deep Discount",M905&gt;=0.1,"Moderate",TRUE,"Standard")</f>
        <v/>
      </c>
    </row>
    <row r="906">
      <c r="A906">
        <f>Raw_Data!A906</f>
        <v/>
      </c>
      <c r="B906" s="29">
        <f>Raw_Data!B906</f>
        <v/>
      </c>
      <c r="C906">
        <f>YEAR(B906)</f>
        <v/>
      </c>
      <c r="D906">
        <f>MONTH(B906)</f>
        <v/>
      </c>
      <c r="E906">
        <f>TEXT(B906,"MMM-YYYY")</f>
        <v/>
      </c>
      <c r="F906">
        <f>Raw_Data!C906</f>
        <v/>
      </c>
      <c r="G906">
        <f>Raw_Data!D906</f>
        <v/>
      </c>
      <c r="H906">
        <f>Raw_Data!E906</f>
        <v/>
      </c>
      <c r="I906">
        <f>Raw_Data!F906</f>
        <v/>
      </c>
      <c r="J906">
        <f>Raw_Data!G906</f>
        <v/>
      </c>
      <c r="K906">
        <f>Raw_Data!H906</f>
        <v/>
      </c>
      <c r="L906" s="30">
        <f>Raw_Data!I906</f>
        <v/>
      </c>
      <c r="M906" s="31">
        <f>Raw_Data!J906</f>
        <v/>
      </c>
      <c r="N906" s="17">
        <f>K906*L906</f>
        <v/>
      </c>
      <c r="O906" s="17">
        <f>N906*(1-M906)</f>
        <v/>
      </c>
      <c r="P906" s="17">
        <f>Raw_Data!L906</f>
        <v/>
      </c>
      <c r="Q906" s="17">
        <f>O906-P906</f>
        <v/>
      </c>
      <c r="R906" s="31">
        <f>IF(O906=0,0,Q906/O906)</f>
        <v/>
      </c>
      <c r="S906">
        <f>XLOOKUP(F906,Lookups!$B$7:$B$11,Lookups!$C$7:$C$11,"Unknown")</f>
        <v/>
      </c>
      <c r="T906" s="31">
        <f>XLOOKUP(G906,Lookups!$E$7:$E$11,Lookups!$F$7:$F$11,0)</f>
        <v/>
      </c>
      <c r="U906" s="32">
        <f>R906-T906</f>
        <v/>
      </c>
      <c r="V906">
        <f>XLOOKUP(I906,Lookups!$H$7:$H$10,Lookups!$I$7:$I$10,"")</f>
        <v/>
      </c>
      <c r="W906">
        <f>IF(O906&gt;=50000,"HIGH VALUE","")</f>
        <v/>
      </c>
      <c r="X906">
        <f>IF(Q906&lt;0,"LOSS","")</f>
        <v/>
      </c>
      <c r="Y906">
        <f>IFS(M906&gt;=0.15,"Deep Discount",M906&gt;=0.1,"Moderate",TRUE,"Standard")</f>
        <v/>
      </c>
    </row>
    <row r="907">
      <c r="A907">
        <f>Raw_Data!A907</f>
        <v/>
      </c>
      <c r="B907" s="29">
        <f>Raw_Data!B907</f>
        <v/>
      </c>
      <c r="C907">
        <f>YEAR(B907)</f>
        <v/>
      </c>
      <c r="D907">
        <f>MONTH(B907)</f>
        <v/>
      </c>
      <c r="E907">
        <f>TEXT(B907,"MMM-YYYY")</f>
        <v/>
      </c>
      <c r="F907">
        <f>Raw_Data!C907</f>
        <v/>
      </c>
      <c r="G907">
        <f>Raw_Data!D907</f>
        <v/>
      </c>
      <c r="H907">
        <f>Raw_Data!E907</f>
        <v/>
      </c>
      <c r="I907">
        <f>Raw_Data!F907</f>
        <v/>
      </c>
      <c r="J907">
        <f>Raw_Data!G907</f>
        <v/>
      </c>
      <c r="K907">
        <f>Raw_Data!H907</f>
        <v/>
      </c>
      <c r="L907" s="30">
        <f>Raw_Data!I907</f>
        <v/>
      </c>
      <c r="M907" s="31">
        <f>Raw_Data!J907</f>
        <v/>
      </c>
      <c r="N907" s="17">
        <f>K907*L907</f>
        <v/>
      </c>
      <c r="O907" s="17">
        <f>N907*(1-M907)</f>
        <v/>
      </c>
      <c r="P907" s="17">
        <f>Raw_Data!L907</f>
        <v/>
      </c>
      <c r="Q907" s="17">
        <f>O907-P907</f>
        <v/>
      </c>
      <c r="R907" s="31">
        <f>IF(O907=0,0,Q907/O907)</f>
        <v/>
      </c>
      <c r="S907">
        <f>XLOOKUP(F907,Lookups!$B$7:$B$11,Lookups!$C$7:$C$11,"Unknown")</f>
        <v/>
      </c>
      <c r="T907" s="31">
        <f>XLOOKUP(G907,Lookups!$E$7:$E$11,Lookups!$F$7:$F$11,0)</f>
        <v/>
      </c>
      <c r="U907" s="32">
        <f>R907-T907</f>
        <v/>
      </c>
      <c r="V907">
        <f>XLOOKUP(I907,Lookups!$H$7:$H$10,Lookups!$I$7:$I$10,"")</f>
        <v/>
      </c>
      <c r="W907">
        <f>IF(O907&gt;=50000,"HIGH VALUE","")</f>
        <v/>
      </c>
      <c r="X907">
        <f>IF(Q907&lt;0,"LOSS","")</f>
        <v/>
      </c>
      <c r="Y907">
        <f>IFS(M907&gt;=0.15,"Deep Discount",M907&gt;=0.1,"Moderate",TRUE,"Standard")</f>
        <v/>
      </c>
    </row>
    <row r="908">
      <c r="A908">
        <f>Raw_Data!A908</f>
        <v/>
      </c>
      <c r="B908" s="29">
        <f>Raw_Data!B908</f>
        <v/>
      </c>
      <c r="C908">
        <f>YEAR(B908)</f>
        <v/>
      </c>
      <c r="D908">
        <f>MONTH(B908)</f>
        <v/>
      </c>
      <c r="E908">
        <f>TEXT(B908,"MMM-YYYY")</f>
        <v/>
      </c>
      <c r="F908">
        <f>Raw_Data!C908</f>
        <v/>
      </c>
      <c r="G908">
        <f>Raw_Data!D908</f>
        <v/>
      </c>
      <c r="H908">
        <f>Raw_Data!E908</f>
        <v/>
      </c>
      <c r="I908">
        <f>Raw_Data!F908</f>
        <v/>
      </c>
      <c r="J908">
        <f>Raw_Data!G908</f>
        <v/>
      </c>
      <c r="K908">
        <f>Raw_Data!H908</f>
        <v/>
      </c>
      <c r="L908" s="30">
        <f>Raw_Data!I908</f>
        <v/>
      </c>
      <c r="M908" s="31">
        <f>Raw_Data!J908</f>
        <v/>
      </c>
      <c r="N908" s="17">
        <f>K908*L908</f>
        <v/>
      </c>
      <c r="O908" s="17">
        <f>N908*(1-M908)</f>
        <v/>
      </c>
      <c r="P908" s="17">
        <f>Raw_Data!L908</f>
        <v/>
      </c>
      <c r="Q908" s="17">
        <f>O908-P908</f>
        <v/>
      </c>
      <c r="R908" s="31">
        <f>IF(O908=0,0,Q908/O908)</f>
        <v/>
      </c>
      <c r="S908">
        <f>XLOOKUP(F908,Lookups!$B$7:$B$11,Lookups!$C$7:$C$11,"Unknown")</f>
        <v/>
      </c>
      <c r="T908" s="31">
        <f>XLOOKUP(G908,Lookups!$E$7:$E$11,Lookups!$F$7:$F$11,0)</f>
        <v/>
      </c>
      <c r="U908" s="32">
        <f>R908-T908</f>
        <v/>
      </c>
      <c r="V908">
        <f>XLOOKUP(I908,Lookups!$H$7:$H$10,Lookups!$I$7:$I$10,"")</f>
        <v/>
      </c>
      <c r="W908">
        <f>IF(O908&gt;=50000,"HIGH VALUE","")</f>
        <v/>
      </c>
      <c r="X908">
        <f>IF(Q908&lt;0,"LOSS","")</f>
        <v/>
      </c>
      <c r="Y908">
        <f>IFS(M908&gt;=0.15,"Deep Discount",M908&gt;=0.1,"Moderate",TRUE,"Standard")</f>
        <v/>
      </c>
    </row>
    <row r="909">
      <c r="A909">
        <f>Raw_Data!A909</f>
        <v/>
      </c>
      <c r="B909" s="29">
        <f>Raw_Data!B909</f>
        <v/>
      </c>
      <c r="C909">
        <f>YEAR(B909)</f>
        <v/>
      </c>
      <c r="D909">
        <f>MONTH(B909)</f>
        <v/>
      </c>
      <c r="E909">
        <f>TEXT(B909,"MMM-YYYY")</f>
        <v/>
      </c>
      <c r="F909">
        <f>Raw_Data!C909</f>
        <v/>
      </c>
      <c r="G909">
        <f>Raw_Data!D909</f>
        <v/>
      </c>
      <c r="H909">
        <f>Raw_Data!E909</f>
        <v/>
      </c>
      <c r="I909">
        <f>Raw_Data!F909</f>
        <v/>
      </c>
      <c r="J909">
        <f>Raw_Data!G909</f>
        <v/>
      </c>
      <c r="K909">
        <f>Raw_Data!H909</f>
        <v/>
      </c>
      <c r="L909" s="30">
        <f>Raw_Data!I909</f>
        <v/>
      </c>
      <c r="M909" s="31">
        <f>Raw_Data!J909</f>
        <v/>
      </c>
      <c r="N909" s="17">
        <f>K909*L909</f>
        <v/>
      </c>
      <c r="O909" s="17">
        <f>N909*(1-M909)</f>
        <v/>
      </c>
      <c r="P909" s="17">
        <f>Raw_Data!L909</f>
        <v/>
      </c>
      <c r="Q909" s="17">
        <f>O909-P909</f>
        <v/>
      </c>
      <c r="R909" s="31">
        <f>IF(O909=0,0,Q909/O909)</f>
        <v/>
      </c>
      <c r="S909">
        <f>XLOOKUP(F909,Lookups!$B$7:$B$11,Lookups!$C$7:$C$11,"Unknown")</f>
        <v/>
      </c>
      <c r="T909" s="31">
        <f>XLOOKUP(G909,Lookups!$E$7:$E$11,Lookups!$F$7:$F$11,0)</f>
        <v/>
      </c>
      <c r="U909" s="32">
        <f>R909-T909</f>
        <v/>
      </c>
      <c r="V909">
        <f>XLOOKUP(I909,Lookups!$H$7:$H$10,Lookups!$I$7:$I$10,"")</f>
        <v/>
      </c>
      <c r="W909">
        <f>IF(O909&gt;=50000,"HIGH VALUE","")</f>
        <v/>
      </c>
      <c r="X909">
        <f>IF(Q909&lt;0,"LOSS","")</f>
        <v/>
      </c>
      <c r="Y909">
        <f>IFS(M909&gt;=0.15,"Deep Discount",M909&gt;=0.1,"Moderate",TRUE,"Standard")</f>
        <v/>
      </c>
    </row>
    <row r="910">
      <c r="A910">
        <f>Raw_Data!A910</f>
        <v/>
      </c>
      <c r="B910" s="29">
        <f>Raw_Data!B910</f>
        <v/>
      </c>
      <c r="C910">
        <f>YEAR(B910)</f>
        <v/>
      </c>
      <c r="D910">
        <f>MONTH(B910)</f>
        <v/>
      </c>
      <c r="E910">
        <f>TEXT(B910,"MMM-YYYY")</f>
        <v/>
      </c>
      <c r="F910">
        <f>Raw_Data!C910</f>
        <v/>
      </c>
      <c r="G910">
        <f>Raw_Data!D910</f>
        <v/>
      </c>
      <c r="H910">
        <f>Raw_Data!E910</f>
        <v/>
      </c>
      <c r="I910">
        <f>Raw_Data!F910</f>
        <v/>
      </c>
      <c r="J910">
        <f>Raw_Data!G910</f>
        <v/>
      </c>
      <c r="K910">
        <f>Raw_Data!H910</f>
        <v/>
      </c>
      <c r="L910" s="30">
        <f>Raw_Data!I910</f>
        <v/>
      </c>
      <c r="M910" s="31">
        <f>Raw_Data!J910</f>
        <v/>
      </c>
      <c r="N910" s="17">
        <f>K910*L910</f>
        <v/>
      </c>
      <c r="O910" s="17">
        <f>N910*(1-M910)</f>
        <v/>
      </c>
      <c r="P910" s="17">
        <f>Raw_Data!L910</f>
        <v/>
      </c>
      <c r="Q910" s="17">
        <f>O910-P910</f>
        <v/>
      </c>
      <c r="R910" s="31">
        <f>IF(O910=0,0,Q910/O910)</f>
        <v/>
      </c>
      <c r="S910">
        <f>XLOOKUP(F910,Lookups!$B$7:$B$11,Lookups!$C$7:$C$11,"Unknown")</f>
        <v/>
      </c>
      <c r="T910" s="31">
        <f>XLOOKUP(G910,Lookups!$E$7:$E$11,Lookups!$F$7:$F$11,0)</f>
        <v/>
      </c>
      <c r="U910" s="32">
        <f>R910-T910</f>
        <v/>
      </c>
      <c r="V910">
        <f>XLOOKUP(I910,Lookups!$H$7:$H$10,Lookups!$I$7:$I$10,"")</f>
        <v/>
      </c>
      <c r="W910">
        <f>IF(O910&gt;=50000,"HIGH VALUE","")</f>
        <v/>
      </c>
      <c r="X910">
        <f>IF(Q910&lt;0,"LOSS","")</f>
        <v/>
      </c>
      <c r="Y910">
        <f>IFS(M910&gt;=0.15,"Deep Discount",M910&gt;=0.1,"Moderate",TRUE,"Standard")</f>
        <v/>
      </c>
    </row>
    <row r="911">
      <c r="A911">
        <f>Raw_Data!A911</f>
        <v/>
      </c>
      <c r="B911" s="29">
        <f>Raw_Data!B911</f>
        <v/>
      </c>
      <c r="C911">
        <f>YEAR(B911)</f>
        <v/>
      </c>
      <c r="D911">
        <f>MONTH(B911)</f>
        <v/>
      </c>
      <c r="E911">
        <f>TEXT(B911,"MMM-YYYY")</f>
        <v/>
      </c>
      <c r="F911">
        <f>Raw_Data!C911</f>
        <v/>
      </c>
      <c r="G911">
        <f>Raw_Data!D911</f>
        <v/>
      </c>
      <c r="H911">
        <f>Raw_Data!E911</f>
        <v/>
      </c>
      <c r="I911">
        <f>Raw_Data!F911</f>
        <v/>
      </c>
      <c r="J911">
        <f>Raw_Data!G911</f>
        <v/>
      </c>
      <c r="K911">
        <f>Raw_Data!H911</f>
        <v/>
      </c>
      <c r="L911" s="30">
        <f>Raw_Data!I911</f>
        <v/>
      </c>
      <c r="M911" s="31">
        <f>Raw_Data!J911</f>
        <v/>
      </c>
      <c r="N911" s="17">
        <f>K911*L911</f>
        <v/>
      </c>
      <c r="O911" s="17">
        <f>N911*(1-M911)</f>
        <v/>
      </c>
      <c r="P911" s="17">
        <f>Raw_Data!L911</f>
        <v/>
      </c>
      <c r="Q911" s="17">
        <f>O911-P911</f>
        <v/>
      </c>
      <c r="R911" s="31">
        <f>IF(O911=0,0,Q911/O911)</f>
        <v/>
      </c>
      <c r="S911">
        <f>XLOOKUP(F911,Lookups!$B$7:$B$11,Lookups!$C$7:$C$11,"Unknown")</f>
        <v/>
      </c>
      <c r="T911" s="31">
        <f>XLOOKUP(G911,Lookups!$E$7:$E$11,Lookups!$F$7:$F$11,0)</f>
        <v/>
      </c>
      <c r="U911" s="32">
        <f>R911-T911</f>
        <v/>
      </c>
      <c r="V911">
        <f>XLOOKUP(I911,Lookups!$H$7:$H$10,Lookups!$I$7:$I$10,"")</f>
        <v/>
      </c>
      <c r="W911">
        <f>IF(O911&gt;=50000,"HIGH VALUE","")</f>
        <v/>
      </c>
      <c r="X911">
        <f>IF(Q911&lt;0,"LOSS","")</f>
        <v/>
      </c>
      <c r="Y911">
        <f>IFS(M911&gt;=0.15,"Deep Discount",M911&gt;=0.1,"Moderate",TRUE,"Standard")</f>
        <v/>
      </c>
    </row>
    <row r="912">
      <c r="A912">
        <f>Raw_Data!A912</f>
        <v/>
      </c>
      <c r="B912" s="29">
        <f>Raw_Data!B912</f>
        <v/>
      </c>
      <c r="C912">
        <f>YEAR(B912)</f>
        <v/>
      </c>
      <c r="D912">
        <f>MONTH(B912)</f>
        <v/>
      </c>
      <c r="E912">
        <f>TEXT(B912,"MMM-YYYY")</f>
        <v/>
      </c>
      <c r="F912">
        <f>Raw_Data!C912</f>
        <v/>
      </c>
      <c r="G912">
        <f>Raw_Data!D912</f>
        <v/>
      </c>
      <c r="H912">
        <f>Raw_Data!E912</f>
        <v/>
      </c>
      <c r="I912">
        <f>Raw_Data!F912</f>
        <v/>
      </c>
      <c r="J912">
        <f>Raw_Data!G912</f>
        <v/>
      </c>
      <c r="K912">
        <f>Raw_Data!H912</f>
        <v/>
      </c>
      <c r="L912" s="30">
        <f>Raw_Data!I912</f>
        <v/>
      </c>
      <c r="M912" s="31">
        <f>Raw_Data!J912</f>
        <v/>
      </c>
      <c r="N912" s="17">
        <f>K912*L912</f>
        <v/>
      </c>
      <c r="O912" s="17">
        <f>N912*(1-M912)</f>
        <v/>
      </c>
      <c r="P912" s="17">
        <f>Raw_Data!L912</f>
        <v/>
      </c>
      <c r="Q912" s="17">
        <f>O912-P912</f>
        <v/>
      </c>
      <c r="R912" s="31">
        <f>IF(O912=0,0,Q912/O912)</f>
        <v/>
      </c>
      <c r="S912">
        <f>XLOOKUP(F912,Lookups!$B$7:$B$11,Lookups!$C$7:$C$11,"Unknown")</f>
        <v/>
      </c>
      <c r="T912" s="31">
        <f>XLOOKUP(G912,Lookups!$E$7:$E$11,Lookups!$F$7:$F$11,0)</f>
        <v/>
      </c>
      <c r="U912" s="32">
        <f>R912-T912</f>
        <v/>
      </c>
      <c r="V912">
        <f>XLOOKUP(I912,Lookups!$H$7:$H$10,Lookups!$I$7:$I$10,"")</f>
        <v/>
      </c>
      <c r="W912">
        <f>IF(O912&gt;=50000,"HIGH VALUE","")</f>
        <v/>
      </c>
      <c r="X912">
        <f>IF(Q912&lt;0,"LOSS","")</f>
        <v/>
      </c>
      <c r="Y912">
        <f>IFS(M912&gt;=0.15,"Deep Discount",M912&gt;=0.1,"Moderate",TRUE,"Standard")</f>
        <v/>
      </c>
    </row>
    <row r="913">
      <c r="A913">
        <f>Raw_Data!A913</f>
        <v/>
      </c>
      <c r="B913" s="29">
        <f>Raw_Data!B913</f>
        <v/>
      </c>
      <c r="C913">
        <f>YEAR(B913)</f>
        <v/>
      </c>
      <c r="D913">
        <f>MONTH(B913)</f>
        <v/>
      </c>
      <c r="E913">
        <f>TEXT(B913,"MMM-YYYY")</f>
        <v/>
      </c>
      <c r="F913">
        <f>Raw_Data!C913</f>
        <v/>
      </c>
      <c r="G913">
        <f>Raw_Data!D913</f>
        <v/>
      </c>
      <c r="H913">
        <f>Raw_Data!E913</f>
        <v/>
      </c>
      <c r="I913">
        <f>Raw_Data!F913</f>
        <v/>
      </c>
      <c r="J913">
        <f>Raw_Data!G913</f>
        <v/>
      </c>
      <c r="K913">
        <f>Raw_Data!H913</f>
        <v/>
      </c>
      <c r="L913" s="30">
        <f>Raw_Data!I913</f>
        <v/>
      </c>
      <c r="M913" s="31">
        <f>Raw_Data!J913</f>
        <v/>
      </c>
      <c r="N913" s="17">
        <f>K913*L913</f>
        <v/>
      </c>
      <c r="O913" s="17">
        <f>N913*(1-M913)</f>
        <v/>
      </c>
      <c r="P913" s="17">
        <f>Raw_Data!L913</f>
        <v/>
      </c>
      <c r="Q913" s="17">
        <f>O913-P913</f>
        <v/>
      </c>
      <c r="R913" s="31">
        <f>IF(O913=0,0,Q913/O913)</f>
        <v/>
      </c>
      <c r="S913">
        <f>XLOOKUP(F913,Lookups!$B$7:$B$11,Lookups!$C$7:$C$11,"Unknown")</f>
        <v/>
      </c>
      <c r="T913" s="31">
        <f>XLOOKUP(G913,Lookups!$E$7:$E$11,Lookups!$F$7:$F$11,0)</f>
        <v/>
      </c>
      <c r="U913" s="32">
        <f>R913-T913</f>
        <v/>
      </c>
      <c r="V913">
        <f>XLOOKUP(I913,Lookups!$H$7:$H$10,Lookups!$I$7:$I$10,"")</f>
        <v/>
      </c>
      <c r="W913">
        <f>IF(O913&gt;=50000,"HIGH VALUE","")</f>
        <v/>
      </c>
      <c r="X913">
        <f>IF(Q913&lt;0,"LOSS","")</f>
        <v/>
      </c>
      <c r="Y913">
        <f>IFS(M913&gt;=0.15,"Deep Discount",M913&gt;=0.1,"Moderate",TRUE,"Standard")</f>
        <v/>
      </c>
    </row>
    <row r="914">
      <c r="A914">
        <f>Raw_Data!A914</f>
        <v/>
      </c>
      <c r="B914" s="29">
        <f>Raw_Data!B914</f>
        <v/>
      </c>
      <c r="C914">
        <f>YEAR(B914)</f>
        <v/>
      </c>
      <c r="D914">
        <f>MONTH(B914)</f>
        <v/>
      </c>
      <c r="E914">
        <f>TEXT(B914,"MMM-YYYY")</f>
        <v/>
      </c>
      <c r="F914">
        <f>Raw_Data!C914</f>
        <v/>
      </c>
      <c r="G914">
        <f>Raw_Data!D914</f>
        <v/>
      </c>
      <c r="H914">
        <f>Raw_Data!E914</f>
        <v/>
      </c>
      <c r="I914">
        <f>Raw_Data!F914</f>
        <v/>
      </c>
      <c r="J914">
        <f>Raw_Data!G914</f>
        <v/>
      </c>
      <c r="K914">
        <f>Raw_Data!H914</f>
        <v/>
      </c>
      <c r="L914" s="30">
        <f>Raw_Data!I914</f>
        <v/>
      </c>
      <c r="M914" s="31">
        <f>Raw_Data!J914</f>
        <v/>
      </c>
      <c r="N914" s="17">
        <f>K914*L914</f>
        <v/>
      </c>
      <c r="O914" s="17">
        <f>N914*(1-M914)</f>
        <v/>
      </c>
      <c r="P914" s="17">
        <f>Raw_Data!L914</f>
        <v/>
      </c>
      <c r="Q914" s="17">
        <f>O914-P914</f>
        <v/>
      </c>
      <c r="R914" s="31">
        <f>IF(O914=0,0,Q914/O914)</f>
        <v/>
      </c>
      <c r="S914">
        <f>XLOOKUP(F914,Lookups!$B$7:$B$11,Lookups!$C$7:$C$11,"Unknown")</f>
        <v/>
      </c>
      <c r="T914" s="31">
        <f>XLOOKUP(G914,Lookups!$E$7:$E$11,Lookups!$F$7:$F$11,0)</f>
        <v/>
      </c>
      <c r="U914" s="32">
        <f>R914-T914</f>
        <v/>
      </c>
      <c r="V914">
        <f>XLOOKUP(I914,Lookups!$H$7:$H$10,Lookups!$I$7:$I$10,"")</f>
        <v/>
      </c>
      <c r="W914">
        <f>IF(O914&gt;=50000,"HIGH VALUE","")</f>
        <v/>
      </c>
      <c r="X914">
        <f>IF(Q914&lt;0,"LOSS","")</f>
        <v/>
      </c>
      <c r="Y914">
        <f>IFS(M914&gt;=0.15,"Deep Discount",M914&gt;=0.1,"Moderate",TRUE,"Standard")</f>
        <v/>
      </c>
    </row>
    <row r="915">
      <c r="A915">
        <f>Raw_Data!A915</f>
        <v/>
      </c>
      <c r="B915" s="29">
        <f>Raw_Data!B915</f>
        <v/>
      </c>
      <c r="C915">
        <f>YEAR(B915)</f>
        <v/>
      </c>
      <c r="D915">
        <f>MONTH(B915)</f>
        <v/>
      </c>
      <c r="E915">
        <f>TEXT(B915,"MMM-YYYY")</f>
        <v/>
      </c>
      <c r="F915">
        <f>Raw_Data!C915</f>
        <v/>
      </c>
      <c r="G915">
        <f>Raw_Data!D915</f>
        <v/>
      </c>
      <c r="H915">
        <f>Raw_Data!E915</f>
        <v/>
      </c>
      <c r="I915">
        <f>Raw_Data!F915</f>
        <v/>
      </c>
      <c r="J915">
        <f>Raw_Data!G915</f>
        <v/>
      </c>
      <c r="K915">
        <f>Raw_Data!H915</f>
        <v/>
      </c>
      <c r="L915" s="30">
        <f>Raw_Data!I915</f>
        <v/>
      </c>
      <c r="M915" s="31">
        <f>Raw_Data!J915</f>
        <v/>
      </c>
      <c r="N915" s="17">
        <f>K915*L915</f>
        <v/>
      </c>
      <c r="O915" s="17">
        <f>N915*(1-M915)</f>
        <v/>
      </c>
      <c r="P915" s="17">
        <f>Raw_Data!L915</f>
        <v/>
      </c>
      <c r="Q915" s="17">
        <f>O915-P915</f>
        <v/>
      </c>
      <c r="R915" s="31">
        <f>IF(O915=0,0,Q915/O915)</f>
        <v/>
      </c>
      <c r="S915">
        <f>XLOOKUP(F915,Lookups!$B$7:$B$11,Lookups!$C$7:$C$11,"Unknown")</f>
        <v/>
      </c>
      <c r="T915" s="31">
        <f>XLOOKUP(G915,Lookups!$E$7:$E$11,Lookups!$F$7:$F$11,0)</f>
        <v/>
      </c>
      <c r="U915" s="32">
        <f>R915-T915</f>
        <v/>
      </c>
      <c r="V915">
        <f>XLOOKUP(I915,Lookups!$H$7:$H$10,Lookups!$I$7:$I$10,"")</f>
        <v/>
      </c>
      <c r="W915">
        <f>IF(O915&gt;=50000,"HIGH VALUE","")</f>
        <v/>
      </c>
      <c r="X915">
        <f>IF(Q915&lt;0,"LOSS","")</f>
        <v/>
      </c>
      <c r="Y915">
        <f>IFS(M915&gt;=0.15,"Deep Discount",M915&gt;=0.1,"Moderate",TRUE,"Standard")</f>
        <v/>
      </c>
    </row>
    <row r="916">
      <c r="A916">
        <f>Raw_Data!A916</f>
        <v/>
      </c>
      <c r="B916" s="29">
        <f>Raw_Data!B916</f>
        <v/>
      </c>
      <c r="C916">
        <f>YEAR(B916)</f>
        <v/>
      </c>
      <c r="D916">
        <f>MONTH(B916)</f>
        <v/>
      </c>
      <c r="E916">
        <f>TEXT(B916,"MMM-YYYY")</f>
        <v/>
      </c>
      <c r="F916">
        <f>Raw_Data!C916</f>
        <v/>
      </c>
      <c r="G916">
        <f>Raw_Data!D916</f>
        <v/>
      </c>
      <c r="H916">
        <f>Raw_Data!E916</f>
        <v/>
      </c>
      <c r="I916">
        <f>Raw_Data!F916</f>
        <v/>
      </c>
      <c r="J916">
        <f>Raw_Data!G916</f>
        <v/>
      </c>
      <c r="K916">
        <f>Raw_Data!H916</f>
        <v/>
      </c>
      <c r="L916" s="30">
        <f>Raw_Data!I916</f>
        <v/>
      </c>
      <c r="M916" s="31">
        <f>Raw_Data!J916</f>
        <v/>
      </c>
      <c r="N916" s="17">
        <f>K916*L916</f>
        <v/>
      </c>
      <c r="O916" s="17">
        <f>N916*(1-M916)</f>
        <v/>
      </c>
      <c r="P916" s="17">
        <f>Raw_Data!L916</f>
        <v/>
      </c>
      <c r="Q916" s="17">
        <f>O916-P916</f>
        <v/>
      </c>
      <c r="R916" s="31">
        <f>IF(O916=0,0,Q916/O916)</f>
        <v/>
      </c>
      <c r="S916">
        <f>XLOOKUP(F916,Lookups!$B$7:$B$11,Lookups!$C$7:$C$11,"Unknown")</f>
        <v/>
      </c>
      <c r="T916" s="31">
        <f>XLOOKUP(G916,Lookups!$E$7:$E$11,Lookups!$F$7:$F$11,0)</f>
        <v/>
      </c>
      <c r="U916" s="32">
        <f>R916-T916</f>
        <v/>
      </c>
      <c r="V916">
        <f>XLOOKUP(I916,Lookups!$H$7:$H$10,Lookups!$I$7:$I$10,"")</f>
        <v/>
      </c>
      <c r="W916">
        <f>IF(O916&gt;=50000,"HIGH VALUE","")</f>
        <v/>
      </c>
      <c r="X916">
        <f>IF(Q916&lt;0,"LOSS","")</f>
        <v/>
      </c>
      <c r="Y916">
        <f>IFS(M916&gt;=0.15,"Deep Discount",M916&gt;=0.1,"Moderate",TRUE,"Standard")</f>
        <v/>
      </c>
    </row>
    <row r="917">
      <c r="A917">
        <f>Raw_Data!A917</f>
        <v/>
      </c>
      <c r="B917" s="29">
        <f>Raw_Data!B917</f>
        <v/>
      </c>
      <c r="C917">
        <f>YEAR(B917)</f>
        <v/>
      </c>
      <c r="D917">
        <f>MONTH(B917)</f>
        <v/>
      </c>
      <c r="E917">
        <f>TEXT(B917,"MMM-YYYY")</f>
        <v/>
      </c>
      <c r="F917">
        <f>Raw_Data!C917</f>
        <v/>
      </c>
      <c r="G917">
        <f>Raw_Data!D917</f>
        <v/>
      </c>
      <c r="H917">
        <f>Raw_Data!E917</f>
        <v/>
      </c>
      <c r="I917">
        <f>Raw_Data!F917</f>
        <v/>
      </c>
      <c r="J917">
        <f>Raw_Data!G917</f>
        <v/>
      </c>
      <c r="K917">
        <f>Raw_Data!H917</f>
        <v/>
      </c>
      <c r="L917" s="30">
        <f>Raw_Data!I917</f>
        <v/>
      </c>
      <c r="M917" s="31">
        <f>Raw_Data!J917</f>
        <v/>
      </c>
      <c r="N917" s="17">
        <f>K917*L917</f>
        <v/>
      </c>
      <c r="O917" s="17">
        <f>N917*(1-M917)</f>
        <v/>
      </c>
      <c r="P917" s="17">
        <f>Raw_Data!L917</f>
        <v/>
      </c>
      <c r="Q917" s="17">
        <f>O917-P917</f>
        <v/>
      </c>
      <c r="R917" s="31">
        <f>IF(O917=0,0,Q917/O917)</f>
        <v/>
      </c>
      <c r="S917">
        <f>XLOOKUP(F917,Lookups!$B$7:$B$11,Lookups!$C$7:$C$11,"Unknown")</f>
        <v/>
      </c>
      <c r="T917" s="31">
        <f>XLOOKUP(G917,Lookups!$E$7:$E$11,Lookups!$F$7:$F$11,0)</f>
        <v/>
      </c>
      <c r="U917" s="32">
        <f>R917-T917</f>
        <v/>
      </c>
      <c r="V917">
        <f>XLOOKUP(I917,Lookups!$H$7:$H$10,Lookups!$I$7:$I$10,"")</f>
        <v/>
      </c>
      <c r="W917">
        <f>IF(O917&gt;=50000,"HIGH VALUE","")</f>
        <v/>
      </c>
      <c r="X917">
        <f>IF(Q917&lt;0,"LOSS","")</f>
        <v/>
      </c>
      <c r="Y917">
        <f>IFS(M917&gt;=0.15,"Deep Discount",M917&gt;=0.1,"Moderate",TRUE,"Standard")</f>
        <v/>
      </c>
    </row>
    <row r="918">
      <c r="A918">
        <f>Raw_Data!A918</f>
        <v/>
      </c>
      <c r="B918" s="29">
        <f>Raw_Data!B918</f>
        <v/>
      </c>
      <c r="C918">
        <f>YEAR(B918)</f>
        <v/>
      </c>
      <c r="D918">
        <f>MONTH(B918)</f>
        <v/>
      </c>
      <c r="E918">
        <f>TEXT(B918,"MMM-YYYY")</f>
        <v/>
      </c>
      <c r="F918">
        <f>Raw_Data!C918</f>
        <v/>
      </c>
      <c r="G918">
        <f>Raw_Data!D918</f>
        <v/>
      </c>
      <c r="H918">
        <f>Raw_Data!E918</f>
        <v/>
      </c>
      <c r="I918">
        <f>Raw_Data!F918</f>
        <v/>
      </c>
      <c r="J918">
        <f>Raw_Data!G918</f>
        <v/>
      </c>
      <c r="K918">
        <f>Raw_Data!H918</f>
        <v/>
      </c>
      <c r="L918" s="30">
        <f>Raw_Data!I918</f>
        <v/>
      </c>
      <c r="M918" s="31">
        <f>Raw_Data!J918</f>
        <v/>
      </c>
      <c r="N918" s="17">
        <f>K918*L918</f>
        <v/>
      </c>
      <c r="O918" s="17">
        <f>N918*(1-M918)</f>
        <v/>
      </c>
      <c r="P918" s="17">
        <f>Raw_Data!L918</f>
        <v/>
      </c>
      <c r="Q918" s="17">
        <f>O918-P918</f>
        <v/>
      </c>
      <c r="R918" s="31">
        <f>IF(O918=0,0,Q918/O918)</f>
        <v/>
      </c>
      <c r="S918">
        <f>XLOOKUP(F918,Lookups!$B$7:$B$11,Lookups!$C$7:$C$11,"Unknown")</f>
        <v/>
      </c>
      <c r="T918" s="31">
        <f>XLOOKUP(G918,Lookups!$E$7:$E$11,Lookups!$F$7:$F$11,0)</f>
        <v/>
      </c>
      <c r="U918" s="32">
        <f>R918-T918</f>
        <v/>
      </c>
      <c r="V918">
        <f>XLOOKUP(I918,Lookups!$H$7:$H$10,Lookups!$I$7:$I$10,"")</f>
        <v/>
      </c>
      <c r="W918">
        <f>IF(O918&gt;=50000,"HIGH VALUE","")</f>
        <v/>
      </c>
      <c r="X918">
        <f>IF(Q918&lt;0,"LOSS","")</f>
        <v/>
      </c>
      <c r="Y918">
        <f>IFS(M918&gt;=0.15,"Deep Discount",M918&gt;=0.1,"Moderate",TRUE,"Standard")</f>
        <v/>
      </c>
    </row>
    <row r="919">
      <c r="A919">
        <f>Raw_Data!A919</f>
        <v/>
      </c>
      <c r="B919" s="29">
        <f>Raw_Data!B919</f>
        <v/>
      </c>
      <c r="C919">
        <f>YEAR(B919)</f>
        <v/>
      </c>
      <c r="D919">
        <f>MONTH(B919)</f>
        <v/>
      </c>
      <c r="E919">
        <f>TEXT(B919,"MMM-YYYY")</f>
        <v/>
      </c>
      <c r="F919">
        <f>Raw_Data!C919</f>
        <v/>
      </c>
      <c r="G919">
        <f>Raw_Data!D919</f>
        <v/>
      </c>
      <c r="H919">
        <f>Raw_Data!E919</f>
        <v/>
      </c>
      <c r="I919">
        <f>Raw_Data!F919</f>
        <v/>
      </c>
      <c r="J919">
        <f>Raw_Data!G919</f>
        <v/>
      </c>
      <c r="K919">
        <f>Raw_Data!H919</f>
        <v/>
      </c>
      <c r="L919" s="30">
        <f>Raw_Data!I919</f>
        <v/>
      </c>
      <c r="M919" s="31">
        <f>Raw_Data!J919</f>
        <v/>
      </c>
      <c r="N919" s="17">
        <f>K919*L919</f>
        <v/>
      </c>
      <c r="O919" s="17">
        <f>N919*(1-M919)</f>
        <v/>
      </c>
      <c r="P919" s="17">
        <f>Raw_Data!L919</f>
        <v/>
      </c>
      <c r="Q919" s="17">
        <f>O919-P919</f>
        <v/>
      </c>
      <c r="R919" s="31">
        <f>IF(O919=0,0,Q919/O919)</f>
        <v/>
      </c>
      <c r="S919">
        <f>XLOOKUP(F919,Lookups!$B$7:$B$11,Lookups!$C$7:$C$11,"Unknown")</f>
        <v/>
      </c>
      <c r="T919" s="31">
        <f>XLOOKUP(G919,Lookups!$E$7:$E$11,Lookups!$F$7:$F$11,0)</f>
        <v/>
      </c>
      <c r="U919" s="32">
        <f>R919-T919</f>
        <v/>
      </c>
      <c r="V919">
        <f>XLOOKUP(I919,Lookups!$H$7:$H$10,Lookups!$I$7:$I$10,"")</f>
        <v/>
      </c>
      <c r="W919">
        <f>IF(O919&gt;=50000,"HIGH VALUE","")</f>
        <v/>
      </c>
      <c r="X919">
        <f>IF(Q919&lt;0,"LOSS","")</f>
        <v/>
      </c>
      <c r="Y919">
        <f>IFS(M919&gt;=0.15,"Deep Discount",M919&gt;=0.1,"Moderate",TRUE,"Standard")</f>
        <v/>
      </c>
    </row>
    <row r="920">
      <c r="A920">
        <f>Raw_Data!A920</f>
        <v/>
      </c>
      <c r="B920" s="29">
        <f>Raw_Data!B920</f>
        <v/>
      </c>
      <c r="C920">
        <f>YEAR(B920)</f>
        <v/>
      </c>
      <c r="D920">
        <f>MONTH(B920)</f>
        <v/>
      </c>
      <c r="E920">
        <f>TEXT(B920,"MMM-YYYY")</f>
        <v/>
      </c>
      <c r="F920">
        <f>Raw_Data!C920</f>
        <v/>
      </c>
      <c r="G920">
        <f>Raw_Data!D920</f>
        <v/>
      </c>
      <c r="H920">
        <f>Raw_Data!E920</f>
        <v/>
      </c>
      <c r="I920">
        <f>Raw_Data!F920</f>
        <v/>
      </c>
      <c r="J920">
        <f>Raw_Data!G920</f>
        <v/>
      </c>
      <c r="K920">
        <f>Raw_Data!H920</f>
        <v/>
      </c>
      <c r="L920" s="30">
        <f>Raw_Data!I920</f>
        <v/>
      </c>
      <c r="M920" s="31">
        <f>Raw_Data!J920</f>
        <v/>
      </c>
      <c r="N920" s="17">
        <f>K920*L920</f>
        <v/>
      </c>
      <c r="O920" s="17">
        <f>N920*(1-M920)</f>
        <v/>
      </c>
      <c r="P920" s="17">
        <f>Raw_Data!L920</f>
        <v/>
      </c>
      <c r="Q920" s="17">
        <f>O920-P920</f>
        <v/>
      </c>
      <c r="R920" s="31">
        <f>IF(O920=0,0,Q920/O920)</f>
        <v/>
      </c>
      <c r="S920">
        <f>XLOOKUP(F920,Lookups!$B$7:$B$11,Lookups!$C$7:$C$11,"Unknown")</f>
        <v/>
      </c>
      <c r="T920" s="31">
        <f>XLOOKUP(G920,Lookups!$E$7:$E$11,Lookups!$F$7:$F$11,0)</f>
        <v/>
      </c>
      <c r="U920" s="32">
        <f>R920-T920</f>
        <v/>
      </c>
      <c r="V920">
        <f>XLOOKUP(I920,Lookups!$H$7:$H$10,Lookups!$I$7:$I$10,"")</f>
        <v/>
      </c>
      <c r="W920">
        <f>IF(O920&gt;=50000,"HIGH VALUE","")</f>
        <v/>
      </c>
      <c r="X920">
        <f>IF(Q920&lt;0,"LOSS","")</f>
        <v/>
      </c>
      <c r="Y920">
        <f>IFS(M920&gt;=0.15,"Deep Discount",M920&gt;=0.1,"Moderate",TRUE,"Standard")</f>
        <v/>
      </c>
    </row>
    <row r="921">
      <c r="A921">
        <f>Raw_Data!A921</f>
        <v/>
      </c>
      <c r="B921" s="29">
        <f>Raw_Data!B921</f>
        <v/>
      </c>
      <c r="C921">
        <f>YEAR(B921)</f>
        <v/>
      </c>
      <c r="D921">
        <f>MONTH(B921)</f>
        <v/>
      </c>
      <c r="E921">
        <f>TEXT(B921,"MMM-YYYY")</f>
        <v/>
      </c>
      <c r="F921">
        <f>Raw_Data!C921</f>
        <v/>
      </c>
      <c r="G921">
        <f>Raw_Data!D921</f>
        <v/>
      </c>
      <c r="H921">
        <f>Raw_Data!E921</f>
        <v/>
      </c>
      <c r="I921">
        <f>Raw_Data!F921</f>
        <v/>
      </c>
      <c r="J921">
        <f>Raw_Data!G921</f>
        <v/>
      </c>
      <c r="K921">
        <f>Raw_Data!H921</f>
        <v/>
      </c>
      <c r="L921" s="30">
        <f>Raw_Data!I921</f>
        <v/>
      </c>
      <c r="M921" s="31">
        <f>Raw_Data!J921</f>
        <v/>
      </c>
      <c r="N921" s="17">
        <f>K921*L921</f>
        <v/>
      </c>
      <c r="O921" s="17">
        <f>N921*(1-M921)</f>
        <v/>
      </c>
      <c r="P921" s="17">
        <f>Raw_Data!L921</f>
        <v/>
      </c>
      <c r="Q921" s="17">
        <f>O921-P921</f>
        <v/>
      </c>
      <c r="R921" s="31">
        <f>IF(O921=0,0,Q921/O921)</f>
        <v/>
      </c>
      <c r="S921">
        <f>XLOOKUP(F921,Lookups!$B$7:$B$11,Lookups!$C$7:$C$11,"Unknown")</f>
        <v/>
      </c>
      <c r="T921" s="31">
        <f>XLOOKUP(G921,Lookups!$E$7:$E$11,Lookups!$F$7:$F$11,0)</f>
        <v/>
      </c>
      <c r="U921" s="32">
        <f>R921-T921</f>
        <v/>
      </c>
      <c r="V921">
        <f>XLOOKUP(I921,Lookups!$H$7:$H$10,Lookups!$I$7:$I$10,"")</f>
        <v/>
      </c>
      <c r="W921">
        <f>IF(O921&gt;=50000,"HIGH VALUE","")</f>
        <v/>
      </c>
      <c r="X921">
        <f>IF(Q921&lt;0,"LOSS","")</f>
        <v/>
      </c>
      <c r="Y921">
        <f>IFS(M921&gt;=0.15,"Deep Discount",M921&gt;=0.1,"Moderate",TRUE,"Standard")</f>
        <v/>
      </c>
    </row>
    <row r="922">
      <c r="A922">
        <f>Raw_Data!A922</f>
        <v/>
      </c>
      <c r="B922" s="29">
        <f>Raw_Data!B922</f>
        <v/>
      </c>
      <c r="C922">
        <f>YEAR(B922)</f>
        <v/>
      </c>
      <c r="D922">
        <f>MONTH(B922)</f>
        <v/>
      </c>
      <c r="E922">
        <f>TEXT(B922,"MMM-YYYY")</f>
        <v/>
      </c>
      <c r="F922">
        <f>Raw_Data!C922</f>
        <v/>
      </c>
      <c r="G922">
        <f>Raw_Data!D922</f>
        <v/>
      </c>
      <c r="H922">
        <f>Raw_Data!E922</f>
        <v/>
      </c>
      <c r="I922">
        <f>Raw_Data!F922</f>
        <v/>
      </c>
      <c r="J922">
        <f>Raw_Data!G922</f>
        <v/>
      </c>
      <c r="K922">
        <f>Raw_Data!H922</f>
        <v/>
      </c>
      <c r="L922" s="30">
        <f>Raw_Data!I922</f>
        <v/>
      </c>
      <c r="M922" s="31">
        <f>Raw_Data!J922</f>
        <v/>
      </c>
      <c r="N922" s="17">
        <f>K922*L922</f>
        <v/>
      </c>
      <c r="O922" s="17">
        <f>N922*(1-M922)</f>
        <v/>
      </c>
      <c r="P922" s="17">
        <f>Raw_Data!L922</f>
        <v/>
      </c>
      <c r="Q922" s="17">
        <f>O922-P922</f>
        <v/>
      </c>
      <c r="R922" s="31">
        <f>IF(O922=0,0,Q922/O922)</f>
        <v/>
      </c>
      <c r="S922">
        <f>XLOOKUP(F922,Lookups!$B$7:$B$11,Lookups!$C$7:$C$11,"Unknown")</f>
        <v/>
      </c>
      <c r="T922" s="31">
        <f>XLOOKUP(G922,Lookups!$E$7:$E$11,Lookups!$F$7:$F$11,0)</f>
        <v/>
      </c>
      <c r="U922" s="32">
        <f>R922-T922</f>
        <v/>
      </c>
      <c r="V922">
        <f>XLOOKUP(I922,Lookups!$H$7:$H$10,Lookups!$I$7:$I$10,"")</f>
        <v/>
      </c>
      <c r="W922">
        <f>IF(O922&gt;=50000,"HIGH VALUE","")</f>
        <v/>
      </c>
      <c r="X922">
        <f>IF(Q922&lt;0,"LOSS","")</f>
        <v/>
      </c>
      <c r="Y922">
        <f>IFS(M922&gt;=0.15,"Deep Discount",M922&gt;=0.1,"Moderate",TRUE,"Standard")</f>
        <v/>
      </c>
    </row>
    <row r="923">
      <c r="A923">
        <f>Raw_Data!A923</f>
        <v/>
      </c>
      <c r="B923" s="29">
        <f>Raw_Data!B923</f>
        <v/>
      </c>
      <c r="C923">
        <f>YEAR(B923)</f>
        <v/>
      </c>
      <c r="D923">
        <f>MONTH(B923)</f>
        <v/>
      </c>
      <c r="E923">
        <f>TEXT(B923,"MMM-YYYY")</f>
        <v/>
      </c>
      <c r="F923">
        <f>Raw_Data!C923</f>
        <v/>
      </c>
      <c r="G923">
        <f>Raw_Data!D923</f>
        <v/>
      </c>
      <c r="H923">
        <f>Raw_Data!E923</f>
        <v/>
      </c>
      <c r="I923">
        <f>Raw_Data!F923</f>
        <v/>
      </c>
      <c r="J923">
        <f>Raw_Data!G923</f>
        <v/>
      </c>
      <c r="K923">
        <f>Raw_Data!H923</f>
        <v/>
      </c>
      <c r="L923" s="30">
        <f>Raw_Data!I923</f>
        <v/>
      </c>
      <c r="M923" s="31">
        <f>Raw_Data!J923</f>
        <v/>
      </c>
      <c r="N923" s="17">
        <f>K923*L923</f>
        <v/>
      </c>
      <c r="O923" s="17">
        <f>N923*(1-M923)</f>
        <v/>
      </c>
      <c r="P923" s="17">
        <f>Raw_Data!L923</f>
        <v/>
      </c>
      <c r="Q923" s="17">
        <f>O923-P923</f>
        <v/>
      </c>
      <c r="R923" s="31">
        <f>IF(O923=0,0,Q923/O923)</f>
        <v/>
      </c>
      <c r="S923">
        <f>XLOOKUP(F923,Lookups!$B$7:$B$11,Lookups!$C$7:$C$11,"Unknown")</f>
        <v/>
      </c>
      <c r="T923" s="31">
        <f>XLOOKUP(G923,Lookups!$E$7:$E$11,Lookups!$F$7:$F$11,0)</f>
        <v/>
      </c>
      <c r="U923" s="32">
        <f>R923-T923</f>
        <v/>
      </c>
      <c r="V923">
        <f>XLOOKUP(I923,Lookups!$H$7:$H$10,Lookups!$I$7:$I$10,"")</f>
        <v/>
      </c>
      <c r="W923">
        <f>IF(O923&gt;=50000,"HIGH VALUE","")</f>
        <v/>
      </c>
      <c r="X923">
        <f>IF(Q923&lt;0,"LOSS","")</f>
        <v/>
      </c>
      <c r="Y923">
        <f>IFS(M923&gt;=0.15,"Deep Discount",M923&gt;=0.1,"Moderate",TRUE,"Standard")</f>
        <v/>
      </c>
    </row>
    <row r="924">
      <c r="A924">
        <f>Raw_Data!A924</f>
        <v/>
      </c>
      <c r="B924" s="29">
        <f>Raw_Data!B924</f>
        <v/>
      </c>
      <c r="C924">
        <f>YEAR(B924)</f>
        <v/>
      </c>
      <c r="D924">
        <f>MONTH(B924)</f>
        <v/>
      </c>
      <c r="E924">
        <f>TEXT(B924,"MMM-YYYY")</f>
        <v/>
      </c>
      <c r="F924">
        <f>Raw_Data!C924</f>
        <v/>
      </c>
      <c r="G924">
        <f>Raw_Data!D924</f>
        <v/>
      </c>
      <c r="H924">
        <f>Raw_Data!E924</f>
        <v/>
      </c>
      <c r="I924">
        <f>Raw_Data!F924</f>
        <v/>
      </c>
      <c r="J924">
        <f>Raw_Data!G924</f>
        <v/>
      </c>
      <c r="K924">
        <f>Raw_Data!H924</f>
        <v/>
      </c>
      <c r="L924" s="30">
        <f>Raw_Data!I924</f>
        <v/>
      </c>
      <c r="M924" s="31">
        <f>Raw_Data!J924</f>
        <v/>
      </c>
      <c r="N924" s="17">
        <f>K924*L924</f>
        <v/>
      </c>
      <c r="O924" s="17">
        <f>N924*(1-M924)</f>
        <v/>
      </c>
      <c r="P924" s="17">
        <f>Raw_Data!L924</f>
        <v/>
      </c>
      <c r="Q924" s="17">
        <f>O924-P924</f>
        <v/>
      </c>
      <c r="R924" s="31">
        <f>IF(O924=0,0,Q924/O924)</f>
        <v/>
      </c>
      <c r="S924">
        <f>XLOOKUP(F924,Lookups!$B$7:$B$11,Lookups!$C$7:$C$11,"Unknown")</f>
        <v/>
      </c>
      <c r="T924" s="31">
        <f>XLOOKUP(G924,Lookups!$E$7:$E$11,Lookups!$F$7:$F$11,0)</f>
        <v/>
      </c>
      <c r="U924" s="32">
        <f>R924-T924</f>
        <v/>
      </c>
      <c r="V924">
        <f>XLOOKUP(I924,Lookups!$H$7:$H$10,Lookups!$I$7:$I$10,"")</f>
        <v/>
      </c>
      <c r="W924">
        <f>IF(O924&gt;=50000,"HIGH VALUE","")</f>
        <v/>
      </c>
      <c r="X924">
        <f>IF(Q924&lt;0,"LOSS","")</f>
        <v/>
      </c>
      <c r="Y924">
        <f>IFS(M924&gt;=0.15,"Deep Discount",M924&gt;=0.1,"Moderate",TRUE,"Standard")</f>
        <v/>
      </c>
    </row>
    <row r="925">
      <c r="A925">
        <f>Raw_Data!A925</f>
        <v/>
      </c>
      <c r="B925" s="29">
        <f>Raw_Data!B925</f>
        <v/>
      </c>
      <c r="C925">
        <f>YEAR(B925)</f>
        <v/>
      </c>
      <c r="D925">
        <f>MONTH(B925)</f>
        <v/>
      </c>
      <c r="E925">
        <f>TEXT(B925,"MMM-YYYY")</f>
        <v/>
      </c>
      <c r="F925">
        <f>Raw_Data!C925</f>
        <v/>
      </c>
      <c r="G925">
        <f>Raw_Data!D925</f>
        <v/>
      </c>
      <c r="H925">
        <f>Raw_Data!E925</f>
        <v/>
      </c>
      <c r="I925">
        <f>Raw_Data!F925</f>
        <v/>
      </c>
      <c r="J925">
        <f>Raw_Data!G925</f>
        <v/>
      </c>
      <c r="K925">
        <f>Raw_Data!H925</f>
        <v/>
      </c>
      <c r="L925" s="30">
        <f>Raw_Data!I925</f>
        <v/>
      </c>
      <c r="M925" s="31">
        <f>Raw_Data!J925</f>
        <v/>
      </c>
      <c r="N925" s="17">
        <f>K925*L925</f>
        <v/>
      </c>
      <c r="O925" s="17">
        <f>N925*(1-M925)</f>
        <v/>
      </c>
      <c r="P925" s="17">
        <f>Raw_Data!L925</f>
        <v/>
      </c>
      <c r="Q925" s="17">
        <f>O925-P925</f>
        <v/>
      </c>
      <c r="R925" s="31">
        <f>IF(O925=0,0,Q925/O925)</f>
        <v/>
      </c>
      <c r="S925">
        <f>XLOOKUP(F925,Lookups!$B$7:$B$11,Lookups!$C$7:$C$11,"Unknown")</f>
        <v/>
      </c>
      <c r="T925" s="31">
        <f>XLOOKUP(G925,Lookups!$E$7:$E$11,Lookups!$F$7:$F$11,0)</f>
        <v/>
      </c>
      <c r="U925" s="32">
        <f>R925-T925</f>
        <v/>
      </c>
      <c r="V925">
        <f>XLOOKUP(I925,Lookups!$H$7:$H$10,Lookups!$I$7:$I$10,"")</f>
        <v/>
      </c>
      <c r="W925">
        <f>IF(O925&gt;=50000,"HIGH VALUE","")</f>
        <v/>
      </c>
      <c r="X925">
        <f>IF(Q925&lt;0,"LOSS","")</f>
        <v/>
      </c>
      <c r="Y925">
        <f>IFS(M925&gt;=0.15,"Deep Discount",M925&gt;=0.1,"Moderate",TRUE,"Standard")</f>
        <v/>
      </c>
    </row>
    <row r="926">
      <c r="A926">
        <f>Raw_Data!A926</f>
        <v/>
      </c>
      <c r="B926" s="29">
        <f>Raw_Data!B926</f>
        <v/>
      </c>
      <c r="C926">
        <f>YEAR(B926)</f>
        <v/>
      </c>
      <c r="D926">
        <f>MONTH(B926)</f>
        <v/>
      </c>
      <c r="E926">
        <f>TEXT(B926,"MMM-YYYY")</f>
        <v/>
      </c>
      <c r="F926">
        <f>Raw_Data!C926</f>
        <v/>
      </c>
      <c r="G926">
        <f>Raw_Data!D926</f>
        <v/>
      </c>
      <c r="H926">
        <f>Raw_Data!E926</f>
        <v/>
      </c>
      <c r="I926">
        <f>Raw_Data!F926</f>
        <v/>
      </c>
      <c r="J926">
        <f>Raw_Data!G926</f>
        <v/>
      </c>
      <c r="K926">
        <f>Raw_Data!H926</f>
        <v/>
      </c>
      <c r="L926" s="30">
        <f>Raw_Data!I926</f>
        <v/>
      </c>
      <c r="M926" s="31">
        <f>Raw_Data!J926</f>
        <v/>
      </c>
      <c r="N926" s="17">
        <f>K926*L926</f>
        <v/>
      </c>
      <c r="O926" s="17">
        <f>N926*(1-M926)</f>
        <v/>
      </c>
      <c r="P926" s="17">
        <f>Raw_Data!L926</f>
        <v/>
      </c>
      <c r="Q926" s="17">
        <f>O926-P926</f>
        <v/>
      </c>
      <c r="R926" s="31">
        <f>IF(O926=0,0,Q926/O926)</f>
        <v/>
      </c>
      <c r="S926">
        <f>XLOOKUP(F926,Lookups!$B$7:$B$11,Lookups!$C$7:$C$11,"Unknown")</f>
        <v/>
      </c>
      <c r="T926" s="31">
        <f>XLOOKUP(G926,Lookups!$E$7:$E$11,Lookups!$F$7:$F$11,0)</f>
        <v/>
      </c>
      <c r="U926" s="32">
        <f>R926-T926</f>
        <v/>
      </c>
      <c r="V926">
        <f>XLOOKUP(I926,Lookups!$H$7:$H$10,Lookups!$I$7:$I$10,"")</f>
        <v/>
      </c>
      <c r="W926">
        <f>IF(O926&gt;=50000,"HIGH VALUE","")</f>
        <v/>
      </c>
      <c r="X926">
        <f>IF(Q926&lt;0,"LOSS","")</f>
        <v/>
      </c>
      <c r="Y926">
        <f>IFS(M926&gt;=0.15,"Deep Discount",M926&gt;=0.1,"Moderate",TRUE,"Standard")</f>
        <v/>
      </c>
    </row>
    <row r="927">
      <c r="A927">
        <f>Raw_Data!A927</f>
        <v/>
      </c>
      <c r="B927" s="29">
        <f>Raw_Data!B927</f>
        <v/>
      </c>
      <c r="C927">
        <f>YEAR(B927)</f>
        <v/>
      </c>
      <c r="D927">
        <f>MONTH(B927)</f>
        <v/>
      </c>
      <c r="E927">
        <f>TEXT(B927,"MMM-YYYY")</f>
        <v/>
      </c>
      <c r="F927">
        <f>Raw_Data!C927</f>
        <v/>
      </c>
      <c r="G927">
        <f>Raw_Data!D927</f>
        <v/>
      </c>
      <c r="H927">
        <f>Raw_Data!E927</f>
        <v/>
      </c>
      <c r="I927">
        <f>Raw_Data!F927</f>
        <v/>
      </c>
      <c r="J927">
        <f>Raw_Data!G927</f>
        <v/>
      </c>
      <c r="K927">
        <f>Raw_Data!H927</f>
        <v/>
      </c>
      <c r="L927" s="30">
        <f>Raw_Data!I927</f>
        <v/>
      </c>
      <c r="M927" s="31">
        <f>Raw_Data!J927</f>
        <v/>
      </c>
      <c r="N927" s="17">
        <f>K927*L927</f>
        <v/>
      </c>
      <c r="O927" s="17">
        <f>N927*(1-M927)</f>
        <v/>
      </c>
      <c r="P927" s="17">
        <f>Raw_Data!L927</f>
        <v/>
      </c>
      <c r="Q927" s="17">
        <f>O927-P927</f>
        <v/>
      </c>
      <c r="R927" s="31">
        <f>IF(O927=0,0,Q927/O927)</f>
        <v/>
      </c>
      <c r="S927">
        <f>XLOOKUP(F927,Lookups!$B$7:$B$11,Lookups!$C$7:$C$11,"Unknown")</f>
        <v/>
      </c>
      <c r="T927" s="31">
        <f>XLOOKUP(G927,Lookups!$E$7:$E$11,Lookups!$F$7:$F$11,0)</f>
        <v/>
      </c>
      <c r="U927" s="32">
        <f>R927-T927</f>
        <v/>
      </c>
      <c r="V927">
        <f>XLOOKUP(I927,Lookups!$H$7:$H$10,Lookups!$I$7:$I$10,"")</f>
        <v/>
      </c>
      <c r="W927">
        <f>IF(O927&gt;=50000,"HIGH VALUE","")</f>
        <v/>
      </c>
      <c r="X927">
        <f>IF(Q927&lt;0,"LOSS","")</f>
        <v/>
      </c>
      <c r="Y927">
        <f>IFS(M927&gt;=0.15,"Deep Discount",M927&gt;=0.1,"Moderate",TRUE,"Standard")</f>
        <v/>
      </c>
    </row>
    <row r="928">
      <c r="A928">
        <f>Raw_Data!A928</f>
        <v/>
      </c>
      <c r="B928" s="29">
        <f>Raw_Data!B928</f>
        <v/>
      </c>
      <c r="C928">
        <f>YEAR(B928)</f>
        <v/>
      </c>
      <c r="D928">
        <f>MONTH(B928)</f>
        <v/>
      </c>
      <c r="E928">
        <f>TEXT(B928,"MMM-YYYY")</f>
        <v/>
      </c>
      <c r="F928">
        <f>Raw_Data!C928</f>
        <v/>
      </c>
      <c r="G928">
        <f>Raw_Data!D928</f>
        <v/>
      </c>
      <c r="H928">
        <f>Raw_Data!E928</f>
        <v/>
      </c>
      <c r="I928">
        <f>Raw_Data!F928</f>
        <v/>
      </c>
      <c r="J928">
        <f>Raw_Data!G928</f>
        <v/>
      </c>
      <c r="K928">
        <f>Raw_Data!H928</f>
        <v/>
      </c>
      <c r="L928" s="30">
        <f>Raw_Data!I928</f>
        <v/>
      </c>
      <c r="M928" s="31">
        <f>Raw_Data!J928</f>
        <v/>
      </c>
      <c r="N928" s="17">
        <f>K928*L928</f>
        <v/>
      </c>
      <c r="O928" s="17">
        <f>N928*(1-M928)</f>
        <v/>
      </c>
      <c r="P928" s="17">
        <f>Raw_Data!L928</f>
        <v/>
      </c>
      <c r="Q928" s="17">
        <f>O928-P928</f>
        <v/>
      </c>
      <c r="R928" s="31">
        <f>IF(O928=0,0,Q928/O928)</f>
        <v/>
      </c>
      <c r="S928">
        <f>XLOOKUP(F928,Lookups!$B$7:$B$11,Lookups!$C$7:$C$11,"Unknown")</f>
        <v/>
      </c>
      <c r="T928" s="31">
        <f>XLOOKUP(G928,Lookups!$E$7:$E$11,Lookups!$F$7:$F$11,0)</f>
        <v/>
      </c>
      <c r="U928" s="32">
        <f>R928-T928</f>
        <v/>
      </c>
      <c r="V928">
        <f>XLOOKUP(I928,Lookups!$H$7:$H$10,Lookups!$I$7:$I$10,"")</f>
        <v/>
      </c>
      <c r="W928">
        <f>IF(O928&gt;=50000,"HIGH VALUE","")</f>
        <v/>
      </c>
      <c r="X928">
        <f>IF(Q928&lt;0,"LOSS","")</f>
        <v/>
      </c>
      <c r="Y928">
        <f>IFS(M928&gt;=0.15,"Deep Discount",M928&gt;=0.1,"Moderate",TRUE,"Standard")</f>
        <v/>
      </c>
    </row>
    <row r="929">
      <c r="A929">
        <f>Raw_Data!A929</f>
        <v/>
      </c>
      <c r="B929" s="29">
        <f>Raw_Data!B929</f>
        <v/>
      </c>
      <c r="C929">
        <f>YEAR(B929)</f>
        <v/>
      </c>
      <c r="D929">
        <f>MONTH(B929)</f>
        <v/>
      </c>
      <c r="E929">
        <f>TEXT(B929,"MMM-YYYY")</f>
        <v/>
      </c>
      <c r="F929">
        <f>Raw_Data!C929</f>
        <v/>
      </c>
      <c r="G929">
        <f>Raw_Data!D929</f>
        <v/>
      </c>
      <c r="H929">
        <f>Raw_Data!E929</f>
        <v/>
      </c>
      <c r="I929">
        <f>Raw_Data!F929</f>
        <v/>
      </c>
      <c r="J929">
        <f>Raw_Data!G929</f>
        <v/>
      </c>
      <c r="K929">
        <f>Raw_Data!H929</f>
        <v/>
      </c>
      <c r="L929" s="30">
        <f>Raw_Data!I929</f>
        <v/>
      </c>
      <c r="M929" s="31">
        <f>Raw_Data!J929</f>
        <v/>
      </c>
      <c r="N929" s="17">
        <f>K929*L929</f>
        <v/>
      </c>
      <c r="O929" s="17">
        <f>N929*(1-M929)</f>
        <v/>
      </c>
      <c r="P929" s="17">
        <f>Raw_Data!L929</f>
        <v/>
      </c>
      <c r="Q929" s="17">
        <f>O929-P929</f>
        <v/>
      </c>
      <c r="R929" s="31">
        <f>IF(O929=0,0,Q929/O929)</f>
        <v/>
      </c>
      <c r="S929">
        <f>XLOOKUP(F929,Lookups!$B$7:$B$11,Lookups!$C$7:$C$11,"Unknown")</f>
        <v/>
      </c>
      <c r="T929" s="31">
        <f>XLOOKUP(G929,Lookups!$E$7:$E$11,Lookups!$F$7:$F$11,0)</f>
        <v/>
      </c>
      <c r="U929" s="32">
        <f>R929-T929</f>
        <v/>
      </c>
      <c r="V929">
        <f>XLOOKUP(I929,Lookups!$H$7:$H$10,Lookups!$I$7:$I$10,"")</f>
        <v/>
      </c>
      <c r="W929">
        <f>IF(O929&gt;=50000,"HIGH VALUE","")</f>
        <v/>
      </c>
      <c r="X929">
        <f>IF(Q929&lt;0,"LOSS","")</f>
        <v/>
      </c>
      <c r="Y929">
        <f>IFS(M929&gt;=0.15,"Deep Discount",M929&gt;=0.1,"Moderate",TRUE,"Standard")</f>
        <v/>
      </c>
    </row>
    <row r="930">
      <c r="A930">
        <f>Raw_Data!A930</f>
        <v/>
      </c>
      <c r="B930" s="29">
        <f>Raw_Data!B930</f>
        <v/>
      </c>
      <c r="C930">
        <f>YEAR(B930)</f>
        <v/>
      </c>
      <c r="D930">
        <f>MONTH(B930)</f>
        <v/>
      </c>
      <c r="E930">
        <f>TEXT(B930,"MMM-YYYY")</f>
        <v/>
      </c>
      <c r="F930">
        <f>Raw_Data!C930</f>
        <v/>
      </c>
      <c r="G930">
        <f>Raw_Data!D930</f>
        <v/>
      </c>
      <c r="H930">
        <f>Raw_Data!E930</f>
        <v/>
      </c>
      <c r="I930">
        <f>Raw_Data!F930</f>
        <v/>
      </c>
      <c r="J930">
        <f>Raw_Data!G930</f>
        <v/>
      </c>
      <c r="K930">
        <f>Raw_Data!H930</f>
        <v/>
      </c>
      <c r="L930" s="30">
        <f>Raw_Data!I930</f>
        <v/>
      </c>
      <c r="M930" s="31">
        <f>Raw_Data!J930</f>
        <v/>
      </c>
      <c r="N930" s="17">
        <f>K930*L930</f>
        <v/>
      </c>
      <c r="O930" s="17">
        <f>N930*(1-M930)</f>
        <v/>
      </c>
      <c r="P930" s="17">
        <f>Raw_Data!L930</f>
        <v/>
      </c>
      <c r="Q930" s="17">
        <f>O930-P930</f>
        <v/>
      </c>
      <c r="R930" s="31">
        <f>IF(O930=0,0,Q930/O930)</f>
        <v/>
      </c>
      <c r="S930">
        <f>XLOOKUP(F930,Lookups!$B$7:$B$11,Lookups!$C$7:$C$11,"Unknown")</f>
        <v/>
      </c>
      <c r="T930" s="31">
        <f>XLOOKUP(G930,Lookups!$E$7:$E$11,Lookups!$F$7:$F$11,0)</f>
        <v/>
      </c>
      <c r="U930" s="32">
        <f>R930-T930</f>
        <v/>
      </c>
      <c r="V930">
        <f>XLOOKUP(I930,Lookups!$H$7:$H$10,Lookups!$I$7:$I$10,"")</f>
        <v/>
      </c>
      <c r="W930">
        <f>IF(O930&gt;=50000,"HIGH VALUE","")</f>
        <v/>
      </c>
      <c r="X930">
        <f>IF(Q930&lt;0,"LOSS","")</f>
        <v/>
      </c>
      <c r="Y930">
        <f>IFS(M930&gt;=0.15,"Deep Discount",M930&gt;=0.1,"Moderate",TRUE,"Standard")</f>
        <v/>
      </c>
    </row>
    <row r="931">
      <c r="A931">
        <f>Raw_Data!A931</f>
        <v/>
      </c>
      <c r="B931" s="29">
        <f>Raw_Data!B931</f>
        <v/>
      </c>
      <c r="C931">
        <f>YEAR(B931)</f>
        <v/>
      </c>
      <c r="D931">
        <f>MONTH(B931)</f>
        <v/>
      </c>
      <c r="E931">
        <f>TEXT(B931,"MMM-YYYY")</f>
        <v/>
      </c>
      <c r="F931">
        <f>Raw_Data!C931</f>
        <v/>
      </c>
      <c r="G931">
        <f>Raw_Data!D931</f>
        <v/>
      </c>
      <c r="H931">
        <f>Raw_Data!E931</f>
        <v/>
      </c>
      <c r="I931">
        <f>Raw_Data!F931</f>
        <v/>
      </c>
      <c r="J931">
        <f>Raw_Data!G931</f>
        <v/>
      </c>
      <c r="K931">
        <f>Raw_Data!H931</f>
        <v/>
      </c>
      <c r="L931" s="30">
        <f>Raw_Data!I931</f>
        <v/>
      </c>
      <c r="M931" s="31">
        <f>Raw_Data!J931</f>
        <v/>
      </c>
      <c r="N931" s="17">
        <f>K931*L931</f>
        <v/>
      </c>
      <c r="O931" s="17">
        <f>N931*(1-M931)</f>
        <v/>
      </c>
      <c r="P931" s="17">
        <f>Raw_Data!L931</f>
        <v/>
      </c>
      <c r="Q931" s="17">
        <f>O931-P931</f>
        <v/>
      </c>
      <c r="R931" s="31">
        <f>IF(O931=0,0,Q931/O931)</f>
        <v/>
      </c>
      <c r="S931">
        <f>XLOOKUP(F931,Lookups!$B$7:$B$11,Lookups!$C$7:$C$11,"Unknown")</f>
        <v/>
      </c>
      <c r="T931" s="31">
        <f>XLOOKUP(G931,Lookups!$E$7:$E$11,Lookups!$F$7:$F$11,0)</f>
        <v/>
      </c>
      <c r="U931" s="32">
        <f>R931-T931</f>
        <v/>
      </c>
      <c r="V931">
        <f>XLOOKUP(I931,Lookups!$H$7:$H$10,Lookups!$I$7:$I$10,"")</f>
        <v/>
      </c>
      <c r="W931">
        <f>IF(O931&gt;=50000,"HIGH VALUE","")</f>
        <v/>
      </c>
      <c r="X931">
        <f>IF(Q931&lt;0,"LOSS","")</f>
        <v/>
      </c>
      <c r="Y931">
        <f>IFS(M931&gt;=0.15,"Deep Discount",M931&gt;=0.1,"Moderate",TRUE,"Standard")</f>
        <v/>
      </c>
    </row>
    <row r="932">
      <c r="A932">
        <f>Raw_Data!A932</f>
        <v/>
      </c>
      <c r="B932" s="29">
        <f>Raw_Data!B932</f>
        <v/>
      </c>
      <c r="C932">
        <f>YEAR(B932)</f>
        <v/>
      </c>
      <c r="D932">
        <f>MONTH(B932)</f>
        <v/>
      </c>
      <c r="E932">
        <f>TEXT(B932,"MMM-YYYY")</f>
        <v/>
      </c>
      <c r="F932">
        <f>Raw_Data!C932</f>
        <v/>
      </c>
      <c r="G932">
        <f>Raw_Data!D932</f>
        <v/>
      </c>
      <c r="H932">
        <f>Raw_Data!E932</f>
        <v/>
      </c>
      <c r="I932">
        <f>Raw_Data!F932</f>
        <v/>
      </c>
      <c r="J932">
        <f>Raw_Data!G932</f>
        <v/>
      </c>
      <c r="K932">
        <f>Raw_Data!H932</f>
        <v/>
      </c>
      <c r="L932" s="30">
        <f>Raw_Data!I932</f>
        <v/>
      </c>
      <c r="M932" s="31">
        <f>Raw_Data!J932</f>
        <v/>
      </c>
      <c r="N932" s="17">
        <f>K932*L932</f>
        <v/>
      </c>
      <c r="O932" s="17">
        <f>N932*(1-M932)</f>
        <v/>
      </c>
      <c r="P932" s="17">
        <f>Raw_Data!L932</f>
        <v/>
      </c>
      <c r="Q932" s="17">
        <f>O932-P932</f>
        <v/>
      </c>
      <c r="R932" s="31">
        <f>IF(O932=0,0,Q932/O932)</f>
        <v/>
      </c>
      <c r="S932">
        <f>XLOOKUP(F932,Lookups!$B$7:$B$11,Lookups!$C$7:$C$11,"Unknown")</f>
        <v/>
      </c>
      <c r="T932" s="31">
        <f>XLOOKUP(G932,Lookups!$E$7:$E$11,Lookups!$F$7:$F$11,0)</f>
        <v/>
      </c>
      <c r="U932" s="32">
        <f>R932-T932</f>
        <v/>
      </c>
      <c r="V932">
        <f>XLOOKUP(I932,Lookups!$H$7:$H$10,Lookups!$I$7:$I$10,"")</f>
        <v/>
      </c>
      <c r="W932">
        <f>IF(O932&gt;=50000,"HIGH VALUE","")</f>
        <v/>
      </c>
      <c r="X932">
        <f>IF(Q932&lt;0,"LOSS","")</f>
        <v/>
      </c>
      <c r="Y932">
        <f>IFS(M932&gt;=0.15,"Deep Discount",M932&gt;=0.1,"Moderate",TRUE,"Standard")</f>
        <v/>
      </c>
    </row>
    <row r="933">
      <c r="A933">
        <f>Raw_Data!A933</f>
        <v/>
      </c>
      <c r="B933" s="29">
        <f>Raw_Data!B933</f>
        <v/>
      </c>
      <c r="C933">
        <f>YEAR(B933)</f>
        <v/>
      </c>
      <c r="D933">
        <f>MONTH(B933)</f>
        <v/>
      </c>
      <c r="E933">
        <f>TEXT(B933,"MMM-YYYY")</f>
        <v/>
      </c>
      <c r="F933">
        <f>Raw_Data!C933</f>
        <v/>
      </c>
      <c r="G933">
        <f>Raw_Data!D933</f>
        <v/>
      </c>
      <c r="H933">
        <f>Raw_Data!E933</f>
        <v/>
      </c>
      <c r="I933">
        <f>Raw_Data!F933</f>
        <v/>
      </c>
      <c r="J933">
        <f>Raw_Data!G933</f>
        <v/>
      </c>
      <c r="K933">
        <f>Raw_Data!H933</f>
        <v/>
      </c>
      <c r="L933" s="30">
        <f>Raw_Data!I933</f>
        <v/>
      </c>
      <c r="M933" s="31">
        <f>Raw_Data!J933</f>
        <v/>
      </c>
      <c r="N933" s="17">
        <f>K933*L933</f>
        <v/>
      </c>
      <c r="O933" s="17">
        <f>N933*(1-M933)</f>
        <v/>
      </c>
      <c r="P933" s="17">
        <f>Raw_Data!L933</f>
        <v/>
      </c>
      <c r="Q933" s="17">
        <f>O933-P933</f>
        <v/>
      </c>
      <c r="R933" s="31">
        <f>IF(O933=0,0,Q933/O933)</f>
        <v/>
      </c>
      <c r="S933">
        <f>XLOOKUP(F933,Lookups!$B$7:$B$11,Lookups!$C$7:$C$11,"Unknown")</f>
        <v/>
      </c>
      <c r="T933" s="31">
        <f>XLOOKUP(G933,Lookups!$E$7:$E$11,Lookups!$F$7:$F$11,0)</f>
        <v/>
      </c>
      <c r="U933" s="32">
        <f>R933-T933</f>
        <v/>
      </c>
      <c r="V933">
        <f>XLOOKUP(I933,Lookups!$H$7:$H$10,Lookups!$I$7:$I$10,"")</f>
        <v/>
      </c>
      <c r="W933">
        <f>IF(O933&gt;=50000,"HIGH VALUE","")</f>
        <v/>
      </c>
      <c r="X933">
        <f>IF(Q933&lt;0,"LOSS","")</f>
        <v/>
      </c>
      <c r="Y933">
        <f>IFS(M933&gt;=0.15,"Deep Discount",M933&gt;=0.1,"Moderate",TRUE,"Standard")</f>
        <v/>
      </c>
    </row>
    <row r="934">
      <c r="A934">
        <f>Raw_Data!A934</f>
        <v/>
      </c>
      <c r="B934" s="29">
        <f>Raw_Data!B934</f>
        <v/>
      </c>
      <c r="C934">
        <f>YEAR(B934)</f>
        <v/>
      </c>
      <c r="D934">
        <f>MONTH(B934)</f>
        <v/>
      </c>
      <c r="E934">
        <f>TEXT(B934,"MMM-YYYY")</f>
        <v/>
      </c>
      <c r="F934">
        <f>Raw_Data!C934</f>
        <v/>
      </c>
      <c r="G934">
        <f>Raw_Data!D934</f>
        <v/>
      </c>
      <c r="H934">
        <f>Raw_Data!E934</f>
        <v/>
      </c>
      <c r="I934">
        <f>Raw_Data!F934</f>
        <v/>
      </c>
      <c r="J934">
        <f>Raw_Data!G934</f>
        <v/>
      </c>
      <c r="K934">
        <f>Raw_Data!H934</f>
        <v/>
      </c>
      <c r="L934" s="30">
        <f>Raw_Data!I934</f>
        <v/>
      </c>
      <c r="M934" s="31">
        <f>Raw_Data!J934</f>
        <v/>
      </c>
      <c r="N934" s="17">
        <f>K934*L934</f>
        <v/>
      </c>
      <c r="O934" s="17">
        <f>N934*(1-M934)</f>
        <v/>
      </c>
      <c r="P934" s="17">
        <f>Raw_Data!L934</f>
        <v/>
      </c>
      <c r="Q934" s="17">
        <f>O934-P934</f>
        <v/>
      </c>
      <c r="R934" s="31">
        <f>IF(O934=0,0,Q934/O934)</f>
        <v/>
      </c>
      <c r="S934">
        <f>XLOOKUP(F934,Lookups!$B$7:$B$11,Lookups!$C$7:$C$11,"Unknown")</f>
        <v/>
      </c>
      <c r="T934" s="31">
        <f>XLOOKUP(G934,Lookups!$E$7:$E$11,Lookups!$F$7:$F$11,0)</f>
        <v/>
      </c>
      <c r="U934" s="32">
        <f>R934-T934</f>
        <v/>
      </c>
      <c r="V934">
        <f>XLOOKUP(I934,Lookups!$H$7:$H$10,Lookups!$I$7:$I$10,"")</f>
        <v/>
      </c>
      <c r="W934">
        <f>IF(O934&gt;=50000,"HIGH VALUE","")</f>
        <v/>
      </c>
      <c r="X934">
        <f>IF(Q934&lt;0,"LOSS","")</f>
        <v/>
      </c>
      <c r="Y934">
        <f>IFS(M934&gt;=0.15,"Deep Discount",M934&gt;=0.1,"Moderate",TRUE,"Standard")</f>
        <v/>
      </c>
    </row>
    <row r="935">
      <c r="A935">
        <f>Raw_Data!A935</f>
        <v/>
      </c>
      <c r="B935" s="29">
        <f>Raw_Data!B935</f>
        <v/>
      </c>
      <c r="C935">
        <f>YEAR(B935)</f>
        <v/>
      </c>
      <c r="D935">
        <f>MONTH(B935)</f>
        <v/>
      </c>
      <c r="E935">
        <f>TEXT(B935,"MMM-YYYY")</f>
        <v/>
      </c>
      <c r="F935">
        <f>Raw_Data!C935</f>
        <v/>
      </c>
      <c r="G935">
        <f>Raw_Data!D935</f>
        <v/>
      </c>
      <c r="H935">
        <f>Raw_Data!E935</f>
        <v/>
      </c>
      <c r="I935">
        <f>Raw_Data!F935</f>
        <v/>
      </c>
      <c r="J935">
        <f>Raw_Data!G935</f>
        <v/>
      </c>
      <c r="K935">
        <f>Raw_Data!H935</f>
        <v/>
      </c>
      <c r="L935" s="30">
        <f>Raw_Data!I935</f>
        <v/>
      </c>
      <c r="M935" s="31">
        <f>Raw_Data!J935</f>
        <v/>
      </c>
      <c r="N935" s="17">
        <f>K935*L935</f>
        <v/>
      </c>
      <c r="O935" s="17">
        <f>N935*(1-M935)</f>
        <v/>
      </c>
      <c r="P935" s="17">
        <f>Raw_Data!L935</f>
        <v/>
      </c>
      <c r="Q935" s="17">
        <f>O935-P935</f>
        <v/>
      </c>
      <c r="R935" s="31">
        <f>IF(O935=0,0,Q935/O935)</f>
        <v/>
      </c>
      <c r="S935">
        <f>XLOOKUP(F935,Lookups!$B$7:$B$11,Lookups!$C$7:$C$11,"Unknown")</f>
        <v/>
      </c>
      <c r="T935" s="31">
        <f>XLOOKUP(G935,Lookups!$E$7:$E$11,Lookups!$F$7:$F$11,0)</f>
        <v/>
      </c>
      <c r="U935" s="32">
        <f>R935-T935</f>
        <v/>
      </c>
      <c r="V935">
        <f>XLOOKUP(I935,Lookups!$H$7:$H$10,Lookups!$I$7:$I$10,"")</f>
        <v/>
      </c>
      <c r="W935">
        <f>IF(O935&gt;=50000,"HIGH VALUE","")</f>
        <v/>
      </c>
      <c r="X935">
        <f>IF(Q935&lt;0,"LOSS","")</f>
        <v/>
      </c>
      <c r="Y935">
        <f>IFS(M935&gt;=0.15,"Deep Discount",M935&gt;=0.1,"Moderate",TRUE,"Standard")</f>
        <v/>
      </c>
    </row>
    <row r="936">
      <c r="A936">
        <f>Raw_Data!A936</f>
        <v/>
      </c>
      <c r="B936" s="29">
        <f>Raw_Data!B936</f>
        <v/>
      </c>
      <c r="C936">
        <f>YEAR(B936)</f>
        <v/>
      </c>
      <c r="D936">
        <f>MONTH(B936)</f>
        <v/>
      </c>
      <c r="E936">
        <f>TEXT(B936,"MMM-YYYY")</f>
        <v/>
      </c>
      <c r="F936">
        <f>Raw_Data!C936</f>
        <v/>
      </c>
      <c r="G936">
        <f>Raw_Data!D936</f>
        <v/>
      </c>
      <c r="H936">
        <f>Raw_Data!E936</f>
        <v/>
      </c>
      <c r="I936">
        <f>Raw_Data!F936</f>
        <v/>
      </c>
      <c r="J936">
        <f>Raw_Data!G936</f>
        <v/>
      </c>
      <c r="K936">
        <f>Raw_Data!H936</f>
        <v/>
      </c>
      <c r="L936" s="30">
        <f>Raw_Data!I936</f>
        <v/>
      </c>
      <c r="M936" s="31">
        <f>Raw_Data!J936</f>
        <v/>
      </c>
      <c r="N936" s="17">
        <f>K936*L936</f>
        <v/>
      </c>
      <c r="O936" s="17">
        <f>N936*(1-M936)</f>
        <v/>
      </c>
      <c r="P936" s="17">
        <f>Raw_Data!L936</f>
        <v/>
      </c>
      <c r="Q936" s="17">
        <f>O936-P936</f>
        <v/>
      </c>
      <c r="R936" s="31">
        <f>IF(O936=0,0,Q936/O936)</f>
        <v/>
      </c>
      <c r="S936">
        <f>XLOOKUP(F936,Lookups!$B$7:$B$11,Lookups!$C$7:$C$11,"Unknown")</f>
        <v/>
      </c>
      <c r="T936" s="31">
        <f>XLOOKUP(G936,Lookups!$E$7:$E$11,Lookups!$F$7:$F$11,0)</f>
        <v/>
      </c>
      <c r="U936" s="32">
        <f>R936-T936</f>
        <v/>
      </c>
      <c r="V936">
        <f>XLOOKUP(I936,Lookups!$H$7:$H$10,Lookups!$I$7:$I$10,"")</f>
        <v/>
      </c>
      <c r="W936">
        <f>IF(O936&gt;=50000,"HIGH VALUE","")</f>
        <v/>
      </c>
      <c r="X936">
        <f>IF(Q936&lt;0,"LOSS","")</f>
        <v/>
      </c>
      <c r="Y936">
        <f>IFS(M936&gt;=0.15,"Deep Discount",M936&gt;=0.1,"Moderate",TRUE,"Standard")</f>
        <v/>
      </c>
    </row>
    <row r="937">
      <c r="A937">
        <f>Raw_Data!A937</f>
        <v/>
      </c>
      <c r="B937" s="29">
        <f>Raw_Data!B937</f>
        <v/>
      </c>
      <c r="C937">
        <f>YEAR(B937)</f>
        <v/>
      </c>
      <c r="D937">
        <f>MONTH(B937)</f>
        <v/>
      </c>
      <c r="E937">
        <f>TEXT(B937,"MMM-YYYY")</f>
        <v/>
      </c>
      <c r="F937">
        <f>Raw_Data!C937</f>
        <v/>
      </c>
      <c r="G937">
        <f>Raw_Data!D937</f>
        <v/>
      </c>
      <c r="H937">
        <f>Raw_Data!E937</f>
        <v/>
      </c>
      <c r="I937">
        <f>Raw_Data!F937</f>
        <v/>
      </c>
      <c r="J937">
        <f>Raw_Data!G937</f>
        <v/>
      </c>
      <c r="K937">
        <f>Raw_Data!H937</f>
        <v/>
      </c>
      <c r="L937" s="30">
        <f>Raw_Data!I937</f>
        <v/>
      </c>
      <c r="M937" s="31">
        <f>Raw_Data!J937</f>
        <v/>
      </c>
      <c r="N937" s="17">
        <f>K937*L937</f>
        <v/>
      </c>
      <c r="O937" s="17">
        <f>N937*(1-M937)</f>
        <v/>
      </c>
      <c r="P937" s="17">
        <f>Raw_Data!L937</f>
        <v/>
      </c>
      <c r="Q937" s="17">
        <f>O937-P937</f>
        <v/>
      </c>
      <c r="R937" s="31">
        <f>IF(O937=0,0,Q937/O937)</f>
        <v/>
      </c>
      <c r="S937">
        <f>XLOOKUP(F937,Lookups!$B$7:$B$11,Lookups!$C$7:$C$11,"Unknown")</f>
        <v/>
      </c>
      <c r="T937" s="31">
        <f>XLOOKUP(G937,Lookups!$E$7:$E$11,Lookups!$F$7:$F$11,0)</f>
        <v/>
      </c>
      <c r="U937" s="32">
        <f>R937-T937</f>
        <v/>
      </c>
      <c r="V937">
        <f>XLOOKUP(I937,Lookups!$H$7:$H$10,Lookups!$I$7:$I$10,"")</f>
        <v/>
      </c>
      <c r="W937">
        <f>IF(O937&gt;=50000,"HIGH VALUE","")</f>
        <v/>
      </c>
      <c r="X937">
        <f>IF(Q937&lt;0,"LOSS","")</f>
        <v/>
      </c>
      <c r="Y937">
        <f>IFS(M937&gt;=0.15,"Deep Discount",M937&gt;=0.1,"Moderate",TRUE,"Standard")</f>
        <v/>
      </c>
    </row>
    <row r="938">
      <c r="A938">
        <f>Raw_Data!A938</f>
        <v/>
      </c>
      <c r="B938" s="29">
        <f>Raw_Data!B938</f>
        <v/>
      </c>
      <c r="C938">
        <f>YEAR(B938)</f>
        <v/>
      </c>
      <c r="D938">
        <f>MONTH(B938)</f>
        <v/>
      </c>
      <c r="E938">
        <f>TEXT(B938,"MMM-YYYY")</f>
        <v/>
      </c>
      <c r="F938">
        <f>Raw_Data!C938</f>
        <v/>
      </c>
      <c r="G938">
        <f>Raw_Data!D938</f>
        <v/>
      </c>
      <c r="H938">
        <f>Raw_Data!E938</f>
        <v/>
      </c>
      <c r="I938">
        <f>Raw_Data!F938</f>
        <v/>
      </c>
      <c r="J938">
        <f>Raw_Data!G938</f>
        <v/>
      </c>
      <c r="K938">
        <f>Raw_Data!H938</f>
        <v/>
      </c>
      <c r="L938" s="30">
        <f>Raw_Data!I938</f>
        <v/>
      </c>
      <c r="M938" s="31">
        <f>Raw_Data!J938</f>
        <v/>
      </c>
      <c r="N938" s="17">
        <f>K938*L938</f>
        <v/>
      </c>
      <c r="O938" s="17">
        <f>N938*(1-M938)</f>
        <v/>
      </c>
      <c r="P938" s="17">
        <f>Raw_Data!L938</f>
        <v/>
      </c>
      <c r="Q938" s="17">
        <f>O938-P938</f>
        <v/>
      </c>
      <c r="R938" s="31">
        <f>IF(O938=0,0,Q938/O938)</f>
        <v/>
      </c>
      <c r="S938">
        <f>XLOOKUP(F938,Lookups!$B$7:$B$11,Lookups!$C$7:$C$11,"Unknown")</f>
        <v/>
      </c>
      <c r="T938" s="31">
        <f>XLOOKUP(G938,Lookups!$E$7:$E$11,Lookups!$F$7:$F$11,0)</f>
        <v/>
      </c>
      <c r="U938" s="32">
        <f>R938-T938</f>
        <v/>
      </c>
      <c r="V938">
        <f>XLOOKUP(I938,Lookups!$H$7:$H$10,Lookups!$I$7:$I$10,"")</f>
        <v/>
      </c>
      <c r="W938">
        <f>IF(O938&gt;=50000,"HIGH VALUE","")</f>
        <v/>
      </c>
      <c r="X938">
        <f>IF(Q938&lt;0,"LOSS","")</f>
        <v/>
      </c>
      <c r="Y938">
        <f>IFS(M938&gt;=0.15,"Deep Discount",M938&gt;=0.1,"Moderate",TRUE,"Standard")</f>
        <v/>
      </c>
    </row>
    <row r="939">
      <c r="A939">
        <f>Raw_Data!A939</f>
        <v/>
      </c>
      <c r="B939" s="29">
        <f>Raw_Data!B939</f>
        <v/>
      </c>
      <c r="C939">
        <f>YEAR(B939)</f>
        <v/>
      </c>
      <c r="D939">
        <f>MONTH(B939)</f>
        <v/>
      </c>
      <c r="E939">
        <f>TEXT(B939,"MMM-YYYY")</f>
        <v/>
      </c>
      <c r="F939">
        <f>Raw_Data!C939</f>
        <v/>
      </c>
      <c r="G939">
        <f>Raw_Data!D939</f>
        <v/>
      </c>
      <c r="H939">
        <f>Raw_Data!E939</f>
        <v/>
      </c>
      <c r="I939">
        <f>Raw_Data!F939</f>
        <v/>
      </c>
      <c r="J939">
        <f>Raw_Data!G939</f>
        <v/>
      </c>
      <c r="K939">
        <f>Raw_Data!H939</f>
        <v/>
      </c>
      <c r="L939" s="30">
        <f>Raw_Data!I939</f>
        <v/>
      </c>
      <c r="M939" s="31">
        <f>Raw_Data!J939</f>
        <v/>
      </c>
      <c r="N939" s="17">
        <f>K939*L939</f>
        <v/>
      </c>
      <c r="O939" s="17">
        <f>N939*(1-M939)</f>
        <v/>
      </c>
      <c r="P939" s="17">
        <f>Raw_Data!L939</f>
        <v/>
      </c>
      <c r="Q939" s="17">
        <f>O939-P939</f>
        <v/>
      </c>
      <c r="R939" s="31">
        <f>IF(O939=0,0,Q939/O939)</f>
        <v/>
      </c>
      <c r="S939">
        <f>XLOOKUP(F939,Lookups!$B$7:$B$11,Lookups!$C$7:$C$11,"Unknown")</f>
        <v/>
      </c>
      <c r="T939" s="31">
        <f>XLOOKUP(G939,Lookups!$E$7:$E$11,Lookups!$F$7:$F$11,0)</f>
        <v/>
      </c>
      <c r="U939" s="32">
        <f>R939-T939</f>
        <v/>
      </c>
      <c r="V939">
        <f>XLOOKUP(I939,Lookups!$H$7:$H$10,Lookups!$I$7:$I$10,"")</f>
        <v/>
      </c>
      <c r="W939">
        <f>IF(O939&gt;=50000,"HIGH VALUE","")</f>
        <v/>
      </c>
      <c r="X939">
        <f>IF(Q939&lt;0,"LOSS","")</f>
        <v/>
      </c>
      <c r="Y939">
        <f>IFS(M939&gt;=0.15,"Deep Discount",M939&gt;=0.1,"Moderate",TRUE,"Standard")</f>
        <v/>
      </c>
    </row>
    <row r="940">
      <c r="A940">
        <f>Raw_Data!A940</f>
        <v/>
      </c>
      <c r="B940" s="29">
        <f>Raw_Data!B940</f>
        <v/>
      </c>
      <c r="C940">
        <f>YEAR(B940)</f>
        <v/>
      </c>
      <c r="D940">
        <f>MONTH(B940)</f>
        <v/>
      </c>
      <c r="E940">
        <f>TEXT(B940,"MMM-YYYY")</f>
        <v/>
      </c>
      <c r="F940">
        <f>Raw_Data!C940</f>
        <v/>
      </c>
      <c r="G940">
        <f>Raw_Data!D940</f>
        <v/>
      </c>
      <c r="H940">
        <f>Raw_Data!E940</f>
        <v/>
      </c>
      <c r="I940">
        <f>Raw_Data!F940</f>
        <v/>
      </c>
      <c r="J940">
        <f>Raw_Data!G940</f>
        <v/>
      </c>
      <c r="K940">
        <f>Raw_Data!H940</f>
        <v/>
      </c>
      <c r="L940" s="30">
        <f>Raw_Data!I940</f>
        <v/>
      </c>
      <c r="M940" s="31">
        <f>Raw_Data!J940</f>
        <v/>
      </c>
      <c r="N940" s="17">
        <f>K940*L940</f>
        <v/>
      </c>
      <c r="O940" s="17">
        <f>N940*(1-M940)</f>
        <v/>
      </c>
      <c r="P940" s="17">
        <f>Raw_Data!L940</f>
        <v/>
      </c>
      <c r="Q940" s="17">
        <f>O940-P940</f>
        <v/>
      </c>
      <c r="R940" s="31">
        <f>IF(O940=0,0,Q940/O940)</f>
        <v/>
      </c>
      <c r="S940">
        <f>XLOOKUP(F940,Lookups!$B$7:$B$11,Lookups!$C$7:$C$11,"Unknown")</f>
        <v/>
      </c>
      <c r="T940" s="31">
        <f>XLOOKUP(G940,Lookups!$E$7:$E$11,Lookups!$F$7:$F$11,0)</f>
        <v/>
      </c>
      <c r="U940" s="32">
        <f>R940-T940</f>
        <v/>
      </c>
      <c r="V940">
        <f>XLOOKUP(I940,Lookups!$H$7:$H$10,Lookups!$I$7:$I$10,"")</f>
        <v/>
      </c>
      <c r="W940">
        <f>IF(O940&gt;=50000,"HIGH VALUE","")</f>
        <v/>
      </c>
      <c r="X940">
        <f>IF(Q940&lt;0,"LOSS","")</f>
        <v/>
      </c>
      <c r="Y940">
        <f>IFS(M940&gt;=0.15,"Deep Discount",M940&gt;=0.1,"Moderate",TRUE,"Standard")</f>
        <v/>
      </c>
    </row>
    <row r="941">
      <c r="A941">
        <f>Raw_Data!A941</f>
        <v/>
      </c>
      <c r="B941" s="29">
        <f>Raw_Data!B941</f>
        <v/>
      </c>
      <c r="C941">
        <f>YEAR(B941)</f>
        <v/>
      </c>
      <c r="D941">
        <f>MONTH(B941)</f>
        <v/>
      </c>
      <c r="E941">
        <f>TEXT(B941,"MMM-YYYY")</f>
        <v/>
      </c>
      <c r="F941">
        <f>Raw_Data!C941</f>
        <v/>
      </c>
      <c r="G941">
        <f>Raw_Data!D941</f>
        <v/>
      </c>
      <c r="H941">
        <f>Raw_Data!E941</f>
        <v/>
      </c>
      <c r="I941">
        <f>Raw_Data!F941</f>
        <v/>
      </c>
      <c r="J941">
        <f>Raw_Data!G941</f>
        <v/>
      </c>
      <c r="K941">
        <f>Raw_Data!H941</f>
        <v/>
      </c>
      <c r="L941" s="30">
        <f>Raw_Data!I941</f>
        <v/>
      </c>
      <c r="M941" s="31">
        <f>Raw_Data!J941</f>
        <v/>
      </c>
      <c r="N941" s="17">
        <f>K941*L941</f>
        <v/>
      </c>
      <c r="O941" s="17">
        <f>N941*(1-M941)</f>
        <v/>
      </c>
      <c r="P941" s="17">
        <f>Raw_Data!L941</f>
        <v/>
      </c>
      <c r="Q941" s="17">
        <f>O941-P941</f>
        <v/>
      </c>
      <c r="R941" s="31">
        <f>IF(O941=0,0,Q941/O941)</f>
        <v/>
      </c>
      <c r="S941">
        <f>XLOOKUP(F941,Lookups!$B$7:$B$11,Lookups!$C$7:$C$11,"Unknown")</f>
        <v/>
      </c>
      <c r="T941" s="31">
        <f>XLOOKUP(G941,Lookups!$E$7:$E$11,Lookups!$F$7:$F$11,0)</f>
        <v/>
      </c>
      <c r="U941" s="32">
        <f>R941-T941</f>
        <v/>
      </c>
      <c r="V941">
        <f>XLOOKUP(I941,Lookups!$H$7:$H$10,Lookups!$I$7:$I$10,"")</f>
        <v/>
      </c>
      <c r="W941">
        <f>IF(O941&gt;=50000,"HIGH VALUE","")</f>
        <v/>
      </c>
      <c r="X941">
        <f>IF(Q941&lt;0,"LOSS","")</f>
        <v/>
      </c>
      <c r="Y941">
        <f>IFS(M941&gt;=0.15,"Deep Discount",M941&gt;=0.1,"Moderate",TRUE,"Standard")</f>
        <v/>
      </c>
    </row>
    <row r="942">
      <c r="A942">
        <f>Raw_Data!A942</f>
        <v/>
      </c>
      <c r="B942" s="29">
        <f>Raw_Data!B942</f>
        <v/>
      </c>
      <c r="C942">
        <f>YEAR(B942)</f>
        <v/>
      </c>
      <c r="D942">
        <f>MONTH(B942)</f>
        <v/>
      </c>
      <c r="E942">
        <f>TEXT(B942,"MMM-YYYY")</f>
        <v/>
      </c>
      <c r="F942">
        <f>Raw_Data!C942</f>
        <v/>
      </c>
      <c r="G942">
        <f>Raw_Data!D942</f>
        <v/>
      </c>
      <c r="H942">
        <f>Raw_Data!E942</f>
        <v/>
      </c>
      <c r="I942">
        <f>Raw_Data!F942</f>
        <v/>
      </c>
      <c r="J942">
        <f>Raw_Data!G942</f>
        <v/>
      </c>
      <c r="K942">
        <f>Raw_Data!H942</f>
        <v/>
      </c>
      <c r="L942" s="30">
        <f>Raw_Data!I942</f>
        <v/>
      </c>
      <c r="M942" s="31">
        <f>Raw_Data!J942</f>
        <v/>
      </c>
      <c r="N942" s="17">
        <f>K942*L942</f>
        <v/>
      </c>
      <c r="O942" s="17">
        <f>N942*(1-M942)</f>
        <v/>
      </c>
      <c r="P942" s="17">
        <f>Raw_Data!L942</f>
        <v/>
      </c>
      <c r="Q942" s="17">
        <f>O942-P942</f>
        <v/>
      </c>
      <c r="R942" s="31">
        <f>IF(O942=0,0,Q942/O942)</f>
        <v/>
      </c>
      <c r="S942">
        <f>XLOOKUP(F942,Lookups!$B$7:$B$11,Lookups!$C$7:$C$11,"Unknown")</f>
        <v/>
      </c>
      <c r="T942" s="31">
        <f>XLOOKUP(G942,Lookups!$E$7:$E$11,Lookups!$F$7:$F$11,0)</f>
        <v/>
      </c>
      <c r="U942" s="32">
        <f>R942-T942</f>
        <v/>
      </c>
      <c r="V942">
        <f>XLOOKUP(I942,Lookups!$H$7:$H$10,Lookups!$I$7:$I$10,"")</f>
        <v/>
      </c>
      <c r="W942">
        <f>IF(O942&gt;=50000,"HIGH VALUE","")</f>
        <v/>
      </c>
      <c r="X942">
        <f>IF(Q942&lt;0,"LOSS","")</f>
        <v/>
      </c>
      <c r="Y942">
        <f>IFS(M942&gt;=0.15,"Deep Discount",M942&gt;=0.1,"Moderate",TRUE,"Standard")</f>
        <v/>
      </c>
    </row>
    <row r="943">
      <c r="A943">
        <f>Raw_Data!A943</f>
        <v/>
      </c>
      <c r="B943" s="29">
        <f>Raw_Data!B943</f>
        <v/>
      </c>
      <c r="C943">
        <f>YEAR(B943)</f>
        <v/>
      </c>
      <c r="D943">
        <f>MONTH(B943)</f>
        <v/>
      </c>
      <c r="E943">
        <f>TEXT(B943,"MMM-YYYY")</f>
        <v/>
      </c>
      <c r="F943">
        <f>Raw_Data!C943</f>
        <v/>
      </c>
      <c r="G943">
        <f>Raw_Data!D943</f>
        <v/>
      </c>
      <c r="H943">
        <f>Raw_Data!E943</f>
        <v/>
      </c>
      <c r="I943">
        <f>Raw_Data!F943</f>
        <v/>
      </c>
      <c r="J943">
        <f>Raw_Data!G943</f>
        <v/>
      </c>
      <c r="K943">
        <f>Raw_Data!H943</f>
        <v/>
      </c>
      <c r="L943" s="30">
        <f>Raw_Data!I943</f>
        <v/>
      </c>
      <c r="M943" s="31">
        <f>Raw_Data!J943</f>
        <v/>
      </c>
      <c r="N943" s="17">
        <f>K943*L943</f>
        <v/>
      </c>
      <c r="O943" s="17">
        <f>N943*(1-M943)</f>
        <v/>
      </c>
      <c r="P943" s="17">
        <f>Raw_Data!L943</f>
        <v/>
      </c>
      <c r="Q943" s="17">
        <f>O943-P943</f>
        <v/>
      </c>
      <c r="R943" s="31">
        <f>IF(O943=0,0,Q943/O943)</f>
        <v/>
      </c>
      <c r="S943">
        <f>XLOOKUP(F943,Lookups!$B$7:$B$11,Lookups!$C$7:$C$11,"Unknown")</f>
        <v/>
      </c>
      <c r="T943" s="31">
        <f>XLOOKUP(G943,Lookups!$E$7:$E$11,Lookups!$F$7:$F$11,0)</f>
        <v/>
      </c>
      <c r="U943" s="32">
        <f>R943-T943</f>
        <v/>
      </c>
      <c r="V943">
        <f>XLOOKUP(I943,Lookups!$H$7:$H$10,Lookups!$I$7:$I$10,"")</f>
        <v/>
      </c>
      <c r="W943">
        <f>IF(O943&gt;=50000,"HIGH VALUE","")</f>
        <v/>
      </c>
      <c r="X943">
        <f>IF(Q943&lt;0,"LOSS","")</f>
        <v/>
      </c>
      <c r="Y943">
        <f>IFS(M943&gt;=0.15,"Deep Discount",M943&gt;=0.1,"Moderate",TRUE,"Standard")</f>
        <v/>
      </c>
    </row>
    <row r="944">
      <c r="A944">
        <f>Raw_Data!A944</f>
        <v/>
      </c>
      <c r="B944" s="29">
        <f>Raw_Data!B944</f>
        <v/>
      </c>
      <c r="C944">
        <f>YEAR(B944)</f>
        <v/>
      </c>
      <c r="D944">
        <f>MONTH(B944)</f>
        <v/>
      </c>
      <c r="E944">
        <f>TEXT(B944,"MMM-YYYY")</f>
        <v/>
      </c>
      <c r="F944">
        <f>Raw_Data!C944</f>
        <v/>
      </c>
      <c r="G944">
        <f>Raw_Data!D944</f>
        <v/>
      </c>
      <c r="H944">
        <f>Raw_Data!E944</f>
        <v/>
      </c>
      <c r="I944">
        <f>Raw_Data!F944</f>
        <v/>
      </c>
      <c r="J944">
        <f>Raw_Data!G944</f>
        <v/>
      </c>
      <c r="K944">
        <f>Raw_Data!H944</f>
        <v/>
      </c>
      <c r="L944" s="30">
        <f>Raw_Data!I944</f>
        <v/>
      </c>
      <c r="M944" s="31">
        <f>Raw_Data!J944</f>
        <v/>
      </c>
      <c r="N944" s="17">
        <f>K944*L944</f>
        <v/>
      </c>
      <c r="O944" s="17">
        <f>N944*(1-M944)</f>
        <v/>
      </c>
      <c r="P944" s="17">
        <f>Raw_Data!L944</f>
        <v/>
      </c>
      <c r="Q944" s="17">
        <f>O944-P944</f>
        <v/>
      </c>
      <c r="R944" s="31">
        <f>IF(O944=0,0,Q944/O944)</f>
        <v/>
      </c>
      <c r="S944">
        <f>XLOOKUP(F944,Lookups!$B$7:$B$11,Lookups!$C$7:$C$11,"Unknown")</f>
        <v/>
      </c>
      <c r="T944" s="31">
        <f>XLOOKUP(G944,Lookups!$E$7:$E$11,Lookups!$F$7:$F$11,0)</f>
        <v/>
      </c>
      <c r="U944" s="32">
        <f>R944-T944</f>
        <v/>
      </c>
      <c r="V944">
        <f>XLOOKUP(I944,Lookups!$H$7:$H$10,Lookups!$I$7:$I$10,"")</f>
        <v/>
      </c>
      <c r="W944">
        <f>IF(O944&gt;=50000,"HIGH VALUE","")</f>
        <v/>
      </c>
      <c r="X944">
        <f>IF(Q944&lt;0,"LOSS","")</f>
        <v/>
      </c>
      <c r="Y944">
        <f>IFS(M944&gt;=0.15,"Deep Discount",M944&gt;=0.1,"Moderate",TRUE,"Standard")</f>
        <v/>
      </c>
    </row>
    <row r="945">
      <c r="A945">
        <f>Raw_Data!A945</f>
        <v/>
      </c>
      <c r="B945" s="29">
        <f>Raw_Data!B945</f>
        <v/>
      </c>
      <c r="C945">
        <f>YEAR(B945)</f>
        <v/>
      </c>
      <c r="D945">
        <f>MONTH(B945)</f>
        <v/>
      </c>
      <c r="E945">
        <f>TEXT(B945,"MMM-YYYY")</f>
        <v/>
      </c>
      <c r="F945">
        <f>Raw_Data!C945</f>
        <v/>
      </c>
      <c r="G945">
        <f>Raw_Data!D945</f>
        <v/>
      </c>
      <c r="H945">
        <f>Raw_Data!E945</f>
        <v/>
      </c>
      <c r="I945">
        <f>Raw_Data!F945</f>
        <v/>
      </c>
      <c r="J945">
        <f>Raw_Data!G945</f>
        <v/>
      </c>
      <c r="K945">
        <f>Raw_Data!H945</f>
        <v/>
      </c>
      <c r="L945" s="30">
        <f>Raw_Data!I945</f>
        <v/>
      </c>
      <c r="M945" s="31">
        <f>Raw_Data!J945</f>
        <v/>
      </c>
      <c r="N945" s="17">
        <f>K945*L945</f>
        <v/>
      </c>
      <c r="O945" s="17">
        <f>N945*(1-M945)</f>
        <v/>
      </c>
      <c r="P945" s="17">
        <f>Raw_Data!L945</f>
        <v/>
      </c>
      <c r="Q945" s="17">
        <f>O945-P945</f>
        <v/>
      </c>
      <c r="R945" s="31">
        <f>IF(O945=0,0,Q945/O945)</f>
        <v/>
      </c>
      <c r="S945">
        <f>XLOOKUP(F945,Lookups!$B$7:$B$11,Lookups!$C$7:$C$11,"Unknown")</f>
        <v/>
      </c>
      <c r="T945" s="31">
        <f>XLOOKUP(G945,Lookups!$E$7:$E$11,Lookups!$F$7:$F$11,0)</f>
        <v/>
      </c>
      <c r="U945" s="32">
        <f>R945-T945</f>
        <v/>
      </c>
      <c r="V945">
        <f>XLOOKUP(I945,Lookups!$H$7:$H$10,Lookups!$I$7:$I$10,"")</f>
        <v/>
      </c>
      <c r="W945">
        <f>IF(O945&gt;=50000,"HIGH VALUE","")</f>
        <v/>
      </c>
      <c r="X945">
        <f>IF(Q945&lt;0,"LOSS","")</f>
        <v/>
      </c>
      <c r="Y945">
        <f>IFS(M945&gt;=0.15,"Deep Discount",M945&gt;=0.1,"Moderate",TRUE,"Standard")</f>
        <v/>
      </c>
    </row>
    <row r="946">
      <c r="A946">
        <f>Raw_Data!A946</f>
        <v/>
      </c>
      <c r="B946" s="29">
        <f>Raw_Data!B946</f>
        <v/>
      </c>
      <c r="C946">
        <f>YEAR(B946)</f>
        <v/>
      </c>
      <c r="D946">
        <f>MONTH(B946)</f>
        <v/>
      </c>
      <c r="E946">
        <f>TEXT(B946,"MMM-YYYY")</f>
        <v/>
      </c>
      <c r="F946">
        <f>Raw_Data!C946</f>
        <v/>
      </c>
      <c r="G946">
        <f>Raw_Data!D946</f>
        <v/>
      </c>
      <c r="H946">
        <f>Raw_Data!E946</f>
        <v/>
      </c>
      <c r="I946">
        <f>Raw_Data!F946</f>
        <v/>
      </c>
      <c r="J946">
        <f>Raw_Data!G946</f>
        <v/>
      </c>
      <c r="K946">
        <f>Raw_Data!H946</f>
        <v/>
      </c>
      <c r="L946" s="30">
        <f>Raw_Data!I946</f>
        <v/>
      </c>
      <c r="M946" s="31">
        <f>Raw_Data!J946</f>
        <v/>
      </c>
      <c r="N946" s="17">
        <f>K946*L946</f>
        <v/>
      </c>
      <c r="O946" s="17">
        <f>N946*(1-M946)</f>
        <v/>
      </c>
      <c r="P946" s="17">
        <f>Raw_Data!L946</f>
        <v/>
      </c>
      <c r="Q946" s="17">
        <f>O946-P946</f>
        <v/>
      </c>
      <c r="R946" s="31">
        <f>IF(O946=0,0,Q946/O946)</f>
        <v/>
      </c>
      <c r="S946">
        <f>XLOOKUP(F946,Lookups!$B$7:$B$11,Lookups!$C$7:$C$11,"Unknown")</f>
        <v/>
      </c>
      <c r="T946" s="31">
        <f>XLOOKUP(G946,Lookups!$E$7:$E$11,Lookups!$F$7:$F$11,0)</f>
        <v/>
      </c>
      <c r="U946" s="32">
        <f>R946-T946</f>
        <v/>
      </c>
      <c r="V946">
        <f>XLOOKUP(I946,Lookups!$H$7:$H$10,Lookups!$I$7:$I$10,"")</f>
        <v/>
      </c>
      <c r="W946">
        <f>IF(O946&gt;=50000,"HIGH VALUE","")</f>
        <v/>
      </c>
      <c r="X946">
        <f>IF(Q946&lt;0,"LOSS","")</f>
        <v/>
      </c>
      <c r="Y946">
        <f>IFS(M946&gt;=0.15,"Deep Discount",M946&gt;=0.1,"Moderate",TRUE,"Standard")</f>
        <v/>
      </c>
    </row>
    <row r="947">
      <c r="A947">
        <f>Raw_Data!A947</f>
        <v/>
      </c>
      <c r="B947" s="29">
        <f>Raw_Data!B947</f>
        <v/>
      </c>
      <c r="C947">
        <f>YEAR(B947)</f>
        <v/>
      </c>
      <c r="D947">
        <f>MONTH(B947)</f>
        <v/>
      </c>
      <c r="E947">
        <f>TEXT(B947,"MMM-YYYY")</f>
        <v/>
      </c>
      <c r="F947">
        <f>Raw_Data!C947</f>
        <v/>
      </c>
      <c r="G947">
        <f>Raw_Data!D947</f>
        <v/>
      </c>
      <c r="H947">
        <f>Raw_Data!E947</f>
        <v/>
      </c>
      <c r="I947">
        <f>Raw_Data!F947</f>
        <v/>
      </c>
      <c r="J947">
        <f>Raw_Data!G947</f>
        <v/>
      </c>
      <c r="K947">
        <f>Raw_Data!H947</f>
        <v/>
      </c>
      <c r="L947" s="30">
        <f>Raw_Data!I947</f>
        <v/>
      </c>
      <c r="M947" s="31">
        <f>Raw_Data!J947</f>
        <v/>
      </c>
      <c r="N947" s="17">
        <f>K947*L947</f>
        <v/>
      </c>
      <c r="O947" s="17">
        <f>N947*(1-M947)</f>
        <v/>
      </c>
      <c r="P947" s="17">
        <f>Raw_Data!L947</f>
        <v/>
      </c>
      <c r="Q947" s="17">
        <f>O947-P947</f>
        <v/>
      </c>
      <c r="R947" s="31">
        <f>IF(O947=0,0,Q947/O947)</f>
        <v/>
      </c>
      <c r="S947">
        <f>XLOOKUP(F947,Lookups!$B$7:$B$11,Lookups!$C$7:$C$11,"Unknown")</f>
        <v/>
      </c>
      <c r="T947" s="31">
        <f>XLOOKUP(G947,Lookups!$E$7:$E$11,Lookups!$F$7:$F$11,0)</f>
        <v/>
      </c>
      <c r="U947" s="32">
        <f>R947-T947</f>
        <v/>
      </c>
      <c r="V947">
        <f>XLOOKUP(I947,Lookups!$H$7:$H$10,Lookups!$I$7:$I$10,"")</f>
        <v/>
      </c>
      <c r="W947">
        <f>IF(O947&gt;=50000,"HIGH VALUE","")</f>
        <v/>
      </c>
      <c r="X947">
        <f>IF(Q947&lt;0,"LOSS","")</f>
        <v/>
      </c>
      <c r="Y947">
        <f>IFS(M947&gt;=0.15,"Deep Discount",M947&gt;=0.1,"Moderate",TRUE,"Standard")</f>
        <v/>
      </c>
    </row>
    <row r="948">
      <c r="A948">
        <f>Raw_Data!A948</f>
        <v/>
      </c>
      <c r="B948" s="29">
        <f>Raw_Data!B948</f>
        <v/>
      </c>
      <c r="C948">
        <f>YEAR(B948)</f>
        <v/>
      </c>
      <c r="D948">
        <f>MONTH(B948)</f>
        <v/>
      </c>
      <c r="E948">
        <f>TEXT(B948,"MMM-YYYY")</f>
        <v/>
      </c>
      <c r="F948">
        <f>Raw_Data!C948</f>
        <v/>
      </c>
      <c r="G948">
        <f>Raw_Data!D948</f>
        <v/>
      </c>
      <c r="H948">
        <f>Raw_Data!E948</f>
        <v/>
      </c>
      <c r="I948">
        <f>Raw_Data!F948</f>
        <v/>
      </c>
      <c r="J948">
        <f>Raw_Data!G948</f>
        <v/>
      </c>
      <c r="K948">
        <f>Raw_Data!H948</f>
        <v/>
      </c>
      <c r="L948" s="30">
        <f>Raw_Data!I948</f>
        <v/>
      </c>
      <c r="M948" s="31">
        <f>Raw_Data!J948</f>
        <v/>
      </c>
      <c r="N948" s="17">
        <f>K948*L948</f>
        <v/>
      </c>
      <c r="O948" s="17">
        <f>N948*(1-M948)</f>
        <v/>
      </c>
      <c r="P948" s="17">
        <f>Raw_Data!L948</f>
        <v/>
      </c>
      <c r="Q948" s="17">
        <f>O948-P948</f>
        <v/>
      </c>
      <c r="R948" s="31">
        <f>IF(O948=0,0,Q948/O948)</f>
        <v/>
      </c>
      <c r="S948">
        <f>XLOOKUP(F948,Lookups!$B$7:$B$11,Lookups!$C$7:$C$11,"Unknown")</f>
        <v/>
      </c>
      <c r="T948" s="31">
        <f>XLOOKUP(G948,Lookups!$E$7:$E$11,Lookups!$F$7:$F$11,0)</f>
        <v/>
      </c>
      <c r="U948" s="32">
        <f>R948-T948</f>
        <v/>
      </c>
      <c r="V948">
        <f>XLOOKUP(I948,Lookups!$H$7:$H$10,Lookups!$I$7:$I$10,"")</f>
        <v/>
      </c>
      <c r="W948">
        <f>IF(O948&gt;=50000,"HIGH VALUE","")</f>
        <v/>
      </c>
      <c r="X948">
        <f>IF(Q948&lt;0,"LOSS","")</f>
        <v/>
      </c>
      <c r="Y948">
        <f>IFS(M948&gt;=0.15,"Deep Discount",M948&gt;=0.1,"Moderate",TRUE,"Standard")</f>
        <v/>
      </c>
    </row>
    <row r="949">
      <c r="A949">
        <f>Raw_Data!A949</f>
        <v/>
      </c>
      <c r="B949" s="29">
        <f>Raw_Data!B949</f>
        <v/>
      </c>
      <c r="C949">
        <f>YEAR(B949)</f>
        <v/>
      </c>
      <c r="D949">
        <f>MONTH(B949)</f>
        <v/>
      </c>
      <c r="E949">
        <f>TEXT(B949,"MMM-YYYY")</f>
        <v/>
      </c>
      <c r="F949">
        <f>Raw_Data!C949</f>
        <v/>
      </c>
      <c r="G949">
        <f>Raw_Data!D949</f>
        <v/>
      </c>
      <c r="H949">
        <f>Raw_Data!E949</f>
        <v/>
      </c>
      <c r="I949">
        <f>Raw_Data!F949</f>
        <v/>
      </c>
      <c r="J949">
        <f>Raw_Data!G949</f>
        <v/>
      </c>
      <c r="K949">
        <f>Raw_Data!H949</f>
        <v/>
      </c>
      <c r="L949" s="30">
        <f>Raw_Data!I949</f>
        <v/>
      </c>
      <c r="M949" s="31">
        <f>Raw_Data!J949</f>
        <v/>
      </c>
      <c r="N949" s="17">
        <f>K949*L949</f>
        <v/>
      </c>
      <c r="O949" s="17">
        <f>N949*(1-M949)</f>
        <v/>
      </c>
      <c r="P949" s="17">
        <f>Raw_Data!L949</f>
        <v/>
      </c>
      <c r="Q949" s="17">
        <f>O949-P949</f>
        <v/>
      </c>
      <c r="R949" s="31">
        <f>IF(O949=0,0,Q949/O949)</f>
        <v/>
      </c>
      <c r="S949">
        <f>XLOOKUP(F949,Lookups!$B$7:$B$11,Lookups!$C$7:$C$11,"Unknown")</f>
        <v/>
      </c>
      <c r="T949" s="31">
        <f>XLOOKUP(G949,Lookups!$E$7:$E$11,Lookups!$F$7:$F$11,0)</f>
        <v/>
      </c>
      <c r="U949" s="32">
        <f>R949-T949</f>
        <v/>
      </c>
      <c r="V949">
        <f>XLOOKUP(I949,Lookups!$H$7:$H$10,Lookups!$I$7:$I$10,"")</f>
        <v/>
      </c>
      <c r="W949">
        <f>IF(O949&gt;=50000,"HIGH VALUE","")</f>
        <v/>
      </c>
      <c r="X949">
        <f>IF(Q949&lt;0,"LOSS","")</f>
        <v/>
      </c>
      <c r="Y949">
        <f>IFS(M949&gt;=0.15,"Deep Discount",M949&gt;=0.1,"Moderate",TRUE,"Standard")</f>
        <v/>
      </c>
    </row>
    <row r="950">
      <c r="A950">
        <f>Raw_Data!A950</f>
        <v/>
      </c>
      <c r="B950" s="29">
        <f>Raw_Data!B950</f>
        <v/>
      </c>
      <c r="C950">
        <f>YEAR(B950)</f>
        <v/>
      </c>
      <c r="D950">
        <f>MONTH(B950)</f>
        <v/>
      </c>
      <c r="E950">
        <f>TEXT(B950,"MMM-YYYY")</f>
        <v/>
      </c>
      <c r="F950">
        <f>Raw_Data!C950</f>
        <v/>
      </c>
      <c r="G950">
        <f>Raw_Data!D950</f>
        <v/>
      </c>
      <c r="H950">
        <f>Raw_Data!E950</f>
        <v/>
      </c>
      <c r="I950">
        <f>Raw_Data!F950</f>
        <v/>
      </c>
      <c r="J950">
        <f>Raw_Data!G950</f>
        <v/>
      </c>
      <c r="K950">
        <f>Raw_Data!H950</f>
        <v/>
      </c>
      <c r="L950" s="30">
        <f>Raw_Data!I950</f>
        <v/>
      </c>
      <c r="M950" s="31">
        <f>Raw_Data!J950</f>
        <v/>
      </c>
      <c r="N950" s="17">
        <f>K950*L950</f>
        <v/>
      </c>
      <c r="O950" s="17">
        <f>N950*(1-M950)</f>
        <v/>
      </c>
      <c r="P950" s="17">
        <f>Raw_Data!L950</f>
        <v/>
      </c>
      <c r="Q950" s="17">
        <f>O950-P950</f>
        <v/>
      </c>
      <c r="R950" s="31">
        <f>IF(O950=0,0,Q950/O950)</f>
        <v/>
      </c>
      <c r="S950">
        <f>XLOOKUP(F950,Lookups!$B$7:$B$11,Lookups!$C$7:$C$11,"Unknown")</f>
        <v/>
      </c>
      <c r="T950" s="31">
        <f>XLOOKUP(G950,Lookups!$E$7:$E$11,Lookups!$F$7:$F$11,0)</f>
        <v/>
      </c>
      <c r="U950" s="32">
        <f>R950-T950</f>
        <v/>
      </c>
      <c r="V950">
        <f>XLOOKUP(I950,Lookups!$H$7:$H$10,Lookups!$I$7:$I$10,"")</f>
        <v/>
      </c>
      <c r="W950">
        <f>IF(O950&gt;=50000,"HIGH VALUE","")</f>
        <v/>
      </c>
      <c r="X950">
        <f>IF(Q950&lt;0,"LOSS","")</f>
        <v/>
      </c>
      <c r="Y950">
        <f>IFS(M950&gt;=0.15,"Deep Discount",M950&gt;=0.1,"Moderate",TRUE,"Standard")</f>
        <v/>
      </c>
    </row>
    <row r="951">
      <c r="A951">
        <f>Raw_Data!A951</f>
        <v/>
      </c>
      <c r="B951" s="29">
        <f>Raw_Data!B951</f>
        <v/>
      </c>
      <c r="C951">
        <f>YEAR(B951)</f>
        <v/>
      </c>
      <c r="D951">
        <f>MONTH(B951)</f>
        <v/>
      </c>
      <c r="E951">
        <f>TEXT(B951,"MMM-YYYY")</f>
        <v/>
      </c>
      <c r="F951">
        <f>Raw_Data!C951</f>
        <v/>
      </c>
      <c r="G951">
        <f>Raw_Data!D951</f>
        <v/>
      </c>
      <c r="H951">
        <f>Raw_Data!E951</f>
        <v/>
      </c>
      <c r="I951">
        <f>Raw_Data!F951</f>
        <v/>
      </c>
      <c r="J951">
        <f>Raw_Data!G951</f>
        <v/>
      </c>
      <c r="K951">
        <f>Raw_Data!H951</f>
        <v/>
      </c>
      <c r="L951" s="30">
        <f>Raw_Data!I951</f>
        <v/>
      </c>
      <c r="M951" s="31">
        <f>Raw_Data!J951</f>
        <v/>
      </c>
      <c r="N951" s="17">
        <f>K951*L951</f>
        <v/>
      </c>
      <c r="O951" s="17">
        <f>N951*(1-M951)</f>
        <v/>
      </c>
      <c r="P951" s="17">
        <f>Raw_Data!L951</f>
        <v/>
      </c>
      <c r="Q951" s="17">
        <f>O951-P951</f>
        <v/>
      </c>
      <c r="R951" s="31">
        <f>IF(O951=0,0,Q951/O951)</f>
        <v/>
      </c>
      <c r="S951">
        <f>XLOOKUP(F951,Lookups!$B$7:$B$11,Lookups!$C$7:$C$11,"Unknown")</f>
        <v/>
      </c>
      <c r="T951" s="31">
        <f>XLOOKUP(G951,Lookups!$E$7:$E$11,Lookups!$F$7:$F$11,0)</f>
        <v/>
      </c>
      <c r="U951" s="32">
        <f>R951-T951</f>
        <v/>
      </c>
      <c r="V951">
        <f>XLOOKUP(I951,Lookups!$H$7:$H$10,Lookups!$I$7:$I$10,"")</f>
        <v/>
      </c>
      <c r="W951">
        <f>IF(O951&gt;=50000,"HIGH VALUE","")</f>
        <v/>
      </c>
      <c r="X951">
        <f>IF(Q951&lt;0,"LOSS","")</f>
        <v/>
      </c>
      <c r="Y951">
        <f>IFS(M951&gt;=0.15,"Deep Discount",M951&gt;=0.1,"Moderate",TRUE,"Standard")</f>
        <v/>
      </c>
    </row>
    <row r="952">
      <c r="A952">
        <f>Raw_Data!A952</f>
        <v/>
      </c>
      <c r="B952" s="29">
        <f>Raw_Data!B952</f>
        <v/>
      </c>
      <c r="C952">
        <f>YEAR(B952)</f>
        <v/>
      </c>
      <c r="D952">
        <f>MONTH(B952)</f>
        <v/>
      </c>
      <c r="E952">
        <f>TEXT(B952,"MMM-YYYY")</f>
        <v/>
      </c>
      <c r="F952">
        <f>Raw_Data!C952</f>
        <v/>
      </c>
      <c r="G952">
        <f>Raw_Data!D952</f>
        <v/>
      </c>
      <c r="H952">
        <f>Raw_Data!E952</f>
        <v/>
      </c>
      <c r="I952">
        <f>Raw_Data!F952</f>
        <v/>
      </c>
      <c r="J952">
        <f>Raw_Data!G952</f>
        <v/>
      </c>
      <c r="K952">
        <f>Raw_Data!H952</f>
        <v/>
      </c>
      <c r="L952" s="30">
        <f>Raw_Data!I952</f>
        <v/>
      </c>
      <c r="M952" s="31">
        <f>Raw_Data!J952</f>
        <v/>
      </c>
      <c r="N952" s="17">
        <f>K952*L952</f>
        <v/>
      </c>
      <c r="O952" s="17">
        <f>N952*(1-M952)</f>
        <v/>
      </c>
      <c r="P952" s="17">
        <f>Raw_Data!L952</f>
        <v/>
      </c>
      <c r="Q952" s="17">
        <f>O952-P952</f>
        <v/>
      </c>
      <c r="R952" s="31">
        <f>IF(O952=0,0,Q952/O952)</f>
        <v/>
      </c>
      <c r="S952">
        <f>XLOOKUP(F952,Lookups!$B$7:$B$11,Lookups!$C$7:$C$11,"Unknown")</f>
        <v/>
      </c>
      <c r="T952" s="31">
        <f>XLOOKUP(G952,Lookups!$E$7:$E$11,Lookups!$F$7:$F$11,0)</f>
        <v/>
      </c>
      <c r="U952" s="32">
        <f>R952-T952</f>
        <v/>
      </c>
      <c r="V952">
        <f>XLOOKUP(I952,Lookups!$H$7:$H$10,Lookups!$I$7:$I$10,"")</f>
        <v/>
      </c>
      <c r="W952">
        <f>IF(O952&gt;=50000,"HIGH VALUE","")</f>
        <v/>
      </c>
      <c r="X952">
        <f>IF(Q952&lt;0,"LOSS","")</f>
        <v/>
      </c>
      <c r="Y952">
        <f>IFS(M952&gt;=0.15,"Deep Discount",M952&gt;=0.1,"Moderate",TRUE,"Standard")</f>
        <v/>
      </c>
    </row>
    <row r="953">
      <c r="A953">
        <f>Raw_Data!A953</f>
        <v/>
      </c>
      <c r="B953" s="29">
        <f>Raw_Data!B953</f>
        <v/>
      </c>
      <c r="C953">
        <f>YEAR(B953)</f>
        <v/>
      </c>
      <c r="D953">
        <f>MONTH(B953)</f>
        <v/>
      </c>
      <c r="E953">
        <f>TEXT(B953,"MMM-YYYY")</f>
        <v/>
      </c>
      <c r="F953">
        <f>Raw_Data!C953</f>
        <v/>
      </c>
      <c r="G953">
        <f>Raw_Data!D953</f>
        <v/>
      </c>
      <c r="H953">
        <f>Raw_Data!E953</f>
        <v/>
      </c>
      <c r="I953">
        <f>Raw_Data!F953</f>
        <v/>
      </c>
      <c r="J953">
        <f>Raw_Data!G953</f>
        <v/>
      </c>
      <c r="K953">
        <f>Raw_Data!H953</f>
        <v/>
      </c>
      <c r="L953" s="30">
        <f>Raw_Data!I953</f>
        <v/>
      </c>
      <c r="M953" s="31">
        <f>Raw_Data!J953</f>
        <v/>
      </c>
      <c r="N953" s="17">
        <f>K953*L953</f>
        <v/>
      </c>
      <c r="O953" s="17">
        <f>N953*(1-M953)</f>
        <v/>
      </c>
      <c r="P953" s="17">
        <f>Raw_Data!L953</f>
        <v/>
      </c>
      <c r="Q953" s="17">
        <f>O953-P953</f>
        <v/>
      </c>
      <c r="R953" s="31">
        <f>IF(O953=0,0,Q953/O953)</f>
        <v/>
      </c>
      <c r="S953">
        <f>XLOOKUP(F953,Lookups!$B$7:$B$11,Lookups!$C$7:$C$11,"Unknown")</f>
        <v/>
      </c>
      <c r="T953" s="31">
        <f>XLOOKUP(G953,Lookups!$E$7:$E$11,Lookups!$F$7:$F$11,0)</f>
        <v/>
      </c>
      <c r="U953" s="32">
        <f>R953-T953</f>
        <v/>
      </c>
      <c r="V953">
        <f>XLOOKUP(I953,Lookups!$H$7:$H$10,Lookups!$I$7:$I$10,"")</f>
        <v/>
      </c>
      <c r="W953">
        <f>IF(O953&gt;=50000,"HIGH VALUE","")</f>
        <v/>
      </c>
      <c r="X953">
        <f>IF(Q953&lt;0,"LOSS","")</f>
        <v/>
      </c>
      <c r="Y953">
        <f>IFS(M953&gt;=0.15,"Deep Discount",M953&gt;=0.1,"Moderate",TRUE,"Standard")</f>
        <v/>
      </c>
    </row>
    <row r="954">
      <c r="A954">
        <f>Raw_Data!A954</f>
        <v/>
      </c>
      <c r="B954" s="29">
        <f>Raw_Data!B954</f>
        <v/>
      </c>
      <c r="C954">
        <f>YEAR(B954)</f>
        <v/>
      </c>
      <c r="D954">
        <f>MONTH(B954)</f>
        <v/>
      </c>
      <c r="E954">
        <f>TEXT(B954,"MMM-YYYY")</f>
        <v/>
      </c>
      <c r="F954">
        <f>Raw_Data!C954</f>
        <v/>
      </c>
      <c r="G954">
        <f>Raw_Data!D954</f>
        <v/>
      </c>
      <c r="H954">
        <f>Raw_Data!E954</f>
        <v/>
      </c>
      <c r="I954">
        <f>Raw_Data!F954</f>
        <v/>
      </c>
      <c r="J954">
        <f>Raw_Data!G954</f>
        <v/>
      </c>
      <c r="K954">
        <f>Raw_Data!H954</f>
        <v/>
      </c>
      <c r="L954" s="30">
        <f>Raw_Data!I954</f>
        <v/>
      </c>
      <c r="M954" s="31">
        <f>Raw_Data!J954</f>
        <v/>
      </c>
      <c r="N954" s="17">
        <f>K954*L954</f>
        <v/>
      </c>
      <c r="O954" s="17">
        <f>N954*(1-M954)</f>
        <v/>
      </c>
      <c r="P954" s="17">
        <f>Raw_Data!L954</f>
        <v/>
      </c>
      <c r="Q954" s="17">
        <f>O954-P954</f>
        <v/>
      </c>
      <c r="R954" s="31">
        <f>IF(O954=0,0,Q954/O954)</f>
        <v/>
      </c>
      <c r="S954">
        <f>XLOOKUP(F954,Lookups!$B$7:$B$11,Lookups!$C$7:$C$11,"Unknown")</f>
        <v/>
      </c>
      <c r="T954" s="31">
        <f>XLOOKUP(G954,Lookups!$E$7:$E$11,Lookups!$F$7:$F$11,0)</f>
        <v/>
      </c>
      <c r="U954" s="32">
        <f>R954-T954</f>
        <v/>
      </c>
      <c r="V954">
        <f>XLOOKUP(I954,Lookups!$H$7:$H$10,Lookups!$I$7:$I$10,"")</f>
        <v/>
      </c>
      <c r="W954">
        <f>IF(O954&gt;=50000,"HIGH VALUE","")</f>
        <v/>
      </c>
      <c r="X954">
        <f>IF(Q954&lt;0,"LOSS","")</f>
        <v/>
      </c>
      <c r="Y954">
        <f>IFS(M954&gt;=0.15,"Deep Discount",M954&gt;=0.1,"Moderate",TRUE,"Standard")</f>
        <v/>
      </c>
    </row>
    <row r="955">
      <c r="A955">
        <f>Raw_Data!A955</f>
        <v/>
      </c>
      <c r="B955" s="29">
        <f>Raw_Data!B955</f>
        <v/>
      </c>
      <c r="C955">
        <f>YEAR(B955)</f>
        <v/>
      </c>
      <c r="D955">
        <f>MONTH(B955)</f>
        <v/>
      </c>
      <c r="E955">
        <f>TEXT(B955,"MMM-YYYY")</f>
        <v/>
      </c>
      <c r="F955">
        <f>Raw_Data!C955</f>
        <v/>
      </c>
      <c r="G955">
        <f>Raw_Data!D955</f>
        <v/>
      </c>
      <c r="H955">
        <f>Raw_Data!E955</f>
        <v/>
      </c>
      <c r="I955">
        <f>Raw_Data!F955</f>
        <v/>
      </c>
      <c r="J955">
        <f>Raw_Data!G955</f>
        <v/>
      </c>
      <c r="K955">
        <f>Raw_Data!H955</f>
        <v/>
      </c>
      <c r="L955" s="30">
        <f>Raw_Data!I955</f>
        <v/>
      </c>
      <c r="M955" s="31">
        <f>Raw_Data!J955</f>
        <v/>
      </c>
      <c r="N955" s="17">
        <f>K955*L955</f>
        <v/>
      </c>
      <c r="O955" s="17">
        <f>N955*(1-M955)</f>
        <v/>
      </c>
      <c r="P955" s="17">
        <f>Raw_Data!L955</f>
        <v/>
      </c>
      <c r="Q955" s="17">
        <f>O955-P955</f>
        <v/>
      </c>
      <c r="R955" s="31">
        <f>IF(O955=0,0,Q955/O955)</f>
        <v/>
      </c>
      <c r="S955">
        <f>XLOOKUP(F955,Lookups!$B$7:$B$11,Lookups!$C$7:$C$11,"Unknown")</f>
        <v/>
      </c>
      <c r="T955" s="31">
        <f>XLOOKUP(G955,Lookups!$E$7:$E$11,Lookups!$F$7:$F$11,0)</f>
        <v/>
      </c>
      <c r="U955" s="32">
        <f>R955-T955</f>
        <v/>
      </c>
      <c r="V955">
        <f>XLOOKUP(I955,Lookups!$H$7:$H$10,Lookups!$I$7:$I$10,"")</f>
        <v/>
      </c>
      <c r="W955">
        <f>IF(O955&gt;=50000,"HIGH VALUE","")</f>
        <v/>
      </c>
      <c r="X955">
        <f>IF(Q955&lt;0,"LOSS","")</f>
        <v/>
      </c>
      <c r="Y955">
        <f>IFS(M955&gt;=0.15,"Deep Discount",M955&gt;=0.1,"Moderate",TRUE,"Standard")</f>
        <v/>
      </c>
    </row>
    <row r="956">
      <c r="A956">
        <f>Raw_Data!A956</f>
        <v/>
      </c>
      <c r="B956" s="29">
        <f>Raw_Data!B956</f>
        <v/>
      </c>
      <c r="C956">
        <f>YEAR(B956)</f>
        <v/>
      </c>
      <c r="D956">
        <f>MONTH(B956)</f>
        <v/>
      </c>
      <c r="E956">
        <f>TEXT(B956,"MMM-YYYY")</f>
        <v/>
      </c>
      <c r="F956">
        <f>Raw_Data!C956</f>
        <v/>
      </c>
      <c r="G956">
        <f>Raw_Data!D956</f>
        <v/>
      </c>
      <c r="H956">
        <f>Raw_Data!E956</f>
        <v/>
      </c>
      <c r="I956">
        <f>Raw_Data!F956</f>
        <v/>
      </c>
      <c r="J956">
        <f>Raw_Data!G956</f>
        <v/>
      </c>
      <c r="K956">
        <f>Raw_Data!H956</f>
        <v/>
      </c>
      <c r="L956" s="30">
        <f>Raw_Data!I956</f>
        <v/>
      </c>
      <c r="M956" s="31">
        <f>Raw_Data!J956</f>
        <v/>
      </c>
      <c r="N956" s="17">
        <f>K956*L956</f>
        <v/>
      </c>
      <c r="O956" s="17">
        <f>N956*(1-M956)</f>
        <v/>
      </c>
      <c r="P956" s="17">
        <f>Raw_Data!L956</f>
        <v/>
      </c>
      <c r="Q956" s="17">
        <f>O956-P956</f>
        <v/>
      </c>
      <c r="R956" s="31">
        <f>IF(O956=0,0,Q956/O956)</f>
        <v/>
      </c>
      <c r="S956">
        <f>XLOOKUP(F956,Lookups!$B$7:$B$11,Lookups!$C$7:$C$11,"Unknown")</f>
        <v/>
      </c>
      <c r="T956" s="31">
        <f>XLOOKUP(G956,Lookups!$E$7:$E$11,Lookups!$F$7:$F$11,0)</f>
        <v/>
      </c>
      <c r="U956" s="32">
        <f>R956-T956</f>
        <v/>
      </c>
      <c r="V956">
        <f>XLOOKUP(I956,Lookups!$H$7:$H$10,Lookups!$I$7:$I$10,"")</f>
        <v/>
      </c>
      <c r="W956">
        <f>IF(O956&gt;=50000,"HIGH VALUE","")</f>
        <v/>
      </c>
      <c r="X956">
        <f>IF(Q956&lt;0,"LOSS","")</f>
        <v/>
      </c>
      <c r="Y956">
        <f>IFS(M956&gt;=0.15,"Deep Discount",M956&gt;=0.1,"Moderate",TRUE,"Standard")</f>
        <v/>
      </c>
    </row>
    <row r="957">
      <c r="A957">
        <f>Raw_Data!A957</f>
        <v/>
      </c>
      <c r="B957" s="29">
        <f>Raw_Data!B957</f>
        <v/>
      </c>
      <c r="C957">
        <f>YEAR(B957)</f>
        <v/>
      </c>
      <c r="D957">
        <f>MONTH(B957)</f>
        <v/>
      </c>
      <c r="E957">
        <f>TEXT(B957,"MMM-YYYY")</f>
        <v/>
      </c>
      <c r="F957">
        <f>Raw_Data!C957</f>
        <v/>
      </c>
      <c r="G957">
        <f>Raw_Data!D957</f>
        <v/>
      </c>
      <c r="H957">
        <f>Raw_Data!E957</f>
        <v/>
      </c>
      <c r="I957">
        <f>Raw_Data!F957</f>
        <v/>
      </c>
      <c r="J957">
        <f>Raw_Data!G957</f>
        <v/>
      </c>
      <c r="K957">
        <f>Raw_Data!H957</f>
        <v/>
      </c>
      <c r="L957" s="30">
        <f>Raw_Data!I957</f>
        <v/>
      </c>
      <c r="M957" s="31">
        <f>Raw_Data!J957</f>
        <v/>
      </c>
      <c r="N957" s="17">
        <f>K957*L957</f>
        <v/>
      </c>
      <c r="O957" s="17">
        <f>N957*(1-M957)</f>
        <v/>
      </c>
      <c r="P957" s="17">
        <f>Raw_Data!L957</f>
        <v/>
      </c>
      <c r="Q957" s="17">
        <f>O957-P957</f>
        <v/>
      </c>
      <c r="R957" s="31">
        <f>IF(O957=0,0,Q957/O957)</f>
        <v/>
      </c>
      <c r="S957">
        <f>XLOOKUP(F957,Lookups!$B$7:$B$11,Lookups!$C$7:$C$11,"Unknown")</f>
        <v/>
      </c>
      <c r="T957" s="31">
        <f>XLOOKUP(G957,Lookups!$E$7:$E$11,Lookups!$F$7:$F$11,0)</f>
        <v/>
      </c>
      <c r="U957" s="32">
        <f>R957-T957</f>
        <v/>
      </c>
      <c r="V957">
        <f>XLOOKUP(I957,Lookups!$H$7:$H$10,Lookups!$I$7:$I$10,"")</f>
        <v/>
      </c>
      <c r="W957">
        <f>IF(O957&gt;=50000,"HIGH VALUE","")</f>
        <v/>
      </c>
      <c r="X957">
        <f>IF(Q957&lt;0,"LOSS","")</f>
        <v/>
      </c>
      <c r="Y957">
        <f>IFS(M957&gt;=0.15,"Deep Discount",M957&gt;=0.1,"Moderate",TRUE,"Standard")</f>
        <v/>
      </c>
    </row>
    <row r="958">
      <c r="A958">
        <f>Raw_Data!A958</f>
        <v/>
      </c>
      <c r="B958" s="29">
        <f>Raw_Data!B958</f>
        <v/>
      </c>
      <c r="C958">
        <f>YEAR(B958)</f>
        <v/>
      </c>
      <c r="D958">
        <f>MONTH(B958)</f>
        <v/>
      </c>
      <c r="E958">
        <f>TEXT(B958,"MMM-YYYY")</f>
        <v/>
      </c>
      <c r="F958">
        <f>Raw_Data!C958</f>
        <v/>
      </c>
      <c r="G958">
        <f>Raw_Data!D958</f>
        <v/>
      </c>
      <c r="H958">
        <f>Raw_Data!E958</f>
        <v/>
      </c>
      <c r="I958">
        <f>Raw_Data!F958</f>
        <v/>
      </c>
      <c r="J958">
        <f>Raw_Data!G958</f>
        <v/>
      </c>
      <c r="K958">
        <f>Raw_Data!H958</f>
        <v/>
      </c>
      <c r="L958" s="30">
        <f>Raw_Data!I958</f>
        <v/>
      </c>
      <c r="M958" s="31">
        <f>Raw_Data!J958</f>
        <v/>
      </c>
      <c r="N958" s="17">
        <f>K958*L958</f>
        <v/>
      </c>
      <c r="O958" s="17">
        <f>N958*(1-M958)</f>
        <v/>
      </c>
      <c r="P958" s="17">
        <f>Raw_Data!L958</f>
        <v/>
      </c>
      <c r="Q958" s="17">
        <f>O958-P958</f>
        <v/>
      </c>
      <c r="R958" s="31">
        <f>IF(O958=0,0,Q958/O958)</f>
        <v/>
      </c>
      <c r="S958">
        <f>XLOOKUP(F958,Lookups!$B$7:$B$11,Lookups!$C$7:$C$11,"Unknown")</f>
        <v/>
      </c>
      <c r="T958" s="31">
        <f>XLOOKUP(G958,Lookups!$E$7:$E$11,Lookups!$F$7:$F$11,0)</f>
        <v/>
      </c>
      <c r="U958" s="32">
        <f>R958-T958</f>
        <v/>
      </c>
      <c r="V958">
        <f>XLOOKUP(I958,Lookups!$H$7:$H$10,Lookups!$I$7:$I$10,"")</f>
        <v/>
      </c>
      <c r="W958">
        <f>IF(O958&gt;=50000,"HIGH VALUE","")</f>
        <v/>
      </c>
      <c r="X958">
        <f>IF(Q958&lt;0,"LOSS","")</f>
        <v/>
      </c>
      <c r="Y958">
        <f>IFS(M958&gt;=0.15,"Deep Discount",M958&gt;=0.1,"Moderate",TRUE,"Standard")</f>
        <v/>
      </c>
    </row>
    <row r="959">
      <c r="A959">
        <f>Raw_Data!A959</f>
        <v/>
      </c>
      <c r="B959" s="29">
        <f>Raw_Data!B959</f>
        <v/>
      </c>
      <c r="C959">
        <f>YEAR(B959)</f>
        <v/>
      </c>
      <c r="D959">
        <f>MONTH(B959)</f>
        <v/>
      </c>
      <c r="E959">
        <f>TEXT(B959,"MMM-YYYY")</f>
        <v/>
      </c>
      <c r="F959">
        <f>Raw_Data!C959</f>
        <v/>
      </c>
      <c r="G959">
        <f>Raw_Data!D959</f>
        <v/>
      </c>
      <c r="H959">
        <f>Raw_Data!E959</f>
        <v/>
      </c>
      <c r="I959">
        <f>Raw_Data!F959</f>
        <v/>
      </c>
      <c r="J959">
        <f>Raw_Data!G959</f>
        <v/>
      </c>
      <c r="K959">
        <f>Raw_Data!H959</f>
        <v/>
      </c>
      <c r="L959" s="30">
        <f>Raw_Data!I959</f>
        <v/>
      </c>
      <c r="M959" s="31">
        <f>Raw_Data!J959</f>
        <v/>
      </c>
      <c r="N959" s="17">
        <f>K959*L959</f>
        <v/>
      </c>
      <c r="O959" s="17">
        <f>N959*(1-M959)</f>
        <v/>
      </c>
      <c r="P959" s="17">
        <f>Raw_Data!L959</f>
        <v/>
      </c>
      <c r="Q959" s="17">
        <f>O959-P959</f>
        <v/>
      </c>
      <c r="R959" s="31">
        <f>IF(O959=0,0,Q959/O959)</f>
        <v/>
      </c>
      <c r="S959">
        <f>XLOOKUP(F959,Lookups!$B$7:$B$11,Lookups!$C$7:$C$11,"Unknown")</f>
        <v/>
      </c>
      <c r="T959" s="31">
        <f>XLOOKUP(G959,Lookups!$E$7:$E$11,Lookups!$F$7:$F$11,0)</f>
        <v/>
      </c>
      <c r="U959" s="32">
        <f>R959-T959</f>
        <v/>
      </c>
      <c r="V959">
        <f>XLOOKUP(I959,Lookups!$H$7:$H$10,Lookups!$I$7:$I$10,"")</f>
        <v/>
      </c>
      <c r="W959">
        <f>IF(O959&gt;=50000,"HIGH VALUE","")</f>
        <v/>
      </c>
      <c r="X959">
        <f>IF(Q959&lt;0,"LOSS","")</f>
        <v/>
      </c>
      <c r="Y959">
        <f>IFS(M959&gt;=0.15,"Deep Discount",M959&gt;=0.1,"Moderate",TRUE,"Standard")</f>
        <v/>
      </c>
    </row>
    <row r="960">
      <c r="A960">
        <f>Raw_Data!A960</f>
        <v/>
      </c>
      <c r="B960" s="29">
        <f>Raw_Data!B960</f>
        <v/>
      </c>
      <c r="C960">
        <f>YEAR(B960)</f>
        <v/>
      </c>
      <c r="D960">
        <f>MONTH(B960)</f>
        <v/>
      </c>
      <c r="E960">
        <f>TEXT(B960,"MMM-YYYY")</f>
        <v/>
      </c>
      <c r="F960">
        <f>Raw_Data!C960</f>
        <v/>
      </c>
      <c r="G960">
        <f>Raw_Data!D960</f>
        <v/>
      </c>
      <c r="H960">
        <f>Raw_Data!E960</f>
        <v/>
      </c>
      <c r="I960">
        <f>Raw_Data!F960</f>
        <v/>
      </c>
      <c r="J960">
        <f>Raw_Data!G960</f>
        <v/>
      </c>
      <c r="K960">
        <f>Raw_Data!H960</f>
        <v/>
      </c>
      <c r="L960" s="30">
        <f>Raw_Data!I960</f>
        <v/>
      </c>
      <c r="M960" s="31">
        <f>Raw_Data!J960</f>
        <v/>
      </c>
      <c r="N960" s="17">
        <f>K960*L960</f>
        <v/>
      </c>
      <c r="O960" s="17">
        <f>N960*(1-M960)</f>
        <v/>
      </c>
      <c r="P960" s="17">
        <f>Raw_Data!L960</f>
        <v/>
      </c>
      <c r="Q960" s="17">
        <f>O960-P960</f>
        <v/>
      </c>
      <c r="R960" s="31">
        <f>IF(O960=0,0,Q960/O960)</f>
        <v/>
      </c>
      <c r="S960">
        <f>XLOOKUP(F960,Lookups!$B$7:$B$11,Lookups!$C$7:$C$11,"Unknown")</f>
        <v/>
      </c>
      <c r="T960" s="31">
        <f>XLOOKUP(G960,Lookups!$E$7:$E$11,Lookups!$F$7:$F$11,0)</f>
        <v/>
      </c>
      <c r="U960" s="32">
        <f>R960-T960</f>
        <v/>
      </c>
      <c r="V960">
        <f>XLOOKUP(I960,Lookups!$H$7:$H$10,Lookups!$I$7:$I$10,"")</f>
        <v/>
      </c>
      <c r="W960">
        <f>IF(O960&gt;=50000,"HIGH VALUE","")</f>
        <v/>
      </c>
      <c r="X960">
        <f>IF(Q960&lt;0,"LOSS","")</f>
        <v/>
      </c>
      <c r="Y960">
        <f>IFS(M960&gt;=0.15,"Deep Discount",M960&gt;=0.1,"Moderate",TRUE,"Standard")</f>
        <v/>
      </c>
    </row>
    <row r="961">
      <c r="A961">
        <f>Raw_Data!A961</f>
        <v/>
      </c>
      <c r="B961" s="29">
        <f>Raw_Data!B961</f>
        <v/>
      </c>
      <c r="C961">
        <f>YEAR(B961)</f>
        <v/>
      </c>
      <c r="D961">
        <f>MONTH(B961)</f>
        <v/>
      </c>
      <c r="E961">
        <f>TEXT(B961,"MMM-YYYY")</f>
        <v/>
      </c>
      <c r="F961">
        <f>Raw_Data!C961</f>
        <v/>
      </c>
      <c r="G961">
        <f>Raw_Data!D961</f>
        <v/>
      </c>
      <c r="H961">
        <f>Raw_Data!E961</f>
        <v/>
      </c>
      <c r="I961">
        <f>Raw_Data!F961</f>
        <v/>
      </c>
      <c r="J961">
        <f>Raw_Data!G961</f>
        <v/>
      </c>
      <c r="K961">
        <f>Raw_Data!H961</f>
        <v/>
      </c>
      <c r="L961" s="30">
        <f>Raw_Data!I961</f>
        <v/>
      </c>
      <c r="M961" s="31">
        <f>Raw_Data!J961</f>
        <v/>
      </c>
      <c r="N961" s="17">
        <f>K961*L961</f>
        <v/>
      </c>
      <c r="O961" s="17">
        <f>N961*(1-M961)</f>
        <v/>
      </c>
      <c r="P961" s="17">
        <f>Raw_Data!L961</f>
        <v/>
      </c>
      <c r="Q961" s="17">
        <f>O961-P961</f>
        <v/>
      </c>
      <c r="R961" s="31">
        <f>IF(O961=0,0,Q961/O961)</f>
        <v/>
      </c>
      <c r="S961">
        <f>XLOOKUP(F961,Lookups!$B$7:$B$11,Lookups!$C$7:$C$11,"Unknown")</f>
        <v/>
      </c>
      <c r="T961" s="31">
        <f>XLOOKUP(G961,Lookups!$E$7:$E$11,Lookups!$F$7:$F$11,0)</f>
        <v/>
      </c>
      <c r="U961" s="32">
        <f>R961-T961</f>
        <v/>
      </c>
      <c r="V961">
        <f>XLOOKUP(I961,Lookups!$H$7:$H$10,Lookups!$I$7:$I$10,"")</f>
        <v/>
      </c>
      <c r="W961">
        <f>IF(O961&gt;=50000,"HIGH VALUE","")</f>
        <v/>
      </c>
      <c r="X961">
        <f>IF(Q961&lt;0,"LOSS","")</f>
        <v/>
      </c>
      <c r="Y961">
        <f>IFS(M961&gt;=0.15,"Deep Discount",M961&gt;=0.1,"Moderate",TRUE,"Standard")</f>
        <v/>
      </c>
    </row>
    <row r="962">
      <c r="A962">
        <f>Raw_Data!A962</f>
        <v/>
      </c>
      <c r="B962" s="29">
        <f>Raw_Data!B962</f>
        <v/>
      </c>
      <c r="C962">
        <f>YEAR(B962)</f>
        <v/>
      </c>
      <c r="D962">
        <f>MONTH(B962)</f>
        <v/>
      </c>
      <c r="E962">
        <f>TEXT(B962,"MMM-YYYY")</f>
        <v/>
      </c>
      <c r="F962">
        <f>Raw_Data!C962</f>
        <v/>
      </c>
      <c r="G962">
        <f>Raw_Data!D962</f>
        <v/>
      </c>
      <c r="H962">
        <f>Raw_Data!E962</f>
        <v/>
      </c>
      <c r="I962">
        <f>Raw_Data!F962</f>
        <v/>
      </c>
      <c r="J962">
        <f>Raw_Data!G962</f>
        <v/>
      </c>
      <c r="K962">
        <f>Raw_Data!H962</f>
        <v/>
      </c>
      <c r="L962" s="30">
        <f>Raw_Data!I962</f>
        <v/>
      </c>
      <c r="M962" s="31">
        <f>Raw_Data!J962</f>
        <v/>
      </c>
      <c r="N962" s="17">
        <f>K962*L962</f>
        <v/>
      </c>
      <c r="O962" s="17">
        <f>N962*(1-M962)</f>
        <v/>
      </c>
      <c r="P962" s="17">
        <f>Raw_Data!L962</f>
        <v/>
      </c>
      <c r="Q962" s="17">
        <f>O962-P962</f>
        <v/>
      </c>
      <c r="R962" s="31">
        <f>IF(O962=0,0,Q962/O962)</f>
        <v/>
      </c>
      <c r="S962">
        <f>XLOOKUP(F962,Lookups!$B$7:$B$11,Lookups!$C$7:$C$11,"Unknown")</f>
        <v/>
      </c>
      <c r="T962" s="31">
        <f>XLOOKUP(G962,Lookups!$E$7:$E$11,Lookups!$F$7:$F$11,0)</f>
        <v/>
      </c>
      <c r="U962" s="32">
        <f>R962-T962</f>
        <v/>
      </c>
      <c r="V962">
        <f>XLOOKUP(I962,Lookups!$H$7:$H$10,Lookups!$I$7:$I$10,"")</f>
        <v/>
      </c>
      <c r="W962">
        <f>IF(O962&gt;=50000,"HIGH VALUE","")</f>
        <v/>
      </c>
      <c r="X962">
        <f>IF(Q962&lt;0,"LOSS","")</f>
        <v/>
      </c>
      <c r="Y962">
        <f>IFS(M962&gt;=0.15,"Deep Discount",M962&gt;=0.1,"Moderate",TRUE,"Standard")</f>
        <v/>
      </c>
    </row>
    <row r="963">
      <c r="A963">
        <f>Raw_Data!A963</f>
        <v/>
      </c>
      <c r="B963" s="29">
        <f>Raw_Data!B963</f>
        <v/>
      </c>
      <c r="C963">
        <f>YEAR(B963)</f>
        <v/>
      </c>
      <c r="D963">
        <f>MONTH(B963)</f>
        <v/>
      </c>
      <c r="E963">
        <f>TEXT(B963,"MMM-YYYY")</f>
        <v/>
      </c>
      <c r="F963">
        <f>Raw_Data!C963</f>
        <v/>
      </c>
      <c r="G963">
        <f>Raw_Data!D963</f>
        <v/>
      </c>
      <c r="H963">
        <f>Raw_Data!E963</f>
        <v/>
      </c>
      <c r="I963">
        <f>Raw_Data!F963</f>
        <v/>
      </c>
      <c r="J963">
        <f>Raw_Data!G963</f>
        <v/>
      </c>
      <c r="K963">
        <f>Raw_Data!H963</f>
        <v/>
      </c>
      <c r="L963" s="30">
        <f>Raw_Data!I963</f>
        <v/>
      </c>
      <c r="M963" s="31">
        <f>Raw_Data!J963</f>
        <v/>
      </c>
      <c r="N963" s="17">
        <f>K963*L963</f>
        <v/>
      </c>
      <c r="O963" s="17">
        <f>N963*(1-M963)</f>
        <v/>
      </c>
      <c r="P963" s="17">
        <f>Raw_Data!L963</f>
        <v/>
      </c>
      <c r="Q963" s="17">
        <f>O963-P963</f>
        <v/>
      </c>
      <c r="R963" s="31">
        <f>IF(O963=0,0,Q963/O963)</f>
        <v/>
      </c>
      <c r="S963">
        <f>XLOOKUP(F963,Lookups!$B$7:$B$11,Lookups!$C$7:$C$11,"Unknown")</f>
        <v/>
      </c>
      <c r="T963" s="31">
        <f>XLOOKUP(G963,Lookups!$E$7:$E$11,Lookups!$F$7:$F$11,0)</f>
        <v/>
      </c>
      <c r="U963" s="32">
        <f>R963-T963</f>
        <v/>
      </c>
      <c r="V963">
        <f>XLOOKUP(I963,Lookups!$H$7:$H$10,Lookups!$I$7:$I$10,"")</f>
        <v/>
      </c>
      <c r="W963">
        <f>IF(O963&gt;=50000,"HIGH VALUE","")</f>
        <v/>
      </c>
      <c r="X963">
        <f>IF(Q963&lt;0,"LOSS","")</f>
        <v/>
      </c>
      <c r="Y963">
        <f>IFS(M963&gt;=0.15,"Deep Discount",M963&gt;=0.1,"Moderate",TRUE,"Standard")</f>
        <v/>
      </c>
    </row>
    <row r="964">
      <c r="A964">
        <f>Raw_Data!A964</f>
        <v/>
      </c>
      <c r="B964" s="29">
        <f>Raw_Data!B964</f>
        <v/>
      </c>
      <c r="C964">
        <f>YEAR(B964)</f>
        <v/>
      </c>
      <c r="D964">
        <f>MONTH(B964)</f>
        <v/>
      </c>
      <c r="E964">
        <f>TEXT(B964,"MMM-YYYY")</f>
        <v/>
      </c>
      <c r="F964">
        <f>Raw_Data!C964</f>
        <v/>
      </c>
      <c r="G964">
        <f>Raw_Data!D964</f>
        <v/>
      </c>
      <c r="H964">
        <f>Raw_Data!E964</f>
        <v/>
      </c>
      <c r="I964">
        <f>Raw_Data!F964</f>
        <v/>
      </c>
      <c r="J964">
        <f>Raw_Data!G964</f>
        <v/>
      </c>
      <c r="K964">
        <f>Raw_Data!H964</f>
        <v/>
      </c>
      <c r="L964" s="30">
        <f>Raw_Data!I964</f>
        <v/>
      </c>
      <c r="M964" s="31">
        <f>Raw_Data!J964</f>
        <v/>
      </c>
      <c r="N964" s="17">
        <f>K964*L964</f>
        <v/>
      </c>
      <c r="O964" s="17">
        <f>N964*(1-M964)</f>
        <v/>
      </c>
      <c r="P964" s="17">
        <f>Raw_Data!L964</f>
        <v/>
      </c>
      <c r="Q964" s="17">
        <f>O964-P964</f>
        <v/>
      </c>
      <c r="R964" s="31">
        <f>IF(O964=0,0,Q964/O964)</f>
        <v/>
      </c>
      <c r="S964">
        <f>XLOOKUP(F964,Lookups!$B$7:$B$11,Lookups!$C$7:$C$11,"Unknown")</f>
        <v/>
      </c>
      <c r="T964" s="31">
        <f>XLOOKUP(G964,Lookups!$E$7:$E$11,Lookups!$F$7:$F$11,0)</f>
        <v/>
      </c>
      <c r="U964" s="32">
        <f>R964-T964</f>
        <v/>
      </c>
      <c r="V964">
        <f>XLOOKUP(I964,Lookups!$H$7:$H$10,Lookups!$I$7:$I$10,"")</f>
        <v/>
      </c>
      <c r="W964">
        <f>IF(O964&gt;=50000,"HIGH VALUE","")</f>
        <v/>
      </c>
      <c r="X964">
        <f>IF(Q964&lt;0,"LOSS","")</f>
        <v/>
      </c>
      <c r="Y964">
        <f>IFS(M964&gt;=0.15,"Deep Discount",M964&gt;=0.1,"Moderate",TRUE,"Standard")</f>
        <v/>
      </c>
    </row>
    <row r="965">
      <c r="A965">
        <f>Raw_Data!A965</f>
        <v/>
      </c>
      <c r="B965" s="29">
        <f>Raw_Data!B965</f>
        <v/>
      </c>
      <c r="C965">
        <f>YEAR(B965)</f>
        <v/>
      </c>
      <c r="D965">
        <f>MONTH(B965)</f>
        <v/>
      </c>
      <c r="E965">
        <f>TEXT(B965,"MMM-YYYY")</f>
        <v/>
      </c>
      <c r="F965">
        <f>Raw_Data!C965</f>
        <v/>
      </c>
      <c r="G965">
        <f>Raw_Data!D965</f>
        <v/>
      </c>
      <c r="H965">
        <f>Raw_Data!E965</f>
        <v/>
      </c>
      <c r="I965">
        <f>Raw_Data!F965</f>
        <v/>
      </c>
      <c r="J965">
        <f>Raw_Data!G965</f>
        <v/>
      </c>
      <c r="K965">
        <f>Raw_Data!H965</f>
        <v/>
      </c>
      <c r="L965" s="30">
        <f>Raw_Data!I965</f>
        <v/>
      </c>
      <c r="M965" s="31">
        <f>Raw_Data!J965</f>
        <v/>
      </c>
      <c r="N965" s="17">
        <f>K965*L965</f>
        <v/>
      </c>
      <c r="O965" s="17">
        <f>N965*(1-M965)</f>
        <v/>
      </c>
      <c r="P965" s="17">
        <f>Raw_Data!L965</f>
        <v/>
      </c>
      <c r="Q965" s="17">
        <f>O965-P965</f>
        <v/>
      </c>
      <c r="R965" s="31">
        <f>IF(O965=0,0,Q965/O965)</f>
        <v/>
      </c>
      <c r="S965">
        <f>XLOOKUP(F965,Lookups!$B$7:$B$11,Lookups!$C$7:$C$11,"Unknown")</f>
        <v/>
      </c>
      <c r="T965" s="31">
        <f>XLOOKUP(G965,Lookups!$E$7:$E$11,Lookups!$F$7:$F$11,0)</f>
        <v/>
      </c>
      <c r="U965" s="32">
        <f>R965-T965</f>
        <v/>
      </c>
      <c r="V965">
        <f>XLOOKUP(I965,Lookups!$H$7:$H$10,Lookups!$I$7:$I$10,"")</f>
        <v/>
      </c>
      <c r="W965">
        <f>IF(O965&gt;=50000,"HIGH VALUE","")</f>
        <v/>
      </c>
      <c r="X965">
        <f>IF(Q965&lt;0,"LOSS","")</f>
        <v/>
      </c>
      <c r="Y965">
        <f>IFS(M965&gt;=0.15,"Deep Discount",M965&gt;=0.1,"Moderate",TRUE,"Standard")</f>
        <v/>
      </c>
    </row>
    <row r="966">
      <c r="A966">
        <f>Raw_Data!A966</f>
        <v/>
      </c>
      <c r="B966" s="29">
        <f>Raw_Data!B966</f>
        <v/>
      </c>
      <c r="C966">
        <f>YEAR(B966)</f>
        <v/>
      </c>
      <c r="D966">
        <f>MONTH(B966)</f>
        <v/>
      </c>
      <c r="E966">
        <f>TEXT(B966,"MMM-YYYY")</f>
        <v/>
      </c>
      <c r="F966">
        <f>Raw_Data!C966</f>
        <v/>
      </c>
      <c r="G966">
        <f>Raw_Data!D966</f>
        <v/>
      </c>
      <c r="H966">
        <f>Raw_Data!E966</f>
        <v/>
      </c>
      <c r="I966">
        <f>Raw_Data!F966</f>
        <v/>
      </c>
      <c r="J966">
        <f>Raw_Data!G966</f>
        <v/>
      </c>
      <c r="K966">
        <f>Raw_Data!H966</f>
        <v/>
      </c>
      <c r="L966" s="30">
        <f>Raw_Data!I966</f>
        <v/>
      </c>
      <c r="M966" s="31">
        <f>Raw_Data!J966</f>
        <v/>
      </c>
      <c r="N966" s="17">
        <f>K966*L966</f>
        <v/>
      </c>
      <c r="O966" s="17">
        <f>N966*(1-M966)</f>
        <v/>
      </c>
      <c r="P966" s="17">
        <f>Raw_Data!L966</f>
        <v/>
      </c>
      <c r="Q966" s="17">
        <f>O966-P966</f>
        <v/>
      </c>
      <c r="R966" s="31">
        <f>IF(O966=0,0,Q966/O966)</f>
        <v/>
      </c>
      <c r="S966">
        <f>XLOOKUP(F966,Lookups!$B$7:$B$11,Lookups!$C$7:$C$11,"Unknown")</f>
        <v/>
      </c>
      <c r="T966" s="31">
        <f>XLOOKUP(G966,Lookups!$E$7:$E$11,Lookups!$F$7:$F$11,0)</f>
        <v/>
      </c>
      <c r="U966" s="32">
        <f>R966-T966</f>
        <v/>
      </c>
      <c r="V966">
        <f>XLOOKUP(I966,Lookups!$H$7:$H$10,Lookups!$I$7:$I$10,"")</f>
        <v/>
      </c>
      <c r="W966">
        <f>IF(O966&gt;=50000,"HIGH VALUE","")</f>
        <v/>
      </c>
      <c r="X966">
        <f>IF(Q966&lt;0,"LOSS","")</f>
        <v/>
      </c>
      <c r="Y966">
        <f>IFS(M966&gt;=0.15,"Deep Discount",M966&gt;=0.1,"Moderate",TRUE,"Standard")</f>
        <v/>
      </c>
    </row>
    <row r="967">
      <c r="A967">
        <f>Raw_Data!A967</f>
        <v/>
      </c>
      <c r="B967" s="29">
        <f>Raw_Data!B967</f>
        <v/>
      </c>
      <c r="C967">
        <f>YEAR(B967)</f>
        <v/>
      </c>
      <c r="D967">
        <f>MONTH(B967)</f>
        <v/>
      </c>
      <c r="E967">
        <f>TEXT(B967,"MMM-YYYY")</f>
        <v/>
      </c>
      <c r="F967">
        <f>Raw_Data!C967</f>
        <v/>
      </c>
      <c r="G967">
        <f>Raw_Data!D967</f>
        <v/>
      </c>
      <c r="H967">
        <f>Raw_Data!E967</f>
        <v/>
      </c>
      <c r="I967">
        <f>Raw_Data!F967</f>
        <v/>
      </c>
      <c r="J967">
        <f>Raw_Data!G967</f>
        <v/>
      </c>
      <c r="K967">
        <f>Raw_Data!H967</f>
        <v/>
      </c>
      <c r="L967" s="30">
        <f>Raw_Data!I967</f>
        <v/>
      </c>
      <c r="M967" s="31">
        <f>Raw_Data!J967</f>
        <v/>
      </c>
      <c r="N967" s="17">
        <f>K967*L967</f>
        <v/>
      </c>
      <c r="O967" s="17">
        <f>N967*(1-M967)</f>
        <v/>
      </c>
      <c r="P967" s="17">
        <f>Raw_Data!L967</f>
        <v/>
      </c>
      <c r="Q967" s="17">
        <f>O967-P967</f>
        <v/>
      </c>
      <c r="R967" s="31">
        <f>IF(O967=0,0,Q967/O967)</f>
        <v/>
      </c>
      <c r="S967">
        <f>XLOOKUP(F967,Lookups!$B$7:$B$11,Lookups!$C$7:$C$11,"Unknown")</f>
        <v/>
      </c>
      <c r="T967" s="31">
        <f>XLOOKUP(G967,Lookups!$E$7:$E$11,Lookups!$F$7:$F$11,0)</f>
        <v/>
      </c>
      <c r="U967" s="32">
        <f>R967-T967</f>
        <v/>
      </c>
      <c r="V967">
        <f>XLOOKUP(I967,Lookups!$H$7:$H$10,Lookups!$I$7:$I$10,"")</f>
        <v/>
      </c>
      <c r="W967">
        <f>IF(O967&gt;=50000,"HIGH VALUE","")</f>
        <v/>
      </c>
      <c r="X967">
        <f>IF(Q967&lt;0,"LOSS","")</f>
        <v/>
      </c>
      <c r="Y967">
        <f>IFS(M967&gt;=0.15,"Deep Discount",M967&gt;=0.1,"Moderate",TRUE,"Standard")</f>
        <v/>
      </c>
    </row>
    <row r="968">
      <c r="A968">
        <f>Raw_Data!A968</f>
        <v/>
      </c>
      <c r="B968" s="29">
        <f>Raw_Data!B968</f>
        <v/>
      </c>
      <c r="C968">
        <f>YEAR(B968)</f>
        <v/>
      </c>
      <c r="D968">
        <f>MONTH(B968)</f>
        <v/>
      </c>
      <c r="E968">
        <f>TEXT(B968,"MMM-YYYY")</f>
        <v/>
      </c>
      <c r="F968">
        <f>Raw_Data!C968</f>
        <v/>
      </c>
      <c r="G968">
        <f>Raw_Data!D968</f>
        <v/>
      </c>
      <c r="H968">
        <f>Raw_Data!E968</f>
        <v/>
      </c>
      <c r="I968">
        <f>Raw_Data!F968</f>
        <v/>
      </c>
      <c r="J968">
        <f>Raw_Data!G968</f>
        <v/>
      </c>
      <c r="K968">
        <f>Raw_Data!H968</f>
        <v/>
      </c>
      <c r="L968" s="30">
        <f>Raw_Data!I968</f>
        <v/>
      </c>
      <c r="M968" s="31">
        <f>Raw_Data!J968</f>
        <v/>
      </c>
      <c r="N968" s="17">
        <f>K968*L968</f>
        <v/>
      </c>
      <c r="O968" s="17">
        <f>N968*(1-M968)</f>
        <v/>
      </c>
      <c r="P968" s="17">
        <f>Raw_Data!L968</f>
        <v/>
      </c>
      <c r="Q968" s="17">
        <f>O968-P968</f>
        <v/>
      </c>
      <c r="R968" s="31">
        <f>IF(O968=0,0,Q968/O968)</f>
        <v/>
      </c>
      <c r="S968">
        <f>XLOOKUP(F968,Lookups!$B$7:$B$11,Lookups!$C$7:$C$11,"Unknown")</f>
        <v/>
      </c>
      <c r="T968" s="31">
        <f>XLOOKUP(G968,Lookups!$E$7:$E$11,Lookups!$F$7:$F$11,0)</f>
        <v/>
      </c>
      <c r="U968" s="32">
        <f>R968-T968</f>
        <v/>
      </c>
      <c r="V968">
        <f>XLOOKUP(I968,Lookups!$H$7:$H$10,Lookups!$I$7:$I$10,"")</f>
        <v/>
      </c>
      <c r="W968">
        <f>IF(O968&gt;=50000,"HIGH VALUE","")</f>
        <v/>
      </c>
      <c r="X968">
        <f>IF(Q968&lt;0,"LOSS","")</f>
        <v/>
      </c>
      <c r="Y968">
        <f>IFS(M968&gt;=0.15,"Deep Discount",M968&gt;=0.1,"Moderate",TRUE,"Standard")</f>
        <v/>
      </c>
    </row>
    <row r="969">
      <c r="A969">
        <f>Raw_Data!A969</f>
        <v/>
      </c>
      <c r="B969" s="29">
        <f>Raw_Data!B969</f>
        <v/>
      </c>
      <c r="C969">
        <f>YEAR(B969)</f>
        <v/>
      </c>
      <c r="D969">
        <f>MONTH(B969)</f>
        <v/>
      </c>
      <c r="E969">
        <f>TEXT(B969,"MMM-YYYY")</f>
        <v/>
      </c>
      <c r="F969">
        <f>Raw_Data!C969</f>
        <v/>
      </c>
      <c r="G969">
        <f>Raw_Data!D969</f>
        <v/>
      </c>
      <c r="H969">
        <f>Raw_Data!E969</f>
        <v/>
      </c>
      <c r="I969">
        <f>Raw_Data!F969</f>
        <v/>
      </c>
      <c r="J969">
        <f>Raw_Data!G969</f>
        <v/>
      </c>
      <c r="K969">
        <f>Raw_Data!H969</f>
        <v/>
      </c>
      <c r="L969" s="30">
        <f>Raw_Data!I969</f>
        <v/>
      </c>
      <c r="M969" s="31">
        <f>Raw_Data!J969</f>
        <v/>
      </c>
      <c r="N969" s="17">
        <f>K969*L969</f>
        <v/>
      </c>
      <c r="O969" s="17">
        <f>N969*(1-M969)</f>
        <v/>
      </c>
      <c r="P969" s="17">
        <f>Raw_Data!L969</f>
        <v/>
      </c>
      <c r="Q969" s="17">
        <f>O969-P969</f>
        <v/>
      </c>
      <c r="R969" s="31">
        <f>IF(O969=0,0,Q969/O969)</f>
        <v/>
      </c>
      <c r="S969">
        <f>XLOOKUP(F969,Lookups!$B$7:$B$11,Lookups!$C$7:$C$11,"Unknown")</f>
        <v/>
      </c>
      <c r="T969" s="31">
        <f>XLOOKUP(G969,Lookups!$E$7:$E$11,Lookups!$F$7:$F$11,0)</f>
        <v/>
      </c>
      <c r="U969" s="32">
        <f>R969-T969</f>
        <v/>
      </c>
      <c r="V969">
        <f>XLOOKUP(I969,Lookups!$H$7:$H$10,Lookups!$I$7:$I$10,"")</f>
        <v/>
      </c>
      <c r="W969">
        <f>IF(O969&gt;=50000,"HIGH VALUE","")</f>
        <v/>
      </c>
      <c r="X969">
        <f>IF(Q969&lt;0,"LOSS","")</f>
        <v/>
      </c>
      <c r="Y969">
        <f>IFS(M969&gt;=0.15,"Deep Discount",M969&gt;=0.1,"Moderate",TRUE,"Standard")</f>
        <v/>
      </c>
    </row>
    <row r="970">
      <c r="A970">
        <f>Raw_Data!A970</f>
        <v/>
      </c>
      <c r="B970" s="29">
        <f>Raw_Data!B970</f>
        <v/>
      </c>
      <c r="C970">
        <f>YEAR(B970)</f>
        <v/>
      </c>
      <c r="D970">
        <f>MONTH(B970)</f>
        <v/>
      </c>
      <c r="E970">
        <f>TEXT(B970,"MMM-YYYY")</f>
        <v/>
      </c>
      <c r="F970">
        <f>Raw_Data!C970</f>
        <v/>
      </c>
      <c r="G970">
        <f>Raw_Data!D970</f>
        <v/>
      </c>
      <c r="H970">
        <f>Raw_Data!E970</f>
        <v/>
      </c>
      <c r="I970">
        <f>Raw_Data!F970</f>
        <v/>
      </c>
      <c r="J970">
        <f>Raw_Data!G970</f>
        <v/>
      </c>
      <c r="K970">
        <f>Raw_Data!H970</f>
        <v/>
      </c>
      <c r="L970" s="30">
        <f>Raw_Data!I970</f>
        <v/>
      </c>
      <c r="M970" s="31">
        <f>Raw_Data!J970</f>
        <v/>
      </c>
      <c r="N970" s="17">
        <f>K970*L970</f>
        <v/>
      </c>
      <c r="O970" s="17">
        <f>N970*(1-M970)</f>
        <v/>
      </c>
      <c r="P970" s="17">
        <f>Raw_Data!L970</f>
        <v/>
      </c>
      <c r="Q970" s="17">
        <f>O970-P970</f>
        <v/>
      </c>
      <c r="R970" s="31">
        <f>IF(O970=0,0,Q970/O970)</f>
        <v/>
      </c>
      <c r="S970">
        <f>XLOOKUP(F970,Lookups!$B$7:$B$11,Lookups!$C$7:$C$11,"Unknown")</f>
        <v/>
      </c>
      <c r="T970" s="31">
        <f>XLOOKUP(G970,Lookups!$E$7:$E$11,Lookups!$F$7:$F$11,0)</f>
        <v/>
      </c>
      <c r="U970" s="32">
        <f>R970-T970</f>
        <v/>
      </c>
      <c r="V970">
        <f>XLOOKUP(I970,Lookups!$H$7:$H$10,Lookups!$I$7:$I$10,"")</f>
        <v/>
      </c>
      <c r="W970">
        <f>IF(O970&gt;=50000,"HIGH VALUE","")</f>
        <v/>
      </c>
      <c r="X970">
        <f>IF(Q970&lt;0,"LOSS","")</f>
        <v/>
      </c>
      <c r="Y970">
        <f>IFS(M970&gt;=0.15,"Deep Discount",M970&gt;=0.1,"Moderate",TRUE,"Standard")</f>
        <v/>
      </c>
    </row>
    <row r="971">
      <c r="A971">
        <f>Raw_Data!A971</f>
        <v/>
      </c>
      <c r="B971" s="29">
        <f>Raw_Data!B971</f>
        <v/>
      </c>
      <c r="C971">
        <f>YEAR(B971)</f>
        <v/>
      </c>
      <c r="D971">
        <f>MONTH(B971)</f>
        <v/>
      </c>
      <c r="E971">
        <f>TEXT(B971,"MMM-YYYY")</f>
        <v/>
      </c>
      <c r="F971">
        <f>Raw_Data!C971</f>
        <v/>
      </c>
      <c r="G971">
        <f>Raw_Data!D971</f>
        <v/>
      </c>
      <c r="H971">
        <f>Raw_Data!E971</f>
        <v/>
      </c>
      <c r="I971">
        <f>Raw_Data!F971</f>
        <v/>
      </c>
      <c r="J971">
        <f>Raw_Data!G971</f>
        <v/>
      </c>
      <c r="K971">
        <f>Raw_Data!H971</f>
        <v/>
      </c>
      <c r="L971" s="30">
        <f>Raw_Data!I971</f>
        <v/>
      </c>
      <c r="M971" s="31">
        <f>Raw_Data!J971</f>
        <v/>
      </c>
      <c r="N971" s="17">
        <f>K971*L971</f>
        <v/>
      </c>
      <c r="O971" s="17">
        <f>N971*(1-M971)</f>
        <v/>
      </c>
      <c r="P971" s="17">
        <f>Raw_Data!L971</f>
        <v/>
      </c>
      <c r="Q971" s="17">
        <f>O971-P971</f>
        <v/>
      </c>
      <c r="R971" s="31">
        <f>IF(O971=0,0,Q971/O971)</f>
        <v/>
      </c>
      <c r="S971">
        <f>XLOOKUP(F971,Lookups!$B$7:$B$11,Lookups!$C$7:$C$11,"Unknown")</f>
        <v/>
      </c>
      <c r="T971" s="31">
        <f>XLOOKUP(G971,Lookups!$E$7:$E$11,Lookups!$F$7:$F$11,0)</f>
        <v/>
      </c>
      <c r="U971" s="32">
        <f>R971-T971</f>
        <v/>
      </c>
      <c r="V971">
        <f>XLOOKUP(I971,Lookups!$H$7:$H$10,Lookups!$I$7:$I$10,"")</f>
        <v/>
      </c>
      <c r="W971">
        <f>IF(O971&gt;=50000,"HIGH VALUE","")</f>
        <v/>
      </c>
      <c r="X971">
        <f>IF(Q971&lt;0,"LOSS","")</f>
        <v/>
      </c>
      <c r="Y971">
        <f>IFS(M971&gt;=0.15,"Deep Discount",M971&gt;=0.1,"Moderate",TRUE,"Standard")</f>
        <v/>
      </c>
    </row>
    <row r="972">
      <c r="A972">
        <f>Raw_Data!A972</f>
        <v/>
      </c>
      <c r="B972" s="29">
        <f>Raw_Data!B972</f>
        <v/>
      </c>
      <c r="C972">
        <f>YEAR(B972)</f>
        <v/>
      </c>
      <c r="D972">
        <f>MONTH(B972)</f>
        <v/>
      </c>
      <c r="E972">
        <f>TEXT(B972,"MMM-YYYY")</f>
        <v/>
      </c>
      <c r="F972">
        <f>Raw_Data!C972</f>
        <v/>
      </c>
      <c r="G972">
        <f>Raw_Data!D972</f>
        <v/>
      </c>
      <c r="H972">
        <f>Raw_Data!E972</f>
        <v/>
      </c>
      <c r="I972">
        <f>Raw_Data!F972</f>
        <v/>
      </c>
      <c r="J972">
        <f>Raw_Data!G972</f>
        <v/>
      </c>
      <c r="K972">
        <f>Raw_Data!H972</f>
        <v/>
      </c>
      <c r="L972" s="30">
        <f>Raw_Data!I972</f>
        <v/>
      </c>
      <c r="M972" s="31">
        <f>Raw_Data!J972</f>
        <v/>
      </c>
      <c r="N972" s="17">
        <f>K972*L972</f>
        <v/>
      </c>
      <c r="O972" s="17">
        <f>N972*(1-M972)</f>
        <v/>
      </c>
      <c r="P972" s="17">
        <f>Raw_Data!L972</f>
        <v/>
      </c>
      <c r="Q972" s="17">
        <f>O972-P972</f>
        <v/>
      </c>
      <c r="R972" s="31">
        <f>IF(O972=0,0,Q972/O972)</f>
        <v/>
      </c>
      <c r="S972">
        <f>XLOOKUP(F972,Lookups!$B$7:$B$11,Lookups!$C$7:$C$11,"Unknown")</f>
        <v/>
      </c>
      <c r="T972" s="31">
        <f>XLOOKUP(G972,Lookups!$E$7:$E$11,Lookups!$F$7:$F$11,0)</f>
        <v/>
      </c>
      <c r="U972" s="32">
        <f>R972-T972</f>
        <v/>
      </c>
      <c r="V972">
        <f>XLOOKUP(I972,Lookups!$H$7:$H$10,Lookups!$I$7:$I$10,"")</f>
        <v/>
      </c>
      <c r="W972">
        <f>IF(O972&gt;=50000,"HIGH VALUE","")</f>
        <v/>
      </c>
      <c r="X972">
        <f>IF(Q972&lt;0,"LOSS","")</f>
        <v/>
      </c>
      <c r="Y972">
        <f>IFS(M972&gt;=0.15,"Deep Discount",M972&gt;=0.1,"Moderate",TRUE,"Standard")</f>
        <v/>
      </c>
    </row>
    <row r="973">
      <c r="A973">
        <f>Raw_Data!A973</f>
        <v/>
      </c>
      <c r="B973" s="29">
        <f>Raw_Data!B973</f>
        <v/>
      </c>
      <c r="C973">
        <f>YEAR(B973)</f>
        <v/>
      </c>
      <c r="D973">
        <f>MONTH(B973)</f>
        <v/>
      </c>
      <c r="E973">
        <f>TEXT(B973,"MMM-YYYY")</f>
        <v/>
      </c>
      <c r="F973">
        <f>Raw_Data!C973</f>
        <v/>
      </c>
      <c r="G973">
        <f>Raw_Data!D973</f>
        <v/>
      </c>
      <c r="H973">
        <f>Raw_Data!E973</f>
        <v/>
      </c>
      <c r="I973">
        <f>Raw_Data!F973</f>
        <v/>
      </c>
      <c r="J973">
        <f>Raw_Data!G973</f>
        <v/>
      </c>
      <c r="K973">
        <f>Raw_Data!H973</f>
        <v/>
      </c>
      <c r="L973" s="30">
        <f>Raw_Data!I973</f>
        <v/>
      </c>
      <c r="M973" s="31">
        <f>Raw_Data!J973</f>
        <v/>
      </c>
      <c r="N973" s="17">
        <f>K973*L973</f>
        <v/>
      </c>
      <c r="O973" s="17">
        <f>N973*(1-M973)</f>
        <v/>
      </c>
      <c r="P973" s="17">
        <f>Raw_Data!L973</f>
        <v/>
      </c>
      <c r="Q973" s="17">
        <f>O973-P973</f>
        <v/>
      </c>
      <c r="R973" s="31">
        <f>IF(O973=0,0,Q973/O973)</f>
        <v/>
      </c>
      <c r="S973">
        <f>XLOOKUP(F973,Lookups!$B$7:$B$11,Lookups!$C$7:$C$11,"Unknown")</f>
        <v/>
      </c>
      <c r="T973" s="31">
        <f>XLOOKUP(G973,Lookups!$E$7:$E$11,Lookups!$F$7:$F$11,0)</f>
        <v/>
      </c>
      <c r="U973" s="32">
        <f>R973-T973</f>
        <v/>
      </c>
      <c r="V973">
        <f>XLOOKUP(I973,Lookups!$H$7:$H$10,Lookups!$I$7:$I$10,"")</f>
        <v/>
      </c>
      <c r="W973">
        <f>IF(O973&gt;=50000,"HIGH VALUE","")</f>
        <v/>
      </c>
      <c r="X973">
        <f>IF(Q973&lt;0,"LOSS","")</f>
        <v/>
      </c>
      <c r="Y973">
        <f>IFS(M973&gt;=0.15,"Deep Discount",M973&gt;=0.1,"Moderate",TRUE,"Standard")</f>
        <v/>
      </c>
    </row>
    <row r="974">
      <c r="A974">
        <f>Raw_Data!A974</f>
        <v/>
      </c>
      <c r="B974" s="29">
        <f>Raw_Data!B974</f>
        <v/>
      </c>
      <c r="C974">
        <f>YEAR(B974)</f>
        <v/>
      </c>
      <c r="D974">
        <f>MONTH(B974)</f>
        <v/>
      </c>
      <c r="E974">
        <f>TEXT(B974,"MMM-YYYY")</f>
        <v/>
      </c>
      <c r="F974">
        <f>Raw_Data!C974</f>
        <v/>
      </c>
      <c r="G974">
        <f>Raw_Data!D974</f>
        <v/>
      </c>
      <c r="H974">
        <f>Raw_Data!E974</f>
        <v/>
      </c>
      <c r="I974">
        <f>Raw_Data!F974</f>
        <v/>
      </c>
      <c r="J974">
        <f>Raw_Data!G974</f>
        <v/>
      </c>
      <c r="K974">
        <f>Raw_Data!H974</f>
        <v/>
      </c>
      <c r="L974" s="30">
        <f>Raw_Data!I974</f>
        <v/>
      </c>
      <c r="M974" s="31">
        <f>Raw_Data!J974</f>
        <v/>
      </c>
      <c r="N974" s="17">
        <f>K974*L974</f>
        <v/>
      </c>
      <c r="O974" s="17">
        <f>N974*(1-M974)</f>
        <v/>
      </c>
      <c r="P974" s="17">
        <f>Raw_Data!L974</f>
        <v/>
      </c>
      <c r="Q974" s="17">
        <f>O974-P974</f>
        <v/>
      </c>
      <c r="R974" s="31">
        <f>IF(O974=0,0,Q974/O974)</f>
        <v/>
      </c>
      <c r="S974">
        <f>XLOOKUP(F974,Lookups!$B$7:$B$11,Lookups!$C$7:$C$11,"Unknown")</f>
        <v/>
      </c>
      <c r="T974" s="31">
        <f>XLOOKUP(G974,Lookups!$E$7:$E$11,Lookups!$F$7:$F$11,0)</f>
        <v/>
      </c>
      <c r="U974" s="32">
        <f>R974-T974</f>
        <v/>
      </c>
      <c r="V974">
        <f>XLOOKUP(I974,Lookups!$H$7:$H$10,Lookups!$I$7:$I$10,"")</f>
        <v/>
      </c>
      <c r="W974">
        <f>IF(O974&gt;=50000,"HIGH VALUE","")</f>
        <v/>
      </c>
      <c r="X974">
        <f>IF(Q974&lt;0,"LOSS","")</f>
        <v/>
      </c>
      <c r="Y974">
        <f>IFS(M974&gt;=0.15,"Deep Discount",M974&gt;=0.1,"Moderate",TRUE,"Standard")</f>
        <v/>
      </c>
    </row>
    <row r="975">
      <c r="A975">
        <f>Raw_Data!A975</f>
        <v/>
      </c>
      <c r="B975" s="29">
        <f>Raw_Data!B975</f>
        <v/>
      </c>
      <c r="C975">
        <f>YEAR(B975)</f>
        <v/>
      </c>
      <c r="D975">
        <f>MONTH(B975)</f>
        <v/>
      </c>
      <c r="E975">
        <f>TEXT(B975,"MMM-YYYY")</f>
        <v/>
      </c>
      <c r="F975">
        <f>Raw_Data!C975</f>
        <v/>
      </c>
      <c r="G975">
        <f>Raw_Data!D975</f>
        <v/>
      </c>
      <c r="H975">
        <f>Raw_Data!E975</f>
        <v/>
      </c>
      <c r="I975">
        <f>Raw_Data!F975</f>
        <v/>
      </c>
      <c r="J975">
        <f>Raw_Data!G975</f>
        <v/>
      </c>
      <c r="K975">
        <f>Raw_Data!H975</f>
        <v/>
      </c>
      <c r="L975" s="30">
        <f>Raw_Data!I975</f>
        <v/>
      </c>
      <c r="M975" s="31">
        <f>Raw_Data!J975</f>
        <v/>
      </c>
      <c r="N975" s="17">
        <f>K975*L975</f>
        <v/>
      </c>
      <c r="O975" s="17">
        <f>N975*(1-M975)</f>
        <v/>
      </c>
      <c r="P975" s="17">
        <f>Raw_Data!L975</f>
        <v/>
      </c>
      <c r="Q975" s="17">
        <f>O975-P975</f>
        <v/>
      </c>
      <c r="R975" s="31">
        <f>IF(O975=0,0,Q975/O975)</f>
        <v/>
      </c>
      <c r="S975">
        <f>XLOOKUP(F975,Lookups!$B$7:$B$11,Lookups!$C$7:$C$11,"Unknown")</f>
        <v/>
      </c>
      <c r="T975" s="31">
        <f>XLOOKUP(G975,Lookups!$E$7:$E$11,Lookups!$F$7:$F$11,0)</f>
        <v/>
      </c>
      <c r="U975" s="32">
        <f>R975-T975</f>
        <v/>
      </c>
      <c r="V975">
        <f>XLOOKUP(I975,Lookups!$H$7:$H$10,Lookups!$I$7:$I$10,"")</f>
        <v/>
      </c>
      <c r="W975">
        <f>IF(O975&gt;=50000,"HIGH VALUE","")</f>
        <v/>
      </c>
      <c r="X975">
        <f>IF(Q975&lt;0,"LOSS","")</f>
        <v/>
      </c>
      <c r="Y975">
        <f>IFS(M975&gt;=0.15,"Deep Discount",M975&gt;=0.1,"Moderate",TRUE,"Standard")</f>
        <v/>
      </c>
    </row>
    <row r="976">
      <c r="A976">
        <f>Raw_Data!A976</f>
        <v/>
      </c>
      <c r="B976" s="29">
        <f>Raw_Data!B976</f>
        <v/>
      </c>
      <c r="C976">
        <f>YEAR(B976)</f>
        <v/>
      </c>
      <c r="D976">
        <f>MONTH(B976)</f>
        <v/>
      </c>
      <c r="E976">
        <f>TEXT(B976,"MMM-YYYY")</f>
        <v/>
      </c>
      <c r="F976">
        <f>Raw_Data!C976</f>
        <v/>
      </c>
      <c r="G976">
        <f>Raw_Data!D976</f>
        <v/>
      </c>
      <c r="H976">
        <f>Raw_Data!E976</f>
        <v/>
      </c>
      <c r="I976">
        <f>Raw_Data!F976</f>
        <v/>
      </c>
      <c r="J976">
        <f>Raw_Data!G976</f>
        <v/>
      </c>
      <c r="K976">
        <f>Raw_Data!H976</f>
        <v/>
      </c>
      <c r="L976" s="30">
        <f>Raw_Data!I976</f>
        <v/>
      </c>
      <c r="M976" s="31">
        <f>Raw_Data!J976</f>
        <v/>
      </c>
      <c r="N976" s="17">
        <f>K976*L976</f>
        <v/>
      </c>
      <c r="O976" s="17">
        <f>N976*(1-M976)</f>
        <v/>
      </c>
      <c r="P976" s="17">
        <f>Raw_Data!L976</f>
        <v/>
      </c>
      <c r="Q976" s="17">
        <f>O976-P976</f>
        <v/>
      </c>
      <c r="R976" s="31">
        <f>IF(O976=0,0,Q976/O976)</f>
        <v/>
      </c>
      <c r="S976">
        <f>XLOOKUP(F976,Lookups!$B$7:$B$11,Lookups!$C$7:$C$11,"Unknown")</f>
        <v/>
      </c>
      <c r="T976" s="31">
        <f>XLOOKUP(G976,Lookups!$E$7:$E$11,Lookups!$F$7:$F$11,0)</f>
        <v/>
      </c>
      <c r="U976" s="32">
        <f>R976-T976</f>
        <v/>
      </c>
      <c r="V976">
        <f>XLOOKUP(I976,Lookups!$H$7:$H$10,Lookups!$I$7:$I$10,"")</f>
        <v/>
      </c>
      <c r="W976">
        <f>IF(O976&gt;=50000,"HIGH VALUE","")</f>
        <v/>
      </c>
      <c r="X976">
        <f>IF(Q976&lt;0,"LOSS","")</f>
        <v/>
      </c>
      <c r="Y976">
        <f>IFS(M976&gt;=0.15,"Deep Discount",M976&gt;=0.1,"Moderate",TRUE,"Standard")</f>
        <v/>
      </c>
    </row>
    <row r="977">
      <c r="A977">
        <f>Raw_Data!A977</f>
        <v/>
      </c>
      <c r="B977" s="29">
        <f>Raw_Data!B977</f>
        <v/>
      </c>
      <c r="C977">
        <f>YEAR(B977)</f>
        <v/>
      </c>
      <c r="D977">
        <f>MONTH(B977)</f>
        <v/>
      </c>
      <c r="E977">
        <f>TEXT(B977,"MMM-YYYY")</f>
        <v/>
      </c>
      <c r="F977">
        <f>Raw_Data!C977</f>
        <v/>
      </c>
      <c r="G977">
        <f>Raw_Data!D977</f>
        <v/>
      </c>
      <c r="H977">
        <f>Raw_Data!E977</f>
        <v/>
      </c>
      <c r="I977">
        <f>Raw_Data!F977</f>
        <v/>
      </c>
      <c r="J977">
        <f>Raw_Data!G977</f>
        <v/>
      </c>
      <c r="K977">
        <f>Raw_Data!H977</f>
        <v/>
      </c>
      <c r="L977" s="30">
        <f>Raw_Data!I977</f>
        <v/>
      </c>
      <c r="M977" s="31">
        <f>Raw_Data!J977</f>
        <v/>
      </c>
      <c r="N977" s="17">
        <f>K977*L977</f>
        <v/>
      </c>
      <c r="O977" s="17">
        <f>N977*(1-M977)</f>
        <v/>
      </c>
      <c r="P977" s="17">
        <f>Raw_Data!L977</f>
        <v/>
      </c>
      <c r="Q977" s="17">
        <f>O977-P977</f>
        <v/>
      </c>
      <c r="R977" s="31">
        <f>IF(O977=0,0,Q977/O977)</f>
        <v/>
      </c>
      <c r="S977">
        <f>XLOOKUP(F977,Lookups!$B$7:$B$11,Lookups!$C$7:$C$11,"Unknown")</f>
        <v/>
      </c>
      <c r="T977" s="31">
        <f>XLOOKUP(G977,Lookups!$E$7:$E$11,Lookups!$F$7:$F$11,0)</f>
        <v/>
      </c>
      <c r="U977" s="32">
        <f>R977-T977</f>
        <v/>
      </c>
      <c r="V977">
        <f>XLOOKUP(I977,Lookups!$H$7:$H$10,Lookups!$I$7:$I$10,"")</f>
        <v/>
      </c>
      <c r="W977">
        <f>IF(O977&gt;=50000,"HIGH VALUE","")</f>
        <v/>
      </c>
      <c r="X977">
        <f>IF(Q977&lt;0,"LOSS","")</f>
        <v/>
      </c>
      <c r="Y977">
        <f>IFS(M977&gt;=0.15,"Deep Discount",M977&gt;=0.1,"Moderate",TRUE,"Standard")</f>
        <v/>
      </c>
    </row>
    <row r="978">
      <c r="A978">
        <f>Raw_Data!A978</f>
        <v/>
      </c>
      <c r="B978" s="29">
        <f>Raw_Data!B978</f>
        <v/>
      </c>
      <c r="C978">
        <f>YEAR(B978)</f>
        <v/>
      </c>
      <c r="D978">
        <f>MONTH(B978)</f>
        <v/>
      </c>
      <c r="E978">
        <f>TEXT(B978,"MMM-YYYY")</f>
        <v/>
      </c>
      <c r="F978">
        <f>Raw_Data!C978</f>
        <v/>
      </c>
      <c r="G978">
        <f>Raw_Data!D978</f>
        <v/>
      </c>
      <c r="H978">
        <f>Raw_Data!E978</f>
        <v/>
      </c>
      <c r="I978">
        <f>Raw_Data!F978</f>
        <v/>
      </c>
      <c r="J978">
        <f>Raw_Data!G978</f>
        <v/>
      </c>
      <c r="K978">
        <f>Raw_Data!H978</f>
        <v/>
      </c>
      <c r="L978" s="30">
        <f>Raw_Data!I978</f>
        <v/>
      </c>
      <c r="M978" s="31">
        <f>Raw_Data!J978</f>
        <v/>
      </c>
      <c r="N978" s="17">
        <f>K978*L978</f>
        <v/>
      </c>
      <c r="O978" s="17">
        <f>N978*(1-M978)</f>
        <v/>
      </c>
      <c r="P978" s="17">
        <f>Raw_Data!L978</f>
        <v/>
      </c>
      <c r="Q978" s="17">
        <f>O978-P978</f>
        <v/>
      </c>
      <c r="R978" s="31">
        <f>IF(O978=0,0,Q978/O978)</f>
        <v/>
      </c>
      <c r="S978">
        <f>XLOOKUP(F978,Lookups!$B$7:$B$11,Lookups!$C$7:$C$11,"Unknown")</f>
        <v/>
      </c>
      <c r="T978" s="31">
        <f>XLOOKUP(G978,Lookups!$E$7:$E$11,Lookups!$F$7:$F$11,0)</f>
        <v/>
      </c>
      <c r="U978" s="32">
        <f>R978-T978</f>
        <v/>
      </c>
      <c r="V978">
        <f>XLOOKUP(I978,Lookups!$H$7:$H$10,Lookups!$I$7:$I$10,"")</f>
        <v/>
      </c>
      <c r="W978">
        <f>IF(O978&gt;=50000,"HIGH VALUE","")</f>
        <v/>
      </c>
      <c r="X978">
        <f>IF(Q978&lt;0,"LOSS","")</f>
        <v/>
      </c>
      <c r="Y978">
        <f>IFS(M978&gt;=0.15,"Deep Discount",M978&gt;=0.1,"Moderate",TRUE,"Standard")</f>
        <v/>
      </c>
    </row>
    <row r="979">
      <c r="A979">
        <f>Raw_Data!A979</f>
        <v/>
      </c>
      <c r="B979" s="29">
        <f>Raw_Data!B979</f>
        <v/>
      </c>
      <c r="C979">
        <f>YEAR(B979)</f>
        <v/>
      </c>
      <c r="D979">
        <f>MONTH(B979)</f>
        <v/>
      </c>
      <c r="E979">
        <f>TEXT(B979,"MMM-YYYY")</f>
        <v/>
      </c>
      <c r="F979">
        <f>Raw_Data!C979</f>
        <v/>
      </c>
      <c r="G979">
        <f>Raw_Data!D979</f>
        <v/>
      </c>
      <c r="H979">
        <f>Raw_Data!E979</f>
        <v/>
      </c>
      <c r="I979">
        <f>Raw_Data!F979</f>
        <v/>
      </c>
      <c r="J979">
        <f>Raw_Data!G979</f>
        <v/>
      </c>
      <c r="K979">
        <f>Raw_Data!H979</f>
        <v/>
      </c>
      <c r="L979" s="30">
        <f>Raw_Data!I979</f>
        <v/>
      </c>
      <c r="M979" s="31">
        <f>Raw_Data!J979</f>
        <v/>
      </c>
      <c r="N979" s="17">
        <f>K979*L979</f>
        <v/>
      </c>
      <c r="O979" s="17">
        <f>N979*(1-M979)</f>
        <v/>
      </c>
      <c r="P979" s="17">
        <f>Raw_Data!L979</f>
        <v/>
      </c>
      <c r="Q979" s="17">
        <f>O979-P979</f>
        <v/>
      </c>
      <c r="R979" s="31">
        <f>IF(O979=0,0,Q979/O979)</f>
        <v/>
      </c>
      <c r="S979">
        <f>XLOOKUP(F979,Lookups!$B$7:$B$11,Lookups!$C$7:$C$11,"Unknown")</f>
        <v/>
      </c>
      <c r="T979" s="31">
        <f>XLOOKUP(G979,Lookups!$E$7:$E$11,Lookups!$F$7:$F$11,0)</f>
        <v/>
      </c>
      <c r="U979" s="32">
        <f>R979-T979</f>
        <v/>
      </c>
      <c r="V979">
        <f>XLOOKUP(I979,Lookups!$H$7:$H$10,Lookups!$I$7:$I$10,"")</f>
        <v/>
      </c>
      <c r="W979">
        <f>IF(O979&gt;=50000,"HIGH VALUE","")</f>
        <v/>
      </c>
      <c r="X979">
        <f>IF(Q979&lt;0,"LOSS","")</f>
        <v/>
      </c>
      <c r="Y979">
        <f>IFS(M979&gt;=0.15,"Deep Discount",M979&gt;=0.1,"Moderate",TRUE,"Standard")</f>
        <v/>
      </c>
    </row>
    <row r="980">
      <c r="A980">
        <f>Raw_Data!A980</f>
        <v/>
      </c>
      <c r="B980" s="29">
        <f>Raw_Data!B980</f>
        <v/>
      </c>
      <c r="C980">
        <f>YEAR(B980)</f>
        <v/>
      </c>
      <c r="D980">
        <f>MONTH(B980)</f>
        <v/>
      </c>
      <c r="E980">
        <f>TEXT(B980,"MMM-YYYY")</f>
        <v/>
      </c>
      <c r="F980">
        <f>Raw_Data!C980</f>
        <v/>
      </c>
      <c r="G980">
        <f>Raw_Data!D980</f>
        <v/>
      </c>
      <c r="H980">
        <f>Raw_Data!E980</f>
        <v/>
      </c>
      <c r="I980">
        <f>Raw_Data!F980</f>
        <v/>
      </c>
      <c r="J980">
        <f>Raw_Data!G980</f>
        <v/>
      </c>
      <c r="K980">
        <f>Raw_Data!H980</f>
        <v/>
      </c>
      <c r="L980" s="30">
        <f>Raw_Data!I980</f>
        <v/>
      </c>
      <c r="M980" s="31">
        <f>Raw_Data!J980</f>
        <v/>
      </c>
      <c r="N980" s="17">
        <f>K980*L980</f>
        <v/>
      </c>
      <c r="O980" s="17">
        <f>N980*(1-M980)</f>
        <v/>
      </c>
      <c r="P980" s="17">
        <f>Raw_Data!L980</f>
        <v/>
      </c>
      <c r="Q980" s="17">
        <f>O980-P980</f>
        <v/>
      </c>
      <c r="R980" s="31">
        <f>IF(O980=0,0,Q980/O980)</f>
        <v/>
      </c>
      <c r="S980">
        <f>XLOOKUP(F980,Lookups!$B$7:$B$11,Lookups!$C$7:$C$11,"Unknown")</f>
        <v/>
      </c>
      <c r="T980" s="31">
        <f>XLOOKUP(G980,Lookups!$E$7:$E$11,Lookups!$F$7:$F$11,0)</f>
        <v/>
      </c>
      <c r="U980" s="32">
        <f>R980-T980</f>
        <v/>
      </c>
      <c r="V980">
        <f>XLOOKUP(I980,Lookups!$H$7:$H$10,Lookups!$I$7:$I$10,"")</f>
        <v/>
      </c>
      <c r="W980">
        <f>IF(O980&gt;=50000,"HIGH VALUE","")</f>
        <v/>
      </c>
      <c r="X980">
        <f>IF(Q980&lt;0,"LOSS","")</f>
        <v/>
      </c>
      <c r="Y980">
        <f>IFS(M980&gt;=0.15,"Deep Discount",M980&gt;=0.1,"Moderate",TRUE,"Standard")</f>
        <v/>
      </c>
    </row>
    <row r="981">
      <c r="A981">
        <f>Raw_Data!A981</f>
        <v/>
      </c>
      <c r="B981" s="29">
        <f>Raw_Data!B981</f>
        <v/>
      </c>
      <c r="C981">
        <f>YEAR(B981)</f>
        <v/>
      </c>
      <c r="D981">
        <f>MONTH(B981)</f>
        <v/>
      </c>
      <c r="E981">
        <f>TEXT(B981,"MMM-YYYY")</f>
        <v/>
      </c>
      <c r="F981">
        <f>Raw_Data!C981</f>
        <v/>
      </c>
      <c r="G981">
        <f>Raw_Data!D981</f>
        <v/>
      </c>
      <c r="H981">
        <f>Raw_Data!E981</f>
        <v/>
      </c>
      <c r="I981">
        <f>Raw_Data!F981</f>
        <v/>
      </c>
      <c r="J981">
        <f>Raw_Data!G981</f>
        <v/>
      </c>
      <c r="K981">
        <f>Raw_Data!H981</f>
        <v/>
      </c>
      <c r="L981" s="30">
        <f>Raw_Data!I981</f>
        <v/>
      </c>
      <c r="M981" s="31">
        <f>Raw_Data!J981</f>
        <v/>
      </c>
      <c r="N981" s="17">
        <f>K981*L981</f>
        <v/>
      </c>
      <c r="O981" s="17">
        <f>N981*(1-M981)</f>
        <v/>
      </c>
      <c r="P981" s="17">
        <f>Raw_Data!L981</f>
        <v/>
      </c>
      <c r="Q981" s="17">
        <f>O981-P981</f>
        <v/>
      </c>
      <c r="R981" s="31">
        <f>IF(O981=0,0,Q981/O981)</f>
        <v/>
      </c>
      <c r="S981">
        <f>XLOOKUP(F981,Lookups!$B$7:$B$11,Lookups!$C$7:$C$11,"Unknown")</f>
        <v/>
      </c>
      <c r="T981" s="31">
        <f>XLOOKUP(G981,Lookups!$E$7:$E$11,Lookups!$F$7:$F$11,0)</f>
        <v/>
      </c>
      <c r="U981" s="32">
        <f>R981-T981</f>
        <v/>
      </c>
      <c r="V981">
        <f>XLOOKUP(I981,Lookups!$H$7:$H$10,Lookups!$I$7:$I$10,"")</f>
        <v/>
      </c>
      <c r="W981">
        <f>IF(O981&gt;=50000,"HIGH VALUE","")</f>
        <v/>
      </c>
      <c r="X981">
        <f>IF(Q981&lt;0,"LOSS","")</f>
        <v/>
      </c>
      <c r="Y981">
        <f>IFS(M981&gt;=0.15,"Deep Discount",M981&gt;=0.1,"Moderate",TRUE,"Standard")</f>
        <v/>
      </c>
    </row>
    <row r="982">
      <c r="A982">
        <f>Raw_Data!A982</f>
        <v/>
      </c>
      <c r="B982" s="29">
        <f>Raw_Data!B982</f>
        <v/>
      </c>
      <c r="C982">
        <f>YEAR(B982)</f>
        <v/>
      </c>
      <c r="D982">
        <f>MONTH(B982)</f>
        <v/>
      </c>
      <c r="E982">
        <f>TEXT(B982,"MMM-YYYY")</f>
        <v/>
      </c>
      <c r="F982">
        <f>Raw_Data!C982</f>
        <v/>
      </c>
      <c r="G982">
        <f>Raw_Data!D982</f>
        <v/>
      </c>
      <c r="H982">
        <f>Raw_Data!E982</f>
        <v/>
      </c>
      <c r="I982">
        <f>Raw_Data!F982</f>
        <v/>
      </c>
      <c r="J982">
        <f>Raw_Data!G982</f>
        <v/>
      </c>
      <c r="K982">
        <f>Raw_Data!H982</f>
        <v/>
      </c>
      <c r="L982" s="30">
        <f>Raw_Data!I982</f>
        <v/>
      </c>
      <c r="M982" s="31">
        <f>Raw_Data!J982</f>
        <v/>
      </c>
      <c r="N982" s="17">
        <f>K982*L982</f>
        <v/>
      </c>
      <c r="O982" s="17">
        <f>N982*(1-M982)</f>
        <v/>
      </c>
      <c r="P982" s="17">
        <f>Raw_Data!L982</f>
        <v/>
      </c>
      <c r="Q982" s="17">
        <f>O982-P982</f>
        <v/>
      </c>
      <c r="R982" s="31">
        <f>IF(O982=0,0,Q982/O982)</f>
        <v/>
      </c>
      <c r="S982">
        <f>XLOOKUP(F982,Lookups!$B$7:$B$11,Lookups!$C$7:$C$11,"Unknown")</f>
        <v/>
      </c>
      <c r="T982" s="31">
        <f>XLOOKUP(G982,Lookups!$E$7:$E$11,Lookups!$F$7:$F$11,0)</f>
        <v/>
      </c>
      <c r="U982" s="32">
        <f>R982-T982</f>
        <v/>
      </c>
      <c r="V982">
        <f>XLOOKUP(I982,Lookups!$H$7:$H$10,Lookups!$I$7:$I$10,"")</f>
        <v/>
      </c>
      <c r="W982">
        <f>IF(O982&gt;=50000,"HIGH VALUE","")</f>
        <v/>
      </c>
      <c r="X982">
        <f>IF(Q982&lt;0,"LOSS","")</f>
        <v/>
      </c>
      <c r="Y982">
        <f>IFS(M982&gt;=0.15,"Deep Discount",M982&gt;=0.1,"Moderate",TRUE,"Standard")</f>
        <v/>
      </c>
    </row>
    <row r="983">
      <c r="A983">
        <f>Raw_Data!A983</f>
        <v/>
      </c>
      <c r="B983" s="29">
        <f>Raw_Data!B983</f>
        <v/>
      </c>
      <c r="C983">
        <f>YEAR(B983)</f>
        <v/>
      </c>
      <c r="D983">
        <f>MONTH(B983)</f>
        <v/>
      </c>
      <c r="E983">
        <f>TEXT(B983,"MMM-YYYY")</f>
        <v/>
      </c>
      <c r="F983">
        <f>Raw_Data!C983</f>
        <v/>
      </c>
      <c r="G983">
        <f>Raw_Data!D983</f>
        <v/>
      </c>
      <c r="H983">
        <f>Raw_Data!E983</f>
        <v/>
      </c>
      <c r="I983">
        <f>Raw_Data!F983</f>
        <v/>
      </c>
      <c r="J983">
        <f>Raw_Data!G983</f>
        <v/>
      </c>
      <c r="K983">
        <f>Raw_Data!H983</f>
        <v/>
      </c>
      <c r="L983" s="30">
        <f>Raw_Data!I983</f>
        <v/>
      </c>
      <c r="M983" s="31">
        <f>Raw_Data!J983</f>
        <v/>
      </c>
      <c r="N983" s="17">
        <f>K983*L983</f>
        <v/>
      </c>
      <c r="O983" s="17">
        <f>N983*(1-M983)</f>
        <v/>
      </c>
      <c r="P983" s="17">
        <f>Raw_Data!L983</f>
        <v/>
      </c>
      <c r="Q983" s="17">
        <f>O983-P983</f>
        <v/>
      </c>
      <c r="R983" s="31">
        <f>IF(O983=0,0,Q983/O983)</f>
        <v/>
      </c>
      <c r="S983">
        <f>XLOOKUP(F983,Lookups!$B$7:$B$11,Lookups!$C$7:$C$11,"Unknown")</f>
        <v/>
      </c>
      <c r="T983" s="31">
        <f>XLOOKUP(G983,Lookups!$E$7:$E$11,Lookups!$F$7:$F$11,0)</f>
        <v/>
      </c>
      <c r="U983" s="32">
        <f>R983-T983</f>
        <v/>
      </c>
      <c r="V983">
        <f>XLOOKUP(I983,Lookups!$H$7:$H$10,Lookups!$I$7:$I$10,"")</f>
        <v/>
      </c>
      <c r="W983">
        <f>IF(O983&gt;=50000,"HIGH VALUE","")</f>
        <v/>
      </c>
      <c r="X983">
        <f>IF(Q983&lt;0,"LOSS","")</f>
        <v/>
      </c>
      <c r="Y983">
        <f>IFS(M983&gt;=0.15,"Deep Discount",M983&gt;=0.1,"Moderate",TRUE,"Standard")</f>
        <v/>
      </c>
    </row>
    <row r="984">
      <c r="A984">
        <f>Raw_Data!A984</f>
        <v/>
      </c>
      <c r="B984" s="29">
        <f>Raw_Data!B984</f>
        <v/>
      </c>
      <c r="C984">
        <f>YEAR(B984)</f>
        <v/>
      </c>
      <c r="D984">
        <f>MONTH(B984)</f>
        <v/>
      </c>
      <c r="E984">
        <f>TEXT(B984,"MMM-YYYY")</f>
        <v/>
      </c>
      <c r="F984">
        <f>Raw_Data!C984</f>
        <v/>
      </c>
      <c r="G984">
        <f>Raw_Data!D984</f>
        <v/>
      </c>
      <c r="H984">
        <f>Raw_Data!E984</f>
        <v/>
      </c>
      <c r="I984">
        <f>Raw_Data!F984</f>
        <v/>
      </c>
      <c r="J984">
        <f>Raw_Data!G984</f>
        <v/>
      </c>
      <c r="K984">
        <f>Raw_Data!H984</f>
        <v/>
      </c>
      <c r="L984" s="30">
        <f>Raw_Data!I984</f>
        <v/>
      </c>
      <c r="M984" s="31">
        <f>Raw_Data!J984</f>
        <v/>
      </c>
      <c r="N984" s="17">
        <f>K984*L984</f>
        <v/>
      </c>
      <c r="O984" s="17">
        <f>N984*(1-M984)</f>
        <v/>
      </c>
      <c r="P984" s="17">
        <f>Raw_Data!L984</f>
        <v/>
      </c>
      <c r="Q984" s="17">
        <f>O984-P984</f>
        <v/>
      </c>
      <c r="R984" s="31">
        <f>IF(O984=0,0,Q984/O984)</f>
        <v/>
      </c>
      <c r="S984">
        <f>XLOOKUP(F984,Lookups!$B$7:$B$11,Lookups!$C$7:$C$11,"Unknown")</f>
        <v/>
      </c>
      <c r="T984" s="31">
        <f>XLOOKUP(G984,Lookups!$E$7:$E$11,Lookups!$F$7:$F$11,0)</f>
        <v/>
      </c>
      <c r="U984" s="32">
        <f>R984-T984</f>
        <v/>
      </c>
      <c r="V984">
        <f>XLOOKUP(I984,Lookups!$H$7:$H$10,Lookups!$I$7:$I$10,"")</f>
        <v/>
      </c>
      <c r="W984">
        <f>IF(O984&gt;=50000,"HIGH VALUE","")</f>
        <v/>
      </c>
      <c r="X984">
        <f>IF(Q984&lt;0,"LOSS","")</f>
        <v/>
      </c>
      <c r="Y984">
        <f>IFS(M984&gt;=0.15,"Deep Discount",M984&gt;=0.1,"Moderate",TRUE,"Standard")</f>
        <v/>
      </c>
    </row>
    <row r="985">
      <c r="A985">
        <f>Raw_Data!A985</f>
        <v/>
      </c>
      <c r="B985" s="29">
        <f>Raw_Data!B985</f>
        <v/>
      </c>
      <c r="C985">
        <f>YEAR(B985)</f>
        <v/>
      </c>
      <c r="D985">
        <f>MONTH(B985)</f>
        <v/>
      </c>
      <c r="E985">
        <f>TEXT(B985,"MMM-YYYY")</f>
        <v/>
      </c>
      <c r="F985">
        <f>Raw_Data!C985</f>
        <v/>
      </c>
      <c r="G985">
        <f>Raw_Data!D985</f>
        <v/>
      </c>
      <c r="H985">
        <f>Raw_Data!E985</f>
        <v/>
      </c>
      <c r="I985">
        <f>Raw_Data!F985</f>
        <v/>
      </c>
      <c r="J985">
        <f>Raw_Data!G985</f>
        <v/>
      </c>
      <c r="K985">
        <f>Raw_Data!H985</f>
        <v/>
      </c>
      <c r="L985" s="30">
        <f>Raw_Data!I985</f>
        <v/>
      </c>
      <c r="M985" s="31">
        <f>Raw_Data!J985</f>
        <v/>
      </c>
      <c r="N985" s="17">
        <f>K985*L985</f>
        <v/>
      </c>
      <c r="O985" s="17">
        <f>N985*(1-M985)</f>
        <v/>
      </c>
      <c r="P985" s="17">
        <f>Raw_Data!L985</f>
        <v/>
      </c>
      <c r="Q985" s="17">
        <f>O985-P985</f>
        <v/>
      </c>
      <c r="R985" s="31">
        <f>IF(O985=0,0,Q985/O985)</f>
        <v/>
      </c>
      <c r="S985">
        <f>XLOOKUP(F985,Lookups!$B$7:$B$11,Lookups!$C$7:$C$11,"Unknown")</f>
        <v/>
      </c>
      <c r="T985" s="31">
        <f>XLOOKUP(G985,Lookups!$E$7:$E$11,Lookups!$F$7:$F$11,0)</f>
        <v/>
      </c>
      <c r="U985" s="32">
        <f>R985-T985</f>
        <v/>
      </c>
      <c r="V985">
        <f>XLOOKUP(I985,Lookups!$H$7:$H$10,Lookups!$I$7:$I$10,"")</f>
        <v/>
      </c>
      <c r="W985">
        <f>IF(O985&gt;=50000,"HIGH VALUE","")</f>
        <v/>
      </c>
      <c r="X985">
        <f>IF(Q985&lt;0,"LOSS","")</f>
        <v/>
      </c>
      <c r="Y985">
        <f>IFS(M985&gt;=0.15,"Deep Discount",M985&gt;=0.1,"Moderate",TRUE,"Standard")</f>
        <v/>
      </c>
    </row>
    <row r="986">
      <c r="A986">
        <f>Raw_Data!A986</f>
        <v/>
      </c>
      <c r="B986" s="29">
        <f>Raw_Data!B986</f>
        <v/>
      </c>
      <c r="C986">
        <f>YEAR(B986)</f>
        <v/>
      </c>
      <c r="D986">
        <f>MONTH(B986)</f>
        <v/>
      </c>
      <c r="E986">
        <f>TEXT(B986,"MMM-YYYY")</f>
        <v/>
      </c>
      <c r="F986">
        <f>Raw_Data!C986</f>
        <v/>
      </c>
      <c r="G986">
        <f>Raw_Data!D986</f>
        <v/>
      </c>
      <c r="H986">
        <f>Raw_Data!E986</f>
        <v/>
      </c>
      <c r="I986">
        <f>Raw_Data!F986</f>
        <v/>
      </c>
      <c r="J986">
        <f>Raw_Data!G986</f>
        <v/>
      </c>
      <c r="K986">
        <f>Raw_Data!H986</f>
        <v/>
      </c>
      <c r="L986" s="30">
        <f>Raw_Data!I986</f>
        <v/>
      </c>
      <c r="M986" s="31">
        <f>Raw_Data!J986</f>
        <v/>
      </c>
      <c r="N986" s="17">
        <f>K986*L986</f>
        <v/>
      </c>
      <c r="O986" s="17">
        <f>N986*(1-M986)</f>
        <v/>
      </c>
      <c r="P986" s="17">
        <f>Raw_Data!L986</f>
        <v/>
      </c>
      <c r="Q986" s="17">
        <f>O986-P986</f>
        <v/>
      </c>
      <c r="R986" s="31">
        <f>IF(O986=0,0,Q986/O986)</f>
        <v/>
      </c>
      <c r="S986">
        <f>XLOOKUP(F986,Lookups!$B$7:$B$11,Lookups!$C$7:$C$11,"Unknown")</f>
        <v/>
      </c>
      <c r="T986" s="31">
        <f>XLOOKUP(G986,Lookups!$E$7:$E$11,Lookups!$F$7:$F$11,0)</f>
        <v/>
      </c>
      <c r="U986" s="32">
        <f>R986-T986</f>
        <v/>
      </c>
      <c r="V986">
        <f>XLOOKUP(I986,Lookups!$H$7:$H$10,Lookups!$I$7:$I$10,"")</f>
        <v/>
      </c>
      <c r="W986">
        <f>IF(O986&gt;=50000,"HIGH VALUE","")</f>
        <v/>
      </c>
      <c r="X986">
        <f>IF(Q986&lt;0,"LOSS","")</f>
        <v/>
      </c>
      <c r="Y986">
        <f>IFS(M986&gt;=0.15,"Deep Discount",M986&gt;=0.1,"Moderate",TRUE,"Standard")</f>
        <v/>
      </c>
    </row>
    <row r="987">
      <c r="A987">
        <f>Raw_Data!A987</f>
        <v/>
      </c>
      <c r="B987" s="29">
        <f>Raw_Data!B987</f>
        <v/>
      </c>
      <c r="C987">
        <f>YEAR(B987)</f>
        <v/>
      </c>
      <c r="D987">
        <f>MONTH(B987)</f>
        <v/>
      </c>
      <c r="E987">
        <f>TEXT(B987,"MMM-YYYY")</f>
        <v/>
      </c>
      <c r="F987">
        <f>Raw_Data!C987</f>
        <v/>
      </c>
      <c r="G987">
        <f>Raw_Data!D987</f>
        <v/>
      </c>
      <c r="H987">
        <f>Raw_Data!E987</f>
        <v/>
      </c>
      <c r="I987">
        <f>Raw_Data!F987</f>
        <v/>
      </c>
      <c r="J987">
        <f>Raw_Data!G987</f>
        <v/>
      </c>
      <c r="K987">
        <f>Raw_Data!H987</f>
        <v/>
      </c>
      <c r="L987" s="30">
        <f>Raw_Data!I987</f>
        <v/>
      </c>
      <c r="M987" s="31">
        <f>Raw_Data!J987</f>
        <v/>
      </c>
      <c r="N987" s="17">
        <f>K987*L987</f>
        <v/>
      </c>
      <c r="O987" s="17">
        <f>N987*(1-M987)</f>
        <v/>
      </c>
      <c r="P987" s="17">
        <f>Raw_Data!L987</f>
        <v/>
      </c>
      <c r="Q987" s="17">
        <f>O987-P987</f>
        <v/>
      </c>
      <c r="R987" s="31">
        <f>IF(O987=0,0,Q987/O987)</f>
        <v/>
      </c>
      <c r="S987">
        <f>XLOOKUP(F987,Lookups!$B$7:$B$11,Lookups!$C$7:$C$11,"Unknown")</f>
        <v/>
      </c>
      <c r="T987" s="31">
        <f>XLOOKUP(G987,Lookups!$E$7:$E$11,Lookups!$F$7:$F$11,0)</f>
        <v/>
      </c>
      <c r="U987" s="32">
        <f>R987-T987</f>
        <v/>
      </c>
      <c r="V987">
        <f>XLOOKUP(I987,Lookups!$H$7:$H$10,Lookups!$I$7:$I$10,"")</f>
        <v/>
      </c>
      <c r="W987">
        <f>IF(O987&gt;=50000,"HIGH VALUE","")</f>
        <v/>
      </c>
      <c r="X987">
        <f>IF(Q987&lt;0,"LOSS","")</f>
        <v/>
      </c>
      <c r="Y987">
        <f>IFS(M987&gt;=0.15,"Deep Discount",M987&gt;=0.1,"Moderate",TRUE,"Standard")</f>
        <v/>
      </c>
    </row>
    <row r="988">
      <c r="A988">
        <f>Raw_Data!A988</f>
        <v/>
      </c>
      <c r="B988" s="29">
        <f>Raw_Data!B988</f>
        <v/>
      </c>
      <c r="C988">
        <f>YEAR(B988)</f>
        <v/>
      </c>
      <c r="D988">
        <f>MONTH(B988)</f>
        <v/>
      </c>
      <c r="E988">
        <f>TEXT(B988,"MMM-YYYY")</f>
        <v/>
      </c>
      <c r="F988">
        <f>Raw_Data!C988</f>
        <v/>
      </c>
      <c r="G988">
        <f>Raw_Data!D988</f>
        <v/>
      </c>
      <c r="H988">
        <f>Raw_Data!E988</f>
        <v/>
      </c>
      <c r="I988">
        <f>Raw_Data!F988</f>
        <v/>
      </c>
      <c r="J988">
        <f>Raw_Data!G988</f>
        <v/>
      </c>
      <c r="K988">
        <f>Raw_Data!H988</f>
        <v/>
      </c>
      <c r="L988" s="30">
        <f>Raw_Data!I988</f>
        <v/>
      </c>
      <c r="M988" s="31">
        <f>Raw_Data!J988</f>
        <v/>
      </c>
      <c r="N988" s="17">
        <f>K988*L988</f>
        <v/>
      </c>
      <c r="O988" s="17">
        <f>N988*(1-M988)</f>
        <v/>
      </c>
      <c r="P988" s="17">
        <f>Raw_Data!L988</f>
        <v/>
      </c>
      <c r="Q988" s="17">
        <f>O988-P988</f>
        <v/>
      </c>
      <c r="R988" s="31">
        <f>IF(O988=0,0,Q988/O988)</f>
        <v/>
      </c>
      <c r="S988">
        <f>XLOOKUP(F988,Lookups!$B$7:$B$11,Lookups!$C$7:$C$11,"Unknown")</f>
        <v/>
      </c>
      <c r="T988" s="31">
        <f>XLOOKUP(G988,Lookups!$E$7:$E$11,Lookups!$F$7:$F$11,0)</f>
        <v/>
      </c>
      <c r="U988" s="32">
        <f>R988-T988</f>
        <v/>
      </c>
      <c r="V988">
        <f>XLOOKUP(I988,Lookups!$H$7:$H$10,Lookups!$I$7:$I$10,"")</f>
        <v/>
      </c>
      <c r="W988">
        <f>IF(O988&gt;=50000,"HIGH VALUE","")</f>
        <v/>
      </c>
      <c r="X988">
        <f>IF(Q988&lt;0,"LOSS","")</f>
        <v/>
      </c>
      <c r="Y988">
        <f>IFS(M988&gt;=0.15,"Deep Discount",M988&gt;=0.1,"Moderate",TRUE,"Standard")</f>
        <v/>
      </c>
    </row>
    <row r="989">
      <c r="A989">
        <f>Raw_Data!A989</f>
        <v/>
      </c>
      <c r="B989" s="29">
        <f>Raw_Data!B989</f>
        <v/>
      </c>
      <c r="C989">
        <f>YEAR(B989)</f>
        <v/>
      </c>
      <c r="D989">
        <f>MONTH(B989)</f>
        <v/>
      </c>
      <c r="E989">
        <f>TEXT(B989,"MMM-YYYY")</f>
        <v/>
      </c>
      <c r="F989">
        <f>Raw_Data!C989</f>
        <v/>
      </c>
      <c r="G989">
        <f>Raw_Data!D989</f>
        <v/>
      </c>
      <c r="H989">
        <f>Raw_Data!E989</f>
        <v/>
      </c>
      <c r="I989">
        <f>Raw_Data!F989</f>
        <v/>
      </c>
      <c r="J989">
        <f>Raw_Data!G989</f>
        <v/>
      </c>
      <c r="K989">
        <f>Raw_Data!H989</f>
        <v/>
      </c>
      <c r="L989" s="30">
        <f>Raw_Data!I989</f>
        <v/>
      </c>
      <c r="M989" s="31">
        <f>Raw_Data!J989</f>
        <v/>
      </c>
      <c r="N989" s="17">
        <f>K989*L989</f>
        <v/>
      </c>
      <c r="O989" s="17">
        <f>N989*(1-M989)</f>
        <v/>
      </c>
      <c r="P989" s="17">
        <f>Raw_Data!L989</f>
        <v/>
      </c>
      <c r="Q989" s="17">
        <f>O989-P989</f>
        <v/>
      </c>
      <c r="R989" s="31">
        <f>IF(O989=0,0,Q989/O989)</f>
        <v/>
      </c>
      <c r="S989">
        <f>XLOOKUP(F989,Lookups!$B$7:$B$11,Lookups!$C$7:$C$11,"Unknown")</f>
        <v/>
      </c>
      <c r="T989" s="31">
        <f>XLOOKUP(G989,Lookups!$E$7:$E$11,Lookups!$F$7:$F$11,0)</f>
        <v/>
      </c>
      <c r="U989" s="32">
        <f>R989-T989</f>
        <v/>
      </c>
      <c r="V989">
        <f>XLOOKUP(I989,Lookups!$H$7:$H$10,Lookups!$I$7:$I$10,"")</f>
        <v/>
      </c>
      <c r="W989">
        <f>IF(O989&gt;=50000,"HIGH VALUE","")</f>
        <v/>
      </c>
      <c r="X989">
        <f>IF(Q989&lt;0,"LOSS","")</f>
        <v/>
      </c>
      <c r="Y989">
        <f>IFS(M989&gt;=0.15,"Deep Discount",M989&gt;=0.1,"Moderate",TRUE,"Standard")</f>
        <v/>
      </c>
    </row>
    <row r="990">
      <c r="A990">
        <f>Raw_Data!A990</f>
        <v/>
      </c>
      <c r="B990" s="29">
        <f>Raw_Data!B990</f>
        <v/>
      </c>
      <c r="C990">
        <f>YEAR(B990)</f>
        <v/>
      </c>
      <c r="D990">
        <f>MONTH(B990)</f>
        <v/>
      </c>
      <c r="E990">
        <f>TEXT(B990,"MMM-YYYY")</f>
        <v/>
      </c>
      <c r="F990">
        <f>Raw_Data!C990</f>
        <v/>
      </c>
      <c r="G990">
        <f>Raw_Data!D990</f>
        <v/>
      </c>
      <c r="H990">
        <f>Raw_Data!E990</f>
        <v/>
      </c>
      <c r="I990">
        <f>Raw_Data!F990</f>
        <v/>
      </c>
      <c r="J990">
        <f>Raw_Data!G990</f>
        <v/>
      </c>
      <c r="K990">
        <f>Raw_Data!H990</f>
        <v/>
      </c>
      <c r="L990" s="30">
        <f>Raw_Data!I990</f>
        <v/>
      </c>
      <c r="M990" s="31">
        <f>Raw_Data!J990</f>
        <v/>
      </c>
      <c r="N990" s="17">
        <f>K990*L990</f>
        <v/>
      </c>
      <c r="O990" s="17">
        <f>N990*(1-M990)</f>
        <v/>
      </c>
      <c r="P990" s="17">
        <f>Raw_Data!L990</f>
        <v/>
      </c>
      <c r="Q990" s="17">
        <f>O990-P990</f>
        <v/>
      </c>
      <c r="R990" s="31">
        <f>IF(O990=0,0,Q990/O990)</f>
        <v/>
      </c>
      <c r="S990">
        <f>XLOOKUP(F990,Lookups!$B$7:$B$11,Lookups!$C$7:$C$11,"Unknown")</f>
        <v/>
      </c>
      <c r="T990" s="31">
        <f>XLOOKUP(G990,Lookups!$E$7:$E$11,Lookups!$F$7:$F$11,0)</f>
        <v/>
      </c>
      <c r="U990" s="32">
        <f>R990-T990</f>
        <v/>
      </c>
      <c r="V990">
        <f>XLOOKUP(I990,Lookups!$H$7:$H$10,Lookups!$I$7:$I$10,"")</f>
        <v/>
      </c>
      <c r="W990">
        <f>IF(O990&gt;=50000,"HIGH VALUE","")</f>
        <v/>
      </c>
      <c r="X990">
        <f>IF(Q990&lt;0,"LOSS","")</f>
        <v/>
      </c>
      <c r="Y990">
        <f>IFS(M990&gt;=0.15,"Deep Discount",M990&gt;=0.1,"Moderate",TRUE,"Standard")</f>
        <v/>
      </c>
    </row>
    <row r="991">
      <c r="A991">
        <f>Raw_Data!A991</f>
        <v/>
      </c>
      <c r="B991" s="29">
        <f>Raw_Data!B991</f>
        <v/>
      </c>
      <c r="C991">
        <f>YEAR(B991)</f>
        <v/>
      </c>
      <c r="D991">
        <f>MONTH(B991)</f>
        <v/>
      </c>
      <c r="E991">
        <f>TEXT(B991,"MMM-YYYY")</f>
        <v/>
      </c>
      <c r="F991">
        <f>Raw_Data!C991</f>
        <v/>
      </c>
      <c r="G991">
        <f>Raw_Data!D991</f>
        <v/>
      </c>
      <c r="H991">
        <f>Raw_Data!E991</f>
        <v/>
      </c>
      <c r="I991">
        <f>Raw_Data!F991</f>
        <v/>
      </c>
      <c r="J991">
        <f>Raw_Data!G991</f>
        <v/>
      </c>
      <c r="K991">
        <f>Raw_Data!H991</f>
        <v/>
      </c>
      <c r="L991" s="30">
        <f>Raw_Data!I991</f>
        <v/>
      </c>
      <c r="M991" s="31">
        <f>Raw_Data!J991</f>
        <v/>
      </c>
      <c r="N991" s="17">
        <f>K991*L991</f>
        <v/>
      </c>
      <c r="O991" s="17">
        <f>N991*(1-M991)</f>
        <v/>
      </c>
      <c r="P991" s="17">
        <f>Raw_Data!L991</f>
        <v/>
      </c>
      <c r="Q991" s="17">
        <f>O991-P991</f>
        <v/>
      </c>
      <c r="R991" s="31">
        <f>IF(O991=0,0,Q991/O991)</f>
        <v/>
      </c>
      <c r="S991">
        <f>XLOOKUP(F991,Lookups!$B$7:$B$11,Lookups!$C$7:$C$11,"Unknown")</f>
        <v/>
      </c>
      <c r="T991" s="31">
        <f>XLOOKUP(G991,Lookups!$E$7:$E$11,Lookups!$F$7:$F$11,0)</f>
        <v/>
      </c>
      <c r="U991" s="32">
        <f>R991-T991</f>
        <v/>
      </c>
      <c r="V991">
        <f>XLOOKUP(I991,Lookups!$H$7:$H$10,Lookups!$I$7:$I$10,"")</f>
        <v/>
      </c>
      <c r="W991">
        <f>IF(O991&gt;=50000,"HIGH VALUE","")</f>
        <v/>
      </c>
      <c r="X991">
        <f>IF(Q991&lt;0,"LOSS","")</f>
        <v/>
      </c>
      <c r="Y991">
        <f>IFS(M991&gt;=0.15,"Deep Discount",M991&gt;=0.1,"Moderate",TRUE,"Standard")</f>
        <v/>
      </c>
    </row>
    <row r="992">
      <c r="A992">
        <f>Raw_Data!A992</f>
        <v/>
      </c>
      <c r="B992" s="29">
        <f>Raw_Data!B992</f>
        <v/>
      </c>
      <c r="C992">
        <f>YEAR(B992)</f>
        <v/>
      </c>
      <c r="D992">
        <f>MONTH(B992)</f>
        <v/>
      </c>
      <c r="E992">
        <f>TEXT(B992,"MMM-YYYY")</f>
        <v/>
      </c>
      <c r="F992">
        <f>Raw_Data!C992</f>
        <v/>
      </c>
      <c r="G992">
        <f>Raw_Data!D992</f>
        <v/>
      </c>
      <c r="H992">
        <f>Raw_Data!E992</f>
        <v/>
      </c>
      <c r="I992">
        <f>Raw_Data!F992</f>
        <v/>
      </c>
      <c r="J992">
        <f>Raw_Data!G992</f>
        <v/>
      </c>
      <c r="K992">
        <f>Raw_Data!H992</f>
        <v/>
      </c>
      <c r="L992" s="30">
        <f>Raw_Data!I992</f>
        <v/>
      </c>
      <c r="M992" s="31">
        <f>Raw_Data!J992</f>
        <v/>
      </c>
      <c r="N992" s="17">
        <f>K992*L992</f>
        <v/>
      </c>
      <c r="O992" s="17">
        <f>N992*(1-M992)</f>
        <v/>
      </c>
      <c r="P992" s="17">
        <f>Raw_Data!L992</f>
        <v/>
      </c>
      <c r="Q992" s="17">
        <f>O992-P992</f>
        <v/>
      </c>
      <c r="R992" s="31">
        <f>IF(O992=0,0,Q992/O992)</f>
        <v/>
      </c>
      <c r="S992">
        <f>XLOOKUP(F992,Lookups!$B$7:$B$11,Lookups!$C$7:$C$11,"Unknown")</f>
        <v/>
      </c>
      <c r="T992" s="31">
        <f>XLOOKUP(G992,Lookups!$E$7:$E$11,Lookups!$F$7:$F$11,0)</f>
        <v/>
      </c>
      <c r="U992" s="32">
        <f>R992-T992</f>
        <v/>
      </c>
      <c r="V992">
        <f>XLOOKUP(I992,Lookups!$H$7:$H$10,Lookups!$I$7:$I$10,"")</f>
        <v/>
      </c>
      <c r="W992">
        <f>IF(O992&gt;=50000,"HIGH VALUE","")</f>
        <v/>
      </c>
      <c r="X992">
        <f>IF(Q992&lt;0,"LOSS","")</f>
        <v/>
      </c>
      <c r="Y992">
        <f>IFS(M992&gt;=0.15,"Deep Discount",M992&gt;=0.1,"Moderate",TRUE,"Standard")</f>
        <v/>
      </c>
    </row>
    <row r="993">
      <c r="A993">
        <f>Raw_Data!A993</f>
        <v/>
      </c>
      <c r="B993" s="29">
        <f>Raw_Data!B993</f>
        <v/>
      </c>
      <c r="C993">
        <f>YEAR(B993)</f>
        <v/>
      </c>
      <c r="D993">
        <f>MONTH(B993)</f>
        <v/>
      </c>
      <c r="E993">
        <f>TEXT(B993,"MMM-YYYY")</f>
        <v/>
      </c>
      <c r="F993">
        <f>Raw_Data!C993</f>
        <v/>
      </c>
      <c r="G993">
        <f>Raw_Data!D993</f>
        <v/>
      </c>
      <c r="H993">
        <f>Raw_Data!E993</f>
        <v/>
      </c>
      <c r="I993">
        <f>Raw_Data!F993</f>
        <v/>
      </c>
      <c r="J993">
        <f>Raw_Data!G993</f>
        <v/>
      </c>
      <c r="K993">
        <f>Raw_Data!H993</f>
        <v/>
      </c>
      <c r="L993" s="30">
        <f>Raw_Data!I993</f>
        <v/>
      </c>
      <c r="M993" s="31">
        <f>Raw_Data!J993</f>
        <v/>
      </c>
      <c r="N993" s="17">
        <f>K993*L993</f>
        <v/>
      </c>
      <c r="O993" s="17">
        <f>N993*(1-M993)</f>
        <v/>
      </c>
      <c r="P993" s="17">
        <f>Raw_Data!L993</f>
        <v/>
      </c>
      <c r="Q993" s="17">
        <f>O993-P993</f>
        <v/>
      </c>
      <c r="R993" s="31">
        <f>IF(O993=0,0,Q993/O993)</f>
        <v/>
      </c>
      <c r="S993">
        <f>XLOOKUP(F993,Lookups!$B$7:$B$11,Lookups!$C$7:$C$11,"Unknown")</f>
        <v/>
      </c>
      <c r="T993" s="31">
        <f>XLOOKUP(G993,Lookups!$E$7:$E$11,Lookups!$F$7:$F$11,0)</f>
        <v/>
      </c>
      <c r="U993" s="32">
        <f>R993-T993</f>
        <v/>
      </c>
      <c r="V993">
        <f>XLOOKUP(I993,Lookups!$H$7:$H$10,Lookups!$I$7:$I$10,"")</f>
        <v/>
      </c>
      <c r="W993">
        <f>IF(O993&gt;=50000,"HIGH VALUE","")</f>
        <v/>
      </c>
      <c r="X993">
        <f>IF(Q993&lt;0,"LOSS","")</f>
        <v/>
      </c>
      <c r="Y993">
        <f>IFS(M993&gt;=0.15,"Deep Discount",M993&gt;=0.1,"Moderate",TRUE,"Standard")</f>
        <v/>
      </c>
    </row>
    <row r="994">
      <c r="A994">
        <f>Raw_Data!A994</f>
        <v/>
      </c>
      <c r="B994" s="29">
        <f>Raw_Data!B994</f>
        <v/>
      </c>
      <c r="C994">
        <f>YEAR(B994)</f>
        <v/>
      </c>
      <c r="D994">
        <f>MONTH(B994)</f>
        <v/>
      </c>
      <c r="E994">
        <f>TEXT(B994,"MMM-YYYY")</f>
        <v/>
      </c>
      <c r="F994">
        <f>Raw_Data!C994</f>
        <v/>
      </c>
      <c r="G994">
        <f>Raw_Data!D994</f>
        <v/>
      </c>
      <c r="H994">
        <f>Raw_Data!E994</f>
        <v/>
      </c>
      <c r="I994">
        <f>Raw_Data!F994</f>
        <v/>
      </c>
      <c r="J994">
        <f>Raw_Data!G994</f>
        <v/>
      </c>
      <c r="K994">
        <f>Raw_Data!H994</f>
        <v/>
      </c>
      <c r="L994" s="30">
        <f>Raw_Data!I994</f>
        <v/>
      </c>
      <c r="M994" s="31">
        <f>Raw_Data!J994</f>
        <v/>
      </c>
      <c r="N994" s="17">
        <f>K994*L994</f>
        <v/>
      </c>
      <c r="O994" s="17">
        <f>N994*(1-M994)</f>
        <v/>
      </c>
      <c r="P994" s="17">
        <f>Raw_Data!L994</f>
        <v/>
      </c>
      <c r="Q994" s="17">
        <f>O994-P994</f>
        <v/>
      </c>
      <c r="R994" s="31">
        <f>IF(O994=0,0,Q994/O994)</f>
        <v/>
      </c>
      <c r="S994">
        <f>XLOOKUP(F994,Lookups!$B$7:$B$11,Lookups!$C$7:$C$11,"Unknown")</f>
        <v/>
      </c>
      <c r="T994" s="31">
        <f>XLOOKUP(G994,Lookups!$E$7:$E$11,Lookups!$F$7:$F$11,0)</f>
        <v/>
      </c>
      <c r="U994" s="32">
        <f>R994-T994</f>
        <v/>
      </c>
      <c r="V994">
        <f>XLOOKUP(I994,Lookups!$H$7:$H$10,Lookups!$I$7:$I$10,"")</f>
        <v/>
      </c>
      <c r="W994">
        <f>IF(O994&gt;=50000,"HIGH VALUE","")</f>
        <v/>
      </c>
      <c r="X994">
        <f>IF(Q994&lt;0,"LOSS","")</f>
        <v/>
      </c>
      <c r="Y994">
        <f>IFS(M994&gt;=0.15,"Deep Discount",M994&gt;=0.1,"Moderate",TRUE,"Standard")</f>
        <v/>
      </c>
    </row>
    <row r="995">
      <c r="A995">
        <f>Raw_Data!A995</f>
        <v/>
      </c>
      <c r="B995" s="29">
        <f>Raw_Data!B995</f>
        <v/>
      </c>
      <c r="C995">
        <f>YEAR(B995)</f>
        <v/>
      </c>
      <c r="D995">
        <f>MONTH(B995)</f>
        <v/>
      </c>
      <c r="E995">
        <f>TEXT(B995,"MMM-YYYY")</f>
        <v/>
      </c>
      <c r="F995">
        <f>Raw_Data!C995</f>
        <v/>
      </c>
      <c r="G995">
        <f>Raw_Data!D995</f>
        <v/>
      </c>
      <c r="H995">
        <f>Raw_Data!E995</f>
        <v/>
      </c>
      <c r="I995">
        <f>Raw_Data!F995</f>
        <v/>
      </c>
      <c r="J995">
        <f>Raw_Data!G995</f>
        <v/>
      </c>
      <c r="K995">
        <f>Raw_Data!H995</f>
        <v/>
      </c>
      <c r="L995" s="30">
        <f>Raw_Data!I995</f>
        <v/>
      </c>
      <c r="M995" s="31">
        <f>Raw_Data!J995</f>
        <v/>
      </c>
      <c r="N995" s="17">
        <f>K995*L995</f>
        <v/>
      </c>
      <c r="O995" s="17">
        <f>N995*(1-M995)</f>
        <v/>
      </c>
      <c r="P995" s="17">
        <f>Raw_Data!L995</f>
        <v/>
      </c>
      <c r="Q995" s="17">
        <f>O995-P995</f>
        <v/>
      </c>
      <c r="R995" s="31">
        <f>IF(O995=0,0,Q995/O995)</f>
        <v/>
      </c>
      <c r="S995">
        <f>XLOOKUP(F995,Lookups!$B$7:$B$11,Lookups!$C$7:$C$11,"Unknown")</f>
        <v/>
      </c>
      <c r="T995" s="31">
        <f>XLOOKUP(G995,Lookups!$E$7:$E$11,Lookups!$F$7:$F$11,0)</f>
        <v/>
      </c>
      <c r="U995" s="32">
        <f>R995-T995</f>
        <v/>
      </c>
      <c r="V995">
        <f>XLOOKUP(I995,Lookups!$H$7:$H$10,Lookups!$I$7:$I$10,"")</f>
        <v/>
      </c>
      <c r="W995">
        <f>IF(O995&gt;=50000,"HIGH VALUE","")</f>
        <v/>
      </c>
      <c r="X995">
        <f>IF(Q995&lt;0,"LOSS","")</f>
        <v/>
      </c>
      <c r="Y995">
        <f>IFS(M995&gt;=0.15,"Deep Discount",M995&gt;=0.1,"Moderate",TRUE,"Standard")</f>
        <v/>
      </c>
    </row>
    <row r="996">
      <c r="A996">
        <f>Raw_Data!A996</f>
        <v/>
      </c>
      <c r="B996" s="29">
        <f>Raw_Data!B996</f>
        <v/>
      </c>
      <c r="C996">
        <f>YEAR(B996)</f>
        <v/>
      </c>
      <c r="D996">
        <f>MONTH(B996)</f>
        <v/>
      </c>
      <c r="E996">
        <f>TEXT(B996,"MMM-YYYY")</f>
        <v/>
      </c>
      <c r="F996">
        <f>Raw_Data!C996</f>
        <v/>
      </c>
      <c r="G996">
        <f>Raw_Data!D996</f>
        <v/>
      </c>
      <c r="H996">
        <f>Raw_Data!E996</f>
        <v/>
      </c>
      <c r="I996">
        <f>Raw_Data!F996</f>
        <v/>
      </c>
      <c r="J996">
        <f>Raw_Data!G996</f>
        <v/>
      </c>
      <c r="K996">
        <f>Raw_Data!H996</f>
        <v/>
      </c>
      <c r="L996" s="30">
        <f>Raw_Data!I996</f>
        <v/>
      </c>
      <c r="M996" s="31">
        <f>Raw_Data!J996</f>
        <v/>
      </c>
      <c r="N996" s="17">
        <f>K996*L996</f>
        <v/>
      </c>
      <c r="O996" s="17">
        <f>N996*(1-M996)</f>
        <v/>
      </c>
      <c r="P996" s="17">
        <f>Raw_Data!L996</f>
        <v/>
      </c>
      <c r="Q996" s="17">
        <f>O996-P996</f>
        <v/>
      </c>
      <c r="R996" s="31">
        <f>IF(O996=0,0,Q996/O996)</f>
        <v/>
      </c>
      <c r="S996">
        <f>XLOOKUP(F996,Lookups!$B$7:$B$11,Lookups!$C$7:$C$11,"Unknown")</f>
        <v/>
      </c>
      <c r="T996" s="31">
        <f>XLOOKUP(G996,Lookups!$E$7:$E$11,Lookups!$F$7:$F$11,0)</f>
        <v/>
      </c>
      <c r="U996" s="32">
        <f>R996-T996</f>
        <v/>
      </c>
      <c r="V996">
        <f>XLOOKUP(I996,Lookups!$H$7:$H$10,Lookups!$I$7:$I$10,"")</f>
        <v/>
      </c>
      <c r="W996">
        <f>IF(O996&gt;=50000,"HIGH VALUE","")</f>
        <v/>
      </c>
      <c r="X996">
        <f>IF(Q996&lt;0,"LOSS","")</f>
        <v/>
      </c>
      <c r="Y996">
        <f>IFS(M996&gt;=0.15,"Deep Discount",M996&gt;=0.1,"Moderate",TRUE,"Standard")</f>
        <v/>
      </c>
    </row>
    <row r="997">
      <c r="A997">
        <f>Raw_Data!A997</f>
        <v/>
      </c>
      <c r="B997" s="29">
        <f>Raw_Data!B997</f>
        <v/>
      </c>
      <c r="C997">
        <f>YEAR(B997)</f>
        <v/>
      </c>
      <c r="D997">
        <f>MONTH(B997)</f>
        <v/>
      </c>
      <c r="E997">
        <f>TEXT(B997,"MMM-YYYY")</f>
        <v/>
      </c>
      <c r="F997">
        <f>Raw_Data!C997</f>
        <v/>
      </c>
      <c r="G997">
        <f>Raw_Data!D997</f>
        <v/>
      </c>
      <c r="H997">
        <f>Raw_Data!E997</f>
        <v/>
      </c>
      <c r="I997">
        <f>Raw_Data!F997</f>
        <v/>
      </c>
      <c r="J997">
        <f>Raw_Data!G997</f>
        <v/>
      </c>
      <c r="K997">
        <f>Raw_Data!H997</f>
        <v/>
      </c>
      <c r="L997" s="30">
        <f>Raw_Data!I997</f>
        <v/>
      </c>
      <c r="M997" s="31">
        <f>Raw_Data!J997</f>
        <v/>
      </c>
      <c r="N997" s="17">
        <f>K997*L997</f>
        <v/>
      </c>
      <c r="O997" s="17">
        <f>N997*(1-M997)</f>
        <v/>
      </c>
      <c r="P997" s="17">
        <f>Raw_Data!L997</f>
        <v/>
      </c>
      <c r="Q997" s="17">
        <f>O997-P997</f>
        <v/>
      </c>
      <c r="R997" s="31">
        <f>IF(O997=0,0,Q997/O997)</f>
        <v/>
      </c>
      <c r="S997">
        <f>XLOOKUP(F997,Lookups!$B$7:$B$11,Lookups!$C$7:$C$11,"Unknown")</f>
        <v/>
      </c>
      <c r="T997" s="31">
        <f>XLOOKUP(G997,Lookups!$E$7:$E$11,Lookups!$F$7:$F$11,0)</f>
        <v/>
      </c>
      <c r="U997" s="32">
        <f>R997-T997</f>
        <v/>
      </c>
      <c r="V997">
        <f>XLOOKUP(I997,Lookups!$H$7:$H$10,Lookups!$I$7:$I$10,"")</f>
        <v/>
      </c>
      <c r="W997">
        <f>IF(O997&gt;=50000,"HIGH VALUE","")</f>
        <v/>
      </c>
      <c r="X997">
        <f>IF(Q997&lt;0,"LOSS","")</f>
        <v/>
      </c>
      <c r="Y997">
        <f>IFS(M997&gt;=0.15,"Deep Discount",M997&gt;=0.1,"Moderate",TRUE,"Standard")</f>
        <v/>
      </c>
    </row>
    <row r="998">
      <c r="A998">
        <f>Raw_Data!A998</f>
        <v/>
      </c>
      <c r="B998" s="29">
        <f>Raw_Data!B998</f>
        <v/>
      </c>
      <c r="C998">
        <f>YEAR(B998)</f>
        <v/>
      </c>
      <c r="D998">
        <f>MONTH(B998)</f>
        <v/>
      </c>
      <c r="E998">
        <f>TEXT(B998,"MMM-YYYY")</f>
        <v/>
      </c>
      <c r="F998">
        <f>Raw_Data!C998</f>
        <v/>
      </c>
      <c r="G998">
        <f>Raw_Data!D998</f>
        <v/>
      </c>
      <c r="H998">
        <f>Raw_Data!E998</f>
        <v/>
      </c>
      <c r="I998">
        <f>Raw_Data!F998</f>
        <v/>
      </c>
      <c r="J998">
        <f>Raw_Data!G998</f>
        <v/>
      </c>
      <c r="K998">
        <f>Raw_Data!H998</f>
        <v/>
      </c>
      <c r="L998" s="30">
        <f>Raw_Data!I998</f>
        <v/>
      </c>
      <c r="M998" s="31">
        <f>Raw_Data!J998</f>
        <v/>
      </c>
      <c r="N998" s="17">
        <f>K998*L998</f>
        <v/>
      </c>
      <c r="O998" s="17">
        <f>N998*(1-M998)</f>
        <v/>
      </c>
      <c r="P998" s="17">
        <f>Raw_Data!L998</f>
        <v/>
      </c>
      <c r="Q998" s="17">
        <f>O998-P998</f>
        <v/>
      </c>
      <c r="R998" s="31">
        <f>IF(O998=0,0,Q998/O998)</f>
        <v/>
      </c>
      <c r="S998">
        <f>XLOOKUP(F998,Lookups!$B$7:$B$11,Lookups!$C$7:$C$11,"Unknown")</f>
        <v/>
      </c>
      <c r="T998" s="31">
        <f>XLOOKUP(G998,Lookups!$E$7:$E$11,Lookups!$F$7:$F$11,0)</f>
        <v/>
      </c>
      <c r="U998" s="32">
        <f>R998-T998</f>
        <v/>
      </c>
      <c r="V998">
        <f>XLOOKUP(I998,Lookups!$H$7:$H$10,Lookups!$I$7:$I$10,"")</f>
        <v/>
      </c>
      <c r="W998">
        <f>IF(O998&gt;=50000,"HIGH VALUE","")</f>
        <v/>
      </c>
      <c r="X998">
        <f>IF(Q998&lt;0,"LOSS","")</f>
        <v/>
      </c>
      <c r="Y998">
        <f>IFS(M998&gt;=0.15,"Deep Discount",M998&gt;=0.1,"Moderate",TRUE,"Standard")</f>
        <v/>
      </c>
    </row>
    <row r="999">
      <c r="A999">
        <f>Raw_Data!A999</f>
        <v/>
      </c>
      <c r="B999" s="29">
        <f>Raw_Data!B999</f>
        <v/>
      </c>
      <c r="C999">
        <f>YEAR(B999)</f>
        <v/>
      </c>
      <c r="D999">
        <f>MONTH(B999)</f>
        <v/>
      </c>
      <c r="E999">
        <f>TEXT(B999,"MMM-YYYY")</f>
        <v/>
      </c>
      <c r="F999">
        <f>Raw_Data!C999</f>
        <v/>
      </c>
      <c r="G999">
        <f>Raw_Data!D999</f>
        <v/>
      </c>
      <c r="H999">
        <f>Raw_Data!E999</f>
        <v/>
      </c>
      <c r="I999">
        <f>Raw_Data!F999</f>
        <v/>
      </c>
      <c r="J999">
        <f>Raw_Data!G999</f>
        <v/>
      </c>
      <c r="K999">
        <f>Raw_Data!H999</f>
        <v/>
      </c>
      <c r="L999" s="30">
        <f>Raw_Data!I999</f>
        <v/>
      </c>
      <c r="M999" s="31">
        <f>Raw_Data!J999</f>
        <v/>
      </c>
      <c r="N999" s="17">
        <f>K999*L999</f>
        <v/>
      </c>
      <c r="O999" s="17">
        <f>N999*(1-M999)</f>
        <v/>
      </c>
      <c r="P999" s="17">
        <f>Raw_Data!L999</f>
        <v/>
      </c>
      <c r="Q999" s="17">
        <f>O999-P999</f>
        <v/>
      </c>
      <c r="R999" s="31">
        <f>IF(O999=0,0,Q999/O999)</f>
        <v/>
      </c>
      <c r="S999">
        <f>XLOOKUP(F999,Lookups!$B$7:$B$11,Lookups!$C$7:$C$11,"Unknown")</f>
        <v/>
      </c>
      <c r="T999" s="31">
        <f>XLOOKUP(G999,Lookups!$E$7:$E$11,Lookups!$F$7:$F$11,0)</f>
        <v/>
      </c>
      <c r="U999" s="32">
        <f>R999-T999</f>
        <v/>
      </c>
      <c r="V999">
        <f>XLOOKUP(I999,Lookups!$H$7:$H$10,Lookups!$I$7:$I$10,"")</f>
        <v/>
      </c>
      <c r="W999">
        <f>IF(O999&gt;=50000,"HIGH VALUE","")</f>
        <v/>
      </c>
      <c r="X999">
        <f>IF(Q999&lt;0,"LOSS","")</f>
        <v/>
      </c>
      <c r="Y999">
        <f>IFS(M999&gt;=0.15,"Deep Discount",M999&gt;=0.1,"Moderate",TRUE,"Standard")</f>
        <v/>
      </c>
    </row>
    <row r="1000">
      <c r="A1000">
        <f>Raw_Data!A1000</f>
        <v/>
      </c>
      <c r="B1000" s="29">
        <f>Raw_Data!B1000</f>
        <v/>
      </c>
      <c r="C1000">
        <f>YEAR(B1000)</f>
        <v/>
      </c>
      <c r="D1000">
        <f>MONTH(B1000)</f>
        <v/>
      </c>
      <c r="E1000">
        <f>TEXT(B1000,"MMM-YYYY")</f>
        <v/>
      </c>
      <c r="F1000">
        <f>Raw_Data!C1000</f>
        <v/>
      </c>
      <c r="G1000">
        <f>Raw_Data!D1000</f>
        <v/>
      </c>
      <c r="H1000">
        <f>Raw_Data!E1000</f>
        <v/>
      </c>
      <c r="I1000">
        <f>Raw_Data!F1000</f>
        <v/>
      </c>
      <c r="J1000">
        <f>Raw_Data!G1000</f>
        <v/>
      </c>
      <c r="K1000">
        <f>Raw_Data!H1000</f>
        <v/>
      </c>
      <c r="L1000" s="30">
        <f>Raw_Data!I1000</f>
        <v/>
      </c>
      <c r="M1000" s="31">
        <f>Raw_Data!J1000</f>
        <v/>
      </c>
      <c r="N1000" s="17">
        <f>K1000*L1000</f>
        <v/>
      </c>
      <c r="O1000" s="17">
        <f>N1000*(1-M1000)</f>
        <v/>
      </c>
      <c r="P1000" s="17">
        <f>Raw_Data!L1000</f>
        <v/>
      </c>
      <c r="Q1000" s="17">
        <f>O1000-P1000</f>
        <v/>
      </c>
      <c r="R1000" s="31">
        <f>IF(O1000=0,0,Q1000/O1000)</f>
        <v/>
      </c>
      <c r="S1000">
        <f>XLOOKUP(F1000,Lookups!$B$7:$B$11,Lookups!$C$7:$C$11,"Unknown")</f>
        <v/>
      </c>
      <c r="T1000" s="31">
        <f>XLOOKUP(G1000,Lookups!$E$7:$E$11,Lookups!$F$7:$F$11,0)</f>
        <v/>
      </c>
      <c r="U1000" s="32">
        <f>R1000-T1000</f>
        <v/>
      </c>
      <c r="V1000">
        <f>XLOOKUP(I1000,Lookups!$H$7:$H$10,Lookups!$I$7:$I$10,"")</f>
        <v/>
      </c>
      <c r="W1000">
        <f>IF(O1000&gt;=50000,"HIGH VALUE","")</f>
        <v/>
      </c>
      <c r="X1000">
        <f>IF(Q1000&lt;0,"LOSS","")</f>
        <v/>
      </c>
      <c r="Y1000">
        <f>IFS(M1000&gt;=0.15,"Deep Discount",M1000&gt;=0.1,"Moderate",TRUE,"Standard")</f>
        <v/>
      </c>
    </row>
    <row r="1001">
      <c r="A1001">
        <f>Raw_Data!A1001</f>
        <v/>
      </c>
      <c r="B1001" s="29">
        <f>Raw_Data!B1001</f>
        <v/>
      </c>
      <c r="C1001">
        <f>YEAR(B1001)</f>
        <v/>
      </c>
      <c r="D1001">
        <f>MONTH(B1001)</f>
        <v/>
      </c>
      <c r="E1001">
        <f>TEXT(B1001,"MMM-YYYY")</f>
        <v/>
      </c>
      <c r="F1001">
        <f>Raw_Data!C1001</f>
        <v/>
      </c>
      <c r="G1001">
        <f>Raw_Data!D1001</f>
        <v/>
      </c>
      <c r="H1001">
        <f>Raw_Data!E1001</f>
        <v/>
      </c>
      <c r="I1001">
        <f>Raw_Data!F1001</f>
        <v/>
      </c>
      <c r="J1001">
        <f>Raw_Data!G1001</f>
        <v/>
      </c>
      <c r="K1001">
        <f>Raw_Data!H1001</f>
        <v/>
      </c>
      <c r="L1001" s="30">
        <f>Raw_Data!I1001</f>
        <v/>
      </c>
      <c r="M1001" s="31">
        <f>Raw_Data!J1001</f>
        <v/>
      </c>
      <c r="N1001" s="17">
        <f>K1001*L1001</f>
        <v/>
      </c>
      <c r="O1001" s="17">
        <f>N1001*(1-M1001)</f>
        <v/>
      </c>
      <c r="P1001" s="17">
        <f>Raw_Data!L1001</f>
        <v/>
      </c>
      <c r="Q1001" s="17">
        <f>O1001-P1001</f>
        <v/>
      </c>
      <c r="R1001" s="31">
        <f>IF(O1001=0,0,Q1001/O1001)</f>
        <v/>
      </c>
      <c r="S1001">
        <f>XLOOKUP(F1001,Lookups!$B$7:$B$11,Lookups!$C$7:$C$11,"Unknown")</f>
        <v/>
      </c>
      <c r="T1001" s="31">
        <f>XLOOKUP(G1001,Lookups!$E$7:$E$11,Lookups!$F$7:$F$11,0)</f>
        <v/>
      </c>
      <c r="U1001" s="32">
        <f>R1001-T1001</f>
        <v/>
      </c>
      <c r="V1001">
        <f>XLOOKUP(I1001,Lookups!$H$7:$H$10,Lookups!$I$7:$I$10,"")</f>
        <v/>
      </c>
      <c r="W1001">
        <f>IF(O1001&gt;=50000,"HIGH VALUE","")</f>
        <v/>
      </c>
      <c r="X1001">
        <f>IF(Q1001&lt;0,"LOSS","")</f>
        <v/>
      </c>
      <c r="Y1001">
        <f>IFS(M1001&gt;=0.15,"Deep Discount",M1001&gt;=0.1,"Moderate",TRUE,"Standard")</f>
        <v/>
      </c>
    </row>
    <row r="1002">
      <c r="A1002">
        <f>Raw_Data!A1002</f>
        <v/>
      </c>
      <c r="B1002" s="29">
        <f>Raw_Data!B1002</f>
        <v/>
      </c>
      <c r="C1002">
        <f>YEAR(B1002)</f>
        <v/>
      </c>
      <c r="D1002">
        <f>MONTH(B1002)</f>
        <v/>
      </c>
      <c r="E1002">
        <f>TEXT(B1002,"MMM-YYYY")</f>
        <v/>
      </c>
      <c r="F1002">
        <f>Raw_Data!C1002</f>
        <v/>
      </c>
      <c r="G1002">
        <f>Raw_Data!D1002</f>
        <v/>
      </c>
      <c r="H1002">
        <f>Raw_Data!E1002</f>
        <v/>
      </c>
      <c r="I1002">
        <f>Raw_Data!F1002</f>
        <v/>
      </c>
      <c r="J1002">
        <f>Raw_Data!G1002</f>
        <v/>
      </c>
      <c r="K1002">
        <f>Raw_Data!H1002</f>
        <v/>
      </c>
      <c r="L1002" s="30">
        <f>Raw_Data!I1002</f>
        <v/>
      </c>
      <c r="M1002" s="31">
        <f>Raw_Data!J1002</f>
        <v/>
      </c>
      <c r="N1002" s="17">
        <f>K1002*L1002</f>
        <v/>
      </c>
      <c r="O1002" s="17">
        <f>N1002*(1-M1002)</f>
        <v/>
      </c>
      <c r="P1002" s="17">
        <f>Raw_Data!L1002</f>
        <v/>
      </c>
      <c r="Q1002" s="17">
        <f>O1002-P1002</f>
        <v/>
      </c>
      <c r="R1002" s="31">
        <f>IF(O1002=0,0,Q1002/O1002)</f>
        <v/>
      </c>
      <c r="S1002">
        <f>XLOOKUP(F1002,Lookups!$B$7:$B$11,Lookups!$C$7:$C$11,"Unknown")</f>
        <v/>
      </c>
      <c r="T1002" s="31">
        <f>XLOOKUP(G1002,Lookups!$E$7:$E$11,Lookups!$F$7:$F$11,0)</f>
        <v/>
      </c>
      <c r="U1002" s="32">
        <f>R1002-T1002</f>
        <v/>
      </c>
      <c r="V1002">
        <f>XLOOKUP(I1002,Lookups!$H$7:$H$10,Lookups!$I$7:$I$10,"")</f>
        <v/>
      </c>
      <c r="W1002">
        <f>IF(O1002&gt;=50000,"HIGH VALUE","")</f>
        <v/>
      </c>
      <c r="X1002">
        <f>IF(Q1002&lt;0,"LOSS","")</f>
        <v/>
      </c>
      <c r="Y1002">
        <f>IFS(M1002&gt;=0.15,"Deep Discount",M1002&gt;=0.1,"Moderate",TRUE,"Standard")</f>
        <v/>
      </c>
    </row>
    <row r="1003">
      <c r="A1003">
        <f>Raw_Data!A1003</f>
        <v/>
      </c>
      <c r="B1003" s="29">
        <f>Raw_Data!B1003</f>
        <v/>
      </c>
      <c r="C1003">
        <f>YEAR(B1003)</f>
        <v/>
      </c>
      <c r="D1003">
        <f>MONTH(B1003)</f>
        <v/>
      </c>
      <c r="E1003">
        <f>TEXT(B1003,"MMM-YYYY")</f>
        <v/>
      </c>
      <c r="F1003">
        <f>Raw_Data!C1003</f>
        <v/>
      </c>
      <c r="G1003">
        <f>Raw_Data!D1003</f>
        <v/>
      </c>
      <c r="H1003">
        <f>Raw_Data!E1003</f>
        <v/>
      </c>
      <c r="I1003">
        <f>Raw_Data!F1003</f>
        <v/>
      </c>
      <c r="J1003">
        <f>Raw_Data!G1003</f>
        <v/>
      </c>
      <c r="K1003">
        <f>Raw_Data!H1003</f>
        <v/>
      </c>
      <c r="L1003" s="30">
        <f>Raw_Data!I1003</f>
        <v/>
      </c>
      <c r="M1003" s="31">
        <f>Raw_Data!J1003</f>
        <v/>
      </c>
      <c r="N1003" s="17">
        <f>K1003*L1003</f>
        <v/>
      </c>
      <c r="O1003" s="17">
        <f>N1003*(1-M1003)</f>
        <v/>
      </c>
      <c r="P1003" s="17">
        <f>Raw_Data!L1003</f>
        <v/>
      </c>
      <c r="Q1003" s="17">
        <f>O1003-P1003</f>
        <v/>
      </c>
      <c r="R1003" s="31">
        <f>IF(O1003=0,0,Q1003/O1003)</f>
        <v/>
      </c>
      <c r="S1003">
        <f>XLOOKUP(F1003,Lookups!$B$7:$B$11,Lookups!$C$7:$C$11,"Unknown")</f>
        <v/>
      </c>
      <c r="T1003" s="31">
        <f>XLOOKUP(G1003,Lookups!$E$7:$E$11,Lookups!$F$7:$F$11,0)</f>
        <v/>
      </c>
      <c r="U1003" s="32">
        <f>R1003-T1003</f>
        <v/>
      </c>
      <c r="V1003">
        <f>XLOOKUP(I1003,Lookups!$H$7:$H$10,Lookups!$I$7:$I$10,"")</f>
        <v/>
      </c>
      <c r="W1003">
        <f>IF(O1003&gt;=50000,"HIGH VALUE","")</f>
        <v/>
      </c>
      <c r="X1003">
        <f>IF(Q1003&lt;0,"LOSS","")</f>
        <v/>
      </c>
      <c r="Y1003">
        <f>IFS(M1003&gt;=0.15,"Deep Discount",M1003&gt;=0.1,"Moderate",TRUE,"Standard")</f>
        <v/>
      </c>
    </row>
    <row r="1004">
      <c r="A1004">
        <f>Raw_Data!A1004</f>
        <v/>
      </c>
      <c r="B1004" s="29">
        <f>Raw_Data!B1004</f>
        <v/>
      </c>
      <c r="C1004">
        <f>YEAR(B1004)</f>
        <v/>
      </c>
      <c r="D1004">
        <f>MONTH(B1004)</f>
        <v/>
      </c>
      <c r="E1004">
        <f>TEXT(B1004,"MMM-YYYY")</f>
        <v/>
      </c>
      <c r="F1004">
        <f>Raw_Data!C1004</f>
        <v/>
      </c>
      <c r="G1004">
        <f>Raw_Data!D1004</f>
        <v/>
      </c>
      <c r="H1004">
        <f>Raw_Data!E1004</f>
        <v/>
      </c>
      <c r="I1004">
        <f>Raw_Data!F1004</f>
        <v/>
      </c>
      <c r="J1004">
        <f>Raw_Data!G1004</f>
        <v/>
      </c>
      <c r="K1004">
        <f>Raw_Data!H1004</f>
        <v/>
      </c>
      <c r="L1004" s="30">
        <f>Raw_Data!I1004</f>
        <v/>
      </c>
      <c r="M1004" s="31">
        <f>Raw_Data!J1004</f>
        <v/>
      </c>
      <c r="N1004" s="17">
        <f>K1004*L1004</f>
        <v/>
      </c>
      <c r="O1004" s="17">
        <f>N1004*(1-M1004)</f>
        <v/>
      </c>
      <c r="P1004" s="17">
        <f>Raw_Data!L1004</f>
        <v/>
      </c>
      <c r="Q1004" s="17">
        <f>O1004-P1004</f>
        <v/>
      </c>
      <c r="R1004" s="31">
        <f>IF(O1004=0,0,Q1004/O1004)</f>
        <v/>
      </c>
      <c r="S1004">
        <f>XLOOKUP(F1004,Lookups!$B$7:$B$11,Lookups!$C$7:$C$11,"Unknown")</f>
        <v/>
      </c>
      <c r="T1004" s="31">
        <f>XLOOKUP(G1004,Lookups!$E$7:$E$11,Lookups!$F$7:$F$11,0)</f>
        <v/>
      </c>
      <c r="U1004" s="32">
        <f>R1004-T1004</f>
        <v/>
      </c>
      <c r="V1004">
        <f>XLOOKUP(I1004,Lookups!$H$7:$H$10,Lookups!$I$7:$I$10,"")</f>
        <v/>
      </c>
      <c r="W1004">
        <f>IF(O1004&gt;=50000,"HIGH VALUE","")</f>
        <v/>
      </c>
      <c r="X1004">
        <f>IF(Q1004&lt;0,"LOSS","")</f>
        <v/>
      </c>
      <c r="Y1004">
        <f>IFS(M1004&gt;=0.15,"Deep Discount",M1004&gt;=0.1,"Moderate",TRUE,"Standard")</f>
        <v/>
      </c>
    </row>
    <row r="1005">
      <c r="A1005">
        <f>Raw_Data!A1005</f>
        <v/>
      </c>
      <c r="B1005" s="29">
        <f>Raw_Data!B1005</f>
        <v/>
      </c>
      <c r="C1005">
        <f>YEAR(B1005)</f>
        <v/>
      </c>
      <c r="D1005">
        <f>MONTH(B1005)</f>
        <v/>
      </c>
      <c r="E1005">
        <f>TEXT(B1005,"MMM-YYYY")</f>
        <v/>
      </c>
      <c r="F1005">
        <f>Raw_Data!C1005</f>
        <v/>
      </c>
      <c r="G1005">
        <f>Raw_Data!D1005</f>
        <v/>
      </c>
      <c r="H1005">
        <f>Raw_Data!E1005</f>
        <v/>
      </c>
      <c r="I1005">
        <f>Raw_Data!F1005</f>
        <v/>
      </c>
      <c r="J1005">
        <f>Raw_Data!G1005</f>
        <v/>
      </c>
      <c r="K1005">
        <f>Raw_Data!H1005</f>
        <v/>
      </c>
      <c r="L1005" s="30">
        <f>Raw_Data!I1005</f>
        <v/>
      </c>
      <c r="M1005" s="31">
        <f>Raw_Data!J1005</f>
        <v/>
      </c>
      <c r="N1005" s="17">
        <f>K1005*L1005</f>
        <v/>
      </c>
      <c r="O1005" s="17">
        <f>N1005*(1-M1005)</f>
        <v/>
      </c>
      <c r="P1005" s="17">
        <f>Raw_Data!L1005</f>
        <v/>
      </c>
      <c r="Q1005" s="17">
        <f>O1005-P1005</f>
        <v/>
      </c>
      <c r="R1005" s="31">
        <f>IF(O1005=0,0,Q1005/O1005)</f>
        <v/>
      </c>
      <c r="S1005">
        <f>XLOOKUP(F1005,Lookups!$B$7:$B$11,Lookups!$C$7:$C$11,"Unknown")</f>
        <v/>
      </c>
      <c r="T1005" s="31">
        <f>XLOOKUP(G1005,Lookups!$E$7:$E$11,Lookups!$F$7:$F$11,0)</f>
        <v/>
      </c>
      <c r="U1005" s="32">
        <f>R1005-T1005</f>
        <v/>
      </c>
      <c r="V1005">
        <f>XLOOKUP(I1005,Lookups!$H$7:$H$10,Lookups!$I$7:$I$10,"")</f>
        <v/>
      </c>
      <c r="W1005">
        <f>IF(O1005&gt;=50000,"HIGH VALUE","")</f>
        <v/>
      </c>
      <c r="X1005">
        <f>IF(Q1005&lt;0,"LOSS","")</f>
        <v/>
      </c>
      <c r="Y1005">
        <f>IFS(M1005&gt;=0.15,"Deep Discount",M1005&gt;=0.1,"Moderate",TRUE,"Standard")</f>
        <v/>
      </c>
    </row>
    <row r="1006">
      <c r="A1006">
        <f>Raw_Data!A1006</f>
        <v/>
      </c>
      <c r="B1006" s="29">
        <f>Raw_Data!B1006</f>
        <v/>
      </c>
      <c r="C1006">
        <f>YEAR(B1006)</f>
        <v/>
      </c>
      <c r="D1006">
        <f>MONTH(B1006)</f>
        <v/>
      </c>
      <c r="E1006">
        <f>TEXT(B1006,"MMM-YYYY")</f>
        <v/>
      </c>
      <c r="F1006">
        <f>Raw_Data!C1006</f>
        <v/>
      </c>
      <c r="G1006">
        <f>Raw_Data!D1006</f>
        <v/>
      </c>
      <c r="H1006">
        <f>Raw_Data!E1006</f>
        <v/>
      </c>
      <c r="I1006">
        <f>Raw_Data!F1006</f>
        <v/>
      </c>
      <c r="J1006">
        <f>Raw_Data!G1006</f>
        <v/>
      </c>
      <c r="K1006">
        <f>Raw_Data!H1006</f>
        <v/>
      </c>
      <c r="L1006" s="30">
        <f>Raw_Data!I1006</f>
        <v/>
      </c>
      <c r="M1006" s="31">
        <f>Raw_Data!J1006</f>
        <v/>
      </c>
      <c r="N1006" s="17">
        <f>K1006*L1006</f>
        <v/>
      </c>
      <c r="O1006" s="17">
        <f>N1006*(1-M1006)</f>
        <v/>
      </c>
      <c r="P1006" s="17">
        <f>Raw_Data!L1006</f>
        <v/>
      </c>
      <c r="Q1006" s="17">
        <f>O1006-P1006</f>
        <v/>
      </c>
      <c r="R1006" s="31">
        <f>IF(O1006=0,0,Q1006/O1006)</f>
        <v/>
      </c>
      <c r="S1006">
        <f>XLOOKUP(F1006,Lookups!$B$7:$B$11,Lookups!$C$7:$C$11,"Unknown")</f>
        <v/>
      </c>
      <c r="T1006" s="31">
        <f>XLOOKUP(G1006,Lookups!$E$7:$E$11,Lookups!$F$7:$F$11,0)</f>
        <v/>
      </c>
      <c r="U1006" s="32">
        <f>R1006-T1006</f>
        <v/>
      </c>
      <c r="V1006">
        <f>XLOOKUP(I1006,Lookups!$H$7:$H$10,Lookups!$I$7:$I$10,"")</f>
        <v/>
      </c>
      <c r="W1006">
        <f>IF(O1006&gt;=50000,"HIGH VALUE","")</f>
        <v/>
      </c>
      <c r="X1006">
        <f>IF(Q1006&lt;0,"LOSS","")</f>
        <v/>
      </c>
      <c r="Y1006">
        <f>IFS(M1006&gt;=0.15,"Deep Discount",M1006&gt;=0.1,"Moderate",TRUE,"Standard")</f>
        <v/>
      </c>
    </row>
    <row r="1007">
      <c r="A1007">
        <f>Raw_Data!A1007</f>
        <v/>
      </c>
      <c r="B1007" s="29">
        <f>Raw_Data!B1007</f>
        <v/>
      </c>
      <c r="C1007">
        <f>YEAR(B1007)</f>
        <v/>
      </c>
      <c r="D1007">
        <f>MONTH(B1007)</f>
        <v/>
      </c>
      <c r="E1007">
        <f>TEXT(B1007,"MMM-YYYY")</f>
        <v/>
      </c>
      <c r="F1007">
        <f>Raw_Data!C1007</f>
        <v/>
      </c>
      <c r="G1007">
        <f>Raw_Data!D1007</f>
        <v/>
      </c>
      <c r="H1007">
        <f>Raw_Data!E1007</f>
        <v/>
      </c>
      <c r="I1007">
        <f>Raw_Data!F1007</f>
        <v/>
      </c>
      <c r="J1007">
        <f>Raw_Data!G1007</f>
        <v/>
      </c>
      <c r="K1007">
        <f>Raw_Data!H1007</f>
        <v/>
      </c>
      <c r="L1007" s="30">
        <f>Raw_Data!I1007</f>
        <v/>
      </c>
      <c r="M1007" s="31">
        <f>Raw_Data!J1007</f>
        <v/>
      </c>
      <c r="N1007" s="17">
        <f>K1007*L1007</f>
        <v/>
      </c>
      <c r="O1007" s="17">
        <f>N1007*(1-M1007)</f>
        <v/>
      </c>
      <c r="P1007" s="17">
        <f>Raw_Data!L1007</f>
        <v/>
      </c>
      <c r="Q1007" s="17">
        <f>O1007-P1007</f>
        <v/>
      </c>
      <c r="R1007" s="31">
        <f>IF(O1007=0,0,Q1007/O1007)</f>
        <v/>
      </c>
      <c r="S1007">
        <f>XLOOKUP(F1007,Lookups!$B$7:$B$11,Lookups!$C$7:$C$11,"Unknown")</f>
        <v/>
      </c>
      <c r="T1007" s="31">
        <f>XLOOKUP(G1007,Lookups!$E$7:$E$11,Lookups!$F$7:$F$11,0)</f>
        <v/>
      </c>
      <c r="U1007" s="32">
        <f>R1007-T1007</f>
        <v/>
      </c>
      <c r="V1007">
        <f>XLOOKUP(I1007,Lookups!$H$7:$H$10,Lookups!$I$7:$I$10,"")</f>
        <v/>
      </c>
      <c r="W1007">
        <f>IF(O1007&gt;=50000,"HIGH VALUE","")</f>
        <v/>
      </c>
      <c r="X1007">
        <f>IF(Q1007&lt;0,"LOSS","")</f>
        <v/>
      </c>
      <c r="Y1007">
        <f>IFS(M1007&gt;=0.15,"Deep Discount",M1007&gt;=0.1,"Moderate",TRUE,"Standard")</f>
        <v/>
      </c>
    </row>
    <row r="1008">
      <c r="A1008">
        <f>Raw_Data!A1008</f>
        <v/>
      </c>
      <c r="B1008" s="29">
        <f>Raw_Data!B1008</f>
        <v/>
      </c>
      <c r="C1008">
        <f>YEAR(B1008)</f>
        <v/>
      </c>
      <c r="D1008">
        <f>MONTH(B1008)</f>
        <v/>
      </c>
      <c r="E1008">
        <f>TEXT(B1008,"MMM-YYYY")</f>
        <v/>
      </c>
      <c r="F1008">
        <f>Raw_Data!C1008</f>
        <v/>
      </c>
      <c r="G1008">
        <f>Raw_Data!D1008</f>
        <v/>
      </c>
      <c r="H1008">
        <f>Raw_Data!E1008</f>
        <v/>
      </c>
      <c r="I1008">
        <f>Raw_Data!F1008</f>
        <v/>
      </c>
      <c r="J1008">
        <f>Raw_Data!G1008</f>
        <v/>
      </c>
      <c r="K1008">
        <f>Raw_Data!H1008</f>
        <v/>
      </c>
      <c r="L1008" s="30">
        <f>Raw_Data!I1008</f>
        <v/>
      </c>
      <c r="M1008" s="31">
        <f>Raw_Data!J1008</f>
        <v/>
      </c>
      <c r="N1008" s="17">
        <f>K1008*L1008</f>
        <v/>
      </c>
      <c r="O1008" s="17">
        <f>N1008*(1-M1008)</f>
        <v/>
      </c>
      <c r="P1008" s="17">
        <f>Raw_Data!L1008</f>
        <v/>
      </c>
      <c r="Q1008" s="17">
        <f>O1008-P1008</f>
        <v/>
      </c>
      <c r="R1008" s="31">
        <f>IF(O1008=0,0,Q1008/O1008)</f>
        <v/>
      </c>
      <c r="S1008">
        <f>XLOOKUP(F1008,Lookups!$B$7:$B$11,Lookups!$C$7:$C$11,"Unknown")</f>
        <v/>
      </c>
      <c r="T1008" s="31">
        <f>XLOOKUP(G1008,Lookups!$E$7:$E$11,Lookups!$F$7:$F$11,0)</f>
        <v/>
      </c>
      <c r="U1008" s="32">
        <f>R1008-T1008</f>
        <v/>
      </c>
      <c r="V1008">
        <f>XLOOKUP(I1008,Lookups!$H$7:$H$10,Lookups!$I$7:$I$10,"")</f>
        <v/>
      </c>
      <c r="W1008">
        <f>IF(O1008&gt;=50000,"HIGH VALUE","")</f>
        <v/>
      </c>
      <c r="X1008">
        <f>IF(Q1008&lt;0,"LOSS","")</f>
        <v/>
      </c>
      <c r="Y1008">
        <f>IFS(M1008&gt;=0.15,"Deep Discount",M1008&gt;=0.1,"Moderate",TRUE,"Standard")</f>
        <v/>
      </c>
    </row>
    <row r="1009">
      <c r="A1009">
        <f>Raw_Data!A1009</f>
        <v/>
      </c>
      <c r="B1009" s="29">
        <f>Raw_Data!B1009</f>
        <v/>
      </c>
      <c r="C1009">
        <f>YEAR(B1009)</f>
        <v/>
      </c>
      <c r="D1009">
        <f>MONTH(B1009)</f>
        <v/>
      </c>
      <c r="E1009">
        <f>TEXT(B1009,"MMM-YYYY")</f>
        <v/>
      </c>
      <c r="F1009">
        <f>Raw_Data!C1009</f>
        <v/>
      </c>
      <c r="G1009">
        <f>Raw_Data!D1009</f>
        <v/>
      </c>
      <c r="H1009">
        <f>Raw_Data!E1009</f>
        <v/>
      </c>
      <c r="I1009">
        <f>Raw_Data!F1009</f>
        <v/>
      </c>
      <c r="J1009">
        <f>Raw_Data!G1009</f>
        <v/>
      </c>
      <c r="K1009">
        <f>Raw_Data!H1009</f>
        <v/>
      </c>
      <c r="L1009" s="30">
        <f>Raw_Data!I1009</f>
        <v/>
      </c>
      <c r="M1009" s="31">
        <f>Raw_Data!J1009</f>
        <v/>
      </c>
      <c r="N1009" s="17">
        <f>K1009*L1009</f>
        <v/>
      </c>
      <c r="O1009" s="17">
        <f>N1009*(1-M1009)</f>
        <v/>
      </c>
      <c r="P1009" s="17">
        <f>Raw_Data!L1009</f>
        <v/>
      </c>
      <c r="Q1009" s="17">
        <f>O1009-P1009</f>
        <v/>
      </c>
      <c r="R1009" s="31">
        <f>IF(O1009=0,0,Q1009/O1009)</f>
        <v/>
      </c>
      <c r="S1009">
        <f>XLOOKUP(F1009,Lookups!$B$7:$B$11,Lookups!$C$7:$C$11,"Unknown")</f>
        <v/>
      </c>
      <c r="T1009" s="31">
        <f>XLOOKUP(G1009,Lookups!$E$7:$E$11,Lookups!$F$7:$F$11,0)</f>
        <v/>
      </c>
      <c r="U1009" s="32">
        <f>R1009-T1009</f>
        <v/>
      </c>
      <c r="V1009">
        <f>XLOOKUP(I1009,Lookups!$H$7:$H$10,Lookups!$I$7:$I$10,"")</f>
        <v/>
      </c>
      <c r="W1009">
        <f>IF(O1009&gt;=50000,"HIGH VALUE","")</f>
        <v/>
      </c>
      <c r="X1009">
        <f>IF(Q1009&lt;0,"LOSS","")</f>
        <v/>
      </c>
      <c r="Y1009">
        <f>IFS(M1009&gt;=0.15,"Deep Discount",M1009&gt;=0.1,"Moderate",TRUE,"Standard")</f>
        <v/>
      </c>
    </row>
    <row r="1010">
      <c r="A1010">
        <f>Raw_Data!A1010</f>
        <v/>
      </c>
      <c r="B1010" s="29">
        <f>Raw_Data!B1010</f>
        <v/>
      </c>
      <c r="C1010">
        <f>YEAR(B1010)</f>
        <v/>
      </c>
      <c r="D1010">
        <f>MONTH(B1010)</f>
        <v/>
      </c>
      <c r="E1010">
        <f>TEXT(B1010,"MMM-YYYY")</f>
        <v/>
      </c>
      <c r="F1010">
        <f>Raw_Data!C1010</f>
        <v/>
      </c>
      <c r="G1010">
        <f>Raw_Data!D1010</f>
        <v/>
      </c>
      <c r="H1010">
        <f>Raw_Data!E1010</f>
        <v/>
      </c>
      <c r="I1010">
        <f>Raw_Data!F1010</f>
        <v/>
      </c>
      <c r="J1010">
        <f>Raw_Data!G1010</f>
        <v/>
      </c>
      <c r="K1010">
        <f>Raw_Data!H1010</f>
        <v/>
      </c>
      <c r="L1010" s="30">
        <f>Raw_Data!I1010</f>
        <v/>
      </c>
      <c r="M1010" s="31">
        <f>Raw_Data!J1010</f>
        <v/>
      </c>
      <c r="N1010" s="17">
        <f>K1010*L1010</f>
        <v/>
      </c>
      <c r="O1010" s="17">
        <f>N1010*(1-M1010)</f>
        <v/>
      </c>
      <c r="P1010" s="17">
        <f>Raw_Data!L1010</f>
        <v/>
      </c>
      <c r="Q1010" s="17">
        <f>O1010-P1010</f>
        <v/>
      </c>
      <c r="R1010" s="31">
        <f>IF(O1010=0,0,Q1010/O1010)</f>
        <v/>
      </c>
      <c r="S1010">
        <f>XLOOKUP(F1010,Lookups!$B$7:$B$11,Lookups!$C$7:$C$11,"Unknown")</f>
        <v/>
      </c>
      <c r="T1010" s="31">
        <f>XLOOKUP(G1010,Lookups!$E$7:$E$11,Lookups!$F$7:$F$11,0)</f>
        <v/>
      </c>
      <c r="U1010" s="32">
        <f>R1010-T1010</f>
        <v/>
      </c>
      <c r="V1010">
        <f>XLOOKUP(I1010,Lookups!$H$7:$H$10,Lookups!$I$7:$I$10,"")</f>
        <v/>
      </c>
      <c r="W1010">
        <f>IF(O1010&gt;=50000,"HIGH VALUE","")</f>
        <v/>
      </c>
      <c r="X1010">
        <f>IF(Q1010&lt;0,"LOSS","")</f>
        <v/>
      </c>
      <c r="Y1010">
        <f>IFS(M1010&gt;=0.15,"Deep Discount",M1010&gt;=0.1,"Moderate",TRUE,"Standard")</f>
        <v/>
      </c>
    </row>
    <row r="1011">
      <c r="A1011">
        <f>Raw_Data!A1011</f>
        <v/>
      </c>
      <c r="B1011" s="29">
        <f>Raw_Data!B1011</f>
        <v/>
      </c>
      <c r="C1011">
        <f>YEAR(B1011)</f>
        <v/>
      </c>
      <c r="D1011">
        <f>MONTH(B1011)</f>
        <v/>
      </c>
      <c r="E1011">
        <f>TEXT(B1011,"MMM-YYYY")</f>
        <v/>
      </c>
      <c r="F1011">
        <f>Raw_Data!C1011</f>
        <v/>
      </c>
      <c r="G1011">
        <f>Raw_Data!D1011</f>
        <v/>
      </c>
      <c r="H1011">
        <f>Raw_Data!E1011</f>
        <v/>
      </c>
      <c r="I1011">
        <f>Raw_Data!F1011</f>
        <v/>
      </c>
      <c r="J1011">
        <f>Raw_Data!G1011</f>
        <v/>
      </c>
      <c r="K1011">
        <f>Raw_Data!H1011</f>
        <v/>
      </c>
      <c r="L1011" s="30">
        <f>Raw_Data!I1011</f>
        <v/>
      </c>
      <c r="M1011" s="31">
        <f>Raw_Data!J1011</f>
        <v/>
      </c>
      <c r="N1011" s="17">
        <f>K1011*L1011</f>
        <v/>
      </c>
      <c r="O1011" s="17">
        <f>N1011*(1-M1011)</f>
        <v/>
      </c>
      <c r="P1011" s="17">
        <f>Raw_Data!L1011</f>
        <v/>
      </c>
      <c r="Q1011" s="17">
        <f>O1011-P1011</f>
        <v/>
      </c>
      <c r="R1011" s="31">
        <f>IF(O1011=0,0,Q1011/O1011)</f>
        <v/>
      </c>
      <c r="S1011">
        <f>XLOOKUP(F1011,Lookups!$B$7:$B$11,Lookups!$C$7:$C$11,"Unknown")</f>
        <v/>
      </c>
      <c r="T1011" s="31">
        <f>XLOOKUP(G1011,Lookups!$E$7:$E$11,Lookups!$F$7:$F$11,0)</f>
        <v/>
      </c>
      <c r="U1011" s="32">
        <f>R1011-T1011</f>
        <v/>
      </c>
      <c r="V1011">
        <f>XLOOKUP(I1011,Lookups!$H$7:$H$10,Lookups!$I$7:$I$10,"")</f>
        <v/>
      </c>
      <c r="W1011">
        <f>IF(O1011&gt;=50000,"HIGH VALUE","")</f>
        <v/>
      </c>
      <c r="X1011">
        <f>IF(Q1011&lt;0,"LOSS","")</f>
        <v/>
      </c>
      <c r="Y1011">
        <f>IFS(M1011&gt;=0.15,"Deep Discount",M1011&gt;=0.1,"Moderate",TRUE,"Standard")</f>
        <v/>
      </c>
    </row>
    <row r="1012">
      <c r="A1012">
        <f>Raw_Data!A1012</f>
        <v/>
      </c>
      <c r="B1012" s="29">
        <f>Raw_Data!B1012</f>
        <v/>
      </c>
      <c r="C1012">
        <f>YEAR(B1012)</f>
        <v/>
      </c>
      <c r="D1012">
        <f>MONTH(B1012)</f>
        <v/>
      </c>
      <c r="E1012">
        <f>TEXT(B1012,"MMM-YYYY")</f>
        <v/>
      </c>
      <c r="F1012">
        <f>Raw_Data!C1012</f>
        <v/>
      </c>
      <c r="G1012">
        <f>Raw_Data!D1012</f>
        <v/>
      </c>
      <c r="H1012">
        <f>Raw_Data!E1012</f>
        <v/>
      </c>
      <c r="I1012">
        <f>Raw_Data!F1012</f>
        <v/>
      </c>
      <c r="J1012">
        <f>Raw_Data!G1012</f>
        <v/>
      </c>
      <c r="K1012">
        <f>Raw_Data!H1012</f>
        <v/>
      </c>
      <c r="L1012" s="30">
        <f>Raw_Data!I1012</f>
        <v/>
      </c>
      <c r="M1012" s="31">
        <f>Raw_Data!J1012</f>
        <v/>
      </c>
      <c r="N1012" s="17">
        <f>K1012*L1012</f>
        <v/>
      </c>
      <c r="O1012" s="17">
        <f>N1012*(1-M1012)</f>
        <v/>
      </c>
      <c r="P1012" s="17">
        <f>Raw_Data!L1012</f>
        <v/>
      </c>
      <c r="Q1012" s="17">
        <f>O1012-P1012</f>
        <v/>
      </c>
      <c r="R1012" s="31">
        <f>IF(O1012=0,0,Q1012/O1012)</f>
        <v/>
      </c>
      <c r="S1012">
        <f>XLOOKUP(F1012,Lookups!$B$7:$B$11,Lookups!$C$7:$C$11,"Unknown")</f>
        <v/>
      </c>
      <c r="T1012" s="31">
        <f>XLOOKUP(G1012,Lookups!$E$7:$E$11,Lookups!$F$7:$F$11,0)</f>
        <v/>
      </c>
      <c r="U1012" s="32">
        <f>R1012-T1012</f>
        <v/>
      </c>
      <c r="V1012">
        <f>XLOOKUP(I1012,Lookups!$H$7:$H$10,Lookups!$I$7:$I$10,"")</f>
        <v/>
      </c>
      <c r="W1012">
        <f>IF(O1012&gt;=50000,"HIGH VALUE","")</f>
        <v/>
      </c>
      <c r="X1012">
        <f>IF(Q1012&lt;0,"LOSS","")</f>
        <v/>
      </c>
      <c r="Y1012">
        <f>IFS(M1012&gt;=0.15,"Deep Discount",M1012&gt;=0.1,"Moderate",TRUE,"Standard")</f>
        <v/>
      </c>
    </row>
    <row r="1013">
      <c r="A1013">
        <f>Raw_Data!A1013</f>
        <v/>
      </c>
      <c r="B1013" s="29">
        <f>Raw_Data!B1013</f>
        <v/>
      </c>
      <c r="C1013">
        <f>YEAR(B1013)</f>
        <v/>
      </c>
      <c r="D1013">
        <f>MONTH(B1013)</f>
        <v/>
      </c>
      <c r="E1013">
        <f>TEXT(B1013,"MMM-YYYY")</f>
        <v/>
      </c>
      <c r="F1013">
        <f>Raw_Data!C1013</f>
        <v/>
      </c>
      <c r="G1013">
        <f>Raw_Data!D1013</f>
        <v/>
      </c>
      <c r="H1013">
        <f>Raw_Data!E1013</f>
        <v/>
      </c>
      <c r="I1013">
        <f>Raw_Data!F1013</f>
        <v/>
      </c>
      <c r="J1013">
        <f>Raw_Data!G1013</f>
        <v/>
      </c>
      <c r="K1013">
        <f>Raw_Data!H1013</f>
        <v/>
      </c>
      <c r="L1013" s="30">
        <f>Raw_Data!I1013</f>
        <v/>
      </c>
      <c r="M1013" s="31">
        <f>Raw_Data!J1013</f>
        <v/>
      </c>
      <c r="N1013" s="17">
        <f>K1013*L1013</f>
        <v/>
      </c>
      <c r="O1013" s="17">
        <f>N1013*(1-M1013)</f>
        <v/>
      </c>
      <c r="P1013" s="17">
        <f>Raw_Data!L1013</f>
        <v/>
      </c>
      <c r="Q1013" s="17">
        <f>O1013-P1013</f>
        <v/>
      </c>
      <c r="R1013" s="31">
        <f>IF(O1013=0,0,Q1013/O1013)</f>
        <v/>
      </c>
      <c r="S1013">
        <f>XLOOKUP(F1013,Lookups!$B$7:$B$11,Lookups!$C$7:$C$11,"Unknown")</f>
        <v/>
      </c>
      <c r="T1013" s="31">
        <f>XLOOKUP(G1013,Lookups!$E$7:$E$11,Lookups!$F$7:$F$11,0)</f>
        <v/>
      </c>
      <c r="U1013" s="32">
        <f>R1013-T1013</f>
        <v/>
      </c>
      <c r="V1013">
        <f>XLOOKUP(I1013,Lookups!$H$7:$H$10,Lookups!$I$7:$I$10,"")</f>
        <v/>
      </c>
      <c r="W1013">
        <f>IF(O1013&gt;=50000,"HIGH VALUE","")</f>
        <v/>
      </c>
      <c r="X1013">
        <f>IF(Q1013&lt;0,"LOSS","")</f>
        <v/>
      </c>
      <c r="Y1013">
        <f>IFS(M1013&gt;=0.15,"Deep Discount",M1013&gt;=0.1,"Moderate",TRUE,"Standard")</f>
        <v/>
      </c>
    </row>
    <row r="1014">
      <c r="A1014">
        <f>Raw_Data!A1014</f>
        <v/>
      </c>
      <c r="B1014" s="29">
        <f>Raw_Data!B1014</f>
        <v/>
      </c>
      <c r="C1014">
        <f>YEAR(B1014)</f>
        <v/>
      </c>
      <c r="D1014">
        <f>MONTH(B1014)</f>
        <v/>
      </c>
      <c r="E1014">
        <f>TEXT(B1014,"MMM-YYYY")</f>
        <v/>
      </c>
      <c r="F1014">
        <f>Raw_Data!C1014</f>
        <v/>
      </c>
      <c r="G1014">
        <f>Raw_Data!D1014</f>
        <v/>
      </c>
      <c r="H1014">
        <f>Raw_Data!E1014</f>
        <v/>
      </c>
      <c r="I1014">
        <f>Raw_Data!F1014</f>
        <v/>
      </c>
      <c r="J1014">
        <f>Raw_Data!G1014</f>
        <v/>
      </c>
      <c r="K1014">
        <f>Raw_Data!H1014</f>
        <v/>
      </c>
      <c r="L1014" s="30">
        <f>Raw_Data!I1014</f>
        <v/>
      </c>
      <c r="M1014" s="31">
        <f>Raw_Data!J1014</f>
        <v/>
      </c>
      <c r="N1014" s="17">
        <f>K1014*L1014</f>
        <v/>
      </c>
      <c r="O1014" s="17">
        <f>N1014*(1-M1014)</f>
        <v/>
      </c>
      <c r="P1014" s="17">
        <f>Raw_Data!L1014</f>
        <v/>
      </c>
      <c r="Q1014" s="17">
        <f>O1014-P1014</f>
        <v/>
      </c>
      <c r="R1014" s="31">
        <f>IF(O1014=0,0,Q1014/O1014)</f>
        <v/>
      </c>
      <c r="S1014">
        <f>XLOOKUP(F1014,Lookups!$B$7:$B$11,Lookups!$C$7:$C$11,"Unknown")</f>
        <v/>
      </c>
      <c r="T1014" s="31">
        <f>XLOOKUP(G1014,Lookups!$E$7:$E$11,Lookups!$F$7:$F$11,0)</f>
        <v/>
      </c>
      <c r="U1014" s="32">
        <f>R1014-T1014</f>
        <v/>
      </c>
      <c r="V1014">
        <f>XLOOKUP(I1014,Lookups!$H$7:$H$10,Lookups!$I$7:$I$10,"")</f>
        <v/>
      </c>
      <c r="W1014">
        <f>IF(O1014&gt;=50000,"HIGH VALUE","")</f>
        <v/>
      </c>
      <c r="X1014">
        <f>IF(Q1014&lt;0,"LOSS","")</f>
        <v/>
      </c>
      <c r="Y1014">
        <f>IFS(M1014&gt;=0.15,"Deep Discount",M1014&gt;=0.1,"Moderate",TRUE,"Standard")</f>
        <v/>
      </c>
    </row>
    <row r="1015">
      <c r="A1015">
        <f>Raw_Data!A1015</f>
        <v/>
      </c>
      <c r="B1015" s="29">
        <f>Raw_Data!B1015</f>
        <v/>
      </c>
      <c r="C1015">
        <f>YEAR(B1015)</f>
        <v/>
      </c>
      <c r="D1015">
        <f>MONTH(B1015)</f>
        <v/>
      </c>
      <c r="E1015">
        <f>TEXT(B1015,"MMM-YYYY")</f>
        <v/>
      </c>
      <c r="F1015">
        <f>Raw_Data!C1015</f>
        <v/>
      </c>
      <c r="G1015">
        <f>Raw_Data!D1015</f>
        <v/>
      </c>
      <c r="H1015">
        <f>Raw_Data!E1015</f>
        <v/>
      </c>
      <c r="I1015">
        <f>Raw_Data!F1015</f>
        <v/>
      </c>
      <c r="J1015">
        <f>Raw_Data!G1015</f>
        <v/>
      </c>
      <c r="K1015">
        <f>Raw_Data!H1015</f>
        <v/>
      </c>
      <c r="L1015" s="30">
        <f>Raw_Data!I1015</f>
        <v/>
      </c>
      <c r="M1015" s="31">
        <f>Raw_Data!J1015</f>
        <v/>
      </c>
      <c r="N1015" s="17">
        <f>K1015*L1015</f>
        <v/>
      </c>
      <c r="O1015" s="17">
        <f>N1015*(1-M1015)</f>
        <v/>
      </c>
      <c r="P1015" s="17">
        <f>Raw_Data!L1015</f>
        <v/>
      </c>
      <c r="Q1015" s="17">
        <f>O1015-P1015</f>
        <v/>
      </c>
      <c r="R1015" s="31">
        <f>IF(O1015=0,0,Q1015/O1015)</f>
        <v/>
      </c>
      <c r="S1015">
        <f>XLOOKUP(F1015,Lookups!$B$7:$B$11,Lookups!$C$7:$C$11,"Unknown")</f>
        <v/>
      </c>
      <c r="T1015" s="31">
        <f>XLOOKUP(G1015,Lookups!$E$7:$E$11,Lookups!$F$7:$F$11,0)</f>
        <v/>
      </c>
      <c r="U1015" s="32">
        <f>R1015-T1015</f>
        <v/>
      </c>
      <c r="V1015">
        <f>XLOOKUP(I1015,Lookups!$H$7:$H$10,Lookups!$I$7:$I$10,"")</f>
        <v/>
      </c>
      <c r="W1015">
        <f>IF(O1015&gt;=50000,"HIGH VALUE","")</f>
        <v/>
      </c>
      <c r="X1015">
        <f>IF(Q1015&lt;0,"LOSS","")</f>
        <v/>
      </c>
      <c r="Y1015">
        <f>IFS(M1015&gt;=0.15,"Deep Discount",M1015&gt;=0.1,"Moderate",TRUE,"Standard")</f>
        <v/>
      </c>
    </row>
    <row r="1016">
      <c r="A1016">
        <f>Raw_Data!A1016</f>
        <v/>
      </c>
      <c r="B1016" s="29">
        <f>Raw_Data!B1016</f>
        <v/>
      </c>
      <c r="C1016">
        <f>YEAR(B1016)</f>
        <v/>
      </c>
      <c r="D1016">
        <f>MONTH(B1016)</f>
        <v/>
      </c>
      <c r="E1016">
        <f>TEXT(B1016,"MMM-YYYY")</f>
        <v/>
      </c>
      <c r="F1016">
        <f>Raw_Data!C1016</f>
        <v/>
      </c>
      <c r="G1016">
        <f>Raw_Data!D1016</f>
        <v/>
      </c>
      <c r="H1016">
        <f>Raw_Data!E1016</f>
        <v/>
      </c>
      <c r="I1016">
        <f>Raw_Data!F1016</f>
        <v/>
      </c>
      <c r="J1016">
        <f>Raw_Data!G1016</f>
        <v/>
      </c>
      <c r="K1016">
        <f>Raw_Data!H1016</f>
        <v/>
      </c>
      <c r="L1016" s="30">
        <f>Raw_Data!I1016</f>
        <v/>
      </c>
      <c r="M1016" s="31">
        <f>Raw_Data!J1016</f>
        <v/>
      </c>
      <c r="N1016" s="17">
        <f>K1016*L1016</f>
        <v/>
      </c>
      <c r="O1016" s="17">
        <f>N1016*(1-M1016)</f>
        <v/>
      </c>
      <c r="P1016" s="17">
        <f>Raw_Data!L1016</f>
        <v/>
      </c>
      <c r="Q1016" s="17">
        <f>O1016-P1016</f>
        <v/>
      </c>
      <c r="R1016" s="31">
        <f>IF(O1016=0,0,Q1016/O1016)</f>
        <v/>
      </c>
      <c r="S1016">
        <f>XLOOKUP(F1016,Lookups!$B$7:$B$11,Lookups!$C$7:$C$11,"Unknown")</f>
        <v/>
      </c>
      <c r="T1016" s="31">
        <f>XLOOKUP(G1016,Lookups!$E$7:$E$11,Lookups!$F$7:$F$11,0)</f>
        <v/>
      </c>
      <c r="U1016" s="32">
        <f>R1016-T1016</f>
        <v/>
      </c>
      <c r="V1016">
        <f>XLOOKUP(I1016,Lookups!$H$7:$H$10,Lookups!$I$7:$I$10,"")</f>
        <v/>
      </c>
      <c r="W1016">
        <f>IF(O1016&gt;=50000,"HIGH VALUE","")</f>
        <v/>
      </c>
      <c r="X1016">
        <f>IF(Q1016&lt;0,"LOSS","")</f>
        <v/>
      </c>
      <c r="Y1016">
        <f>IFS(M1016&gt;=0.15,"Deep Discount",M1016&gt;=0.1,"Moderate",TRUE,"Standard")</f>
        <v/>
      </c>
    </row>
    <row r="1017">
      <c r="A1017">
        <f>Raw_Data!A1017</f>
        <v/>
      </c>
      <c r="B1017" s="29">
        <f>Raw_Data!B1017</f>
        <v/>
      </c>
      <c r="C1017">
        <f>YEAR(B1017)</f>
        <v/>
      </c>
      <c r="D1017">
        <f>MONTH(B1017)</f>
        <v/>
      </c>
      <c r="E1017">
        <f>TEXT(B1017,"MMM-YYYY")</f>
        <v/>
      </c>
      <c r="F1017">
        <f>Raw_Data!C1017</f>
        <v/>
      </c>
      <c r="G1017">
        <f>Raw_Data!D1017</f>
        <v/>
      </c>
      <c r="H1017">
        <f>Raw_Data!E1017</f>
        <v/>
      </c>
      <c r="I1017">
        <f>Raw_Data!F1017</f>
        <v/>
      </c>
      <c r="J1017">
        <f>Raw_Data!G1017</f>
        <v/>
      </c>
      <c r="K1017">
        <f>Raw_Data!H1017</f>
        <v/>
      </c>
      <c r="L1017" s="30">
        <f>Raw_Data!I1017</f>
        <v/>
      </c>
      <c r="M1017" s="31">
        <f>Raw_Data!J1017</f>
        <v/>
      </c>
      <c r="N1017" s="17">
        <f>K1017*L1017</f>
        <v/>
      </c>
      <c r="O1017" s="17">
        <f>N1017*(1-M1017)</f>
        <v/>
      </c>
      <c r="P1017" s="17">
        <f>Raw_Data!L1017</f>
        <v/>
      </c>
      <c r="Q1017" s="17">
        <f>O1017-P1017</f>
        <v/>
      </c>
      <c r="R1017" s="31">
        <f>IF(O1017=0,0,Q1017/O1017)</f>
        <v/>
      </c>
      <c r="S1017">
        <f>XLOOKUP(F1017,Lookups!$B$7:$B$11,Lookups!$C$7:$C$11,"Unknown")</f>
        <v/>
      </c>
      <c r="T1017" s="31">
        <f>XLOOKUP(G1017,Lookups!$E$7:$E$11,Lookups!$F$7:$F$11,0)</f>
        <v/>
      </c>
      <c r="U1017" s="32">
        <f>R1017-T1017</f>
        <v/>
      </c>
      <c r="V1017">
        <f>XLOOKUP(I1017,Lookups!$H$7:$H$10,Lookups!$I$7:$I$10,"")</f>
        <v/>
      </c>
      <c r="W1017">
        <f>IF(O1017&gt;=50000,"HIGH VALUE","")</f>
        <v/>
      </c>
      <c r="X1017">
        <f>IF(Q1017&lt;0,"LOSS","")</f>
        <v/>
      </c>
      <c r="Y1017">
        <f>IFS(M1017&gt;=0.15,"Deep Discount",M1017&gt;=0.1,"Moderate",TRUE,"Standard")</f>
        <v/>
      </c>
    </row>
    <row r="1018">
      <c r="A1018">
        <f>Raw_Data!A1018</f>
        <v/>
      </c>
      <c r="B1018" s="29">
        <f>Raw_Data!B1018</f>
        <v/>
      </c>
      <c r="C1018">
        <f>YEAR(B1018)</f>
        <v/>
      </c>
      <c r="D1018">
        <f>MONTH(B1018)</f>
        <v/>
      </c>
      <c r="E1018">
        <f>TEXT(B1018,"MMM-YYYY")</f>
        <v/>
      </c>
      <c r="F1018">
        <f>Raw_Data!C1018</f>
        <v/>
      </c>
      <c r="G1018">
        <f>Raw_Data!D1018</f>
        <v/>
      </c>
      <c r="H1018">
        <f>Raw_Data!E1018</f>
        <v/>
      </c>
      <c r="I1018">
        <f>Raw_Data!F1018</f>
        <v/>
      </c>
      <c r="J1018">
        <f>Raw_Data!G1018</f>
        <v/>
      </c>
      <c r="K1018">
        <f>Raw_Data!H1018</f>
        <v/>
      </c>
      <c r="L1018" s="30">
        <f>Raw_Data!I1018</f>
        <v/>
      </c>
      <c r="M1018" s="31">
        <f>Raw_Data!J1018</f>
        <v/>
      </c>
      <c r="N1018" s="17">
        <f>K1018*L1018</f>
        <v/>
      </c>
      <c r="O1018" s="17">
        <f>N1018*(1-M1018)</f>
        <v/>
      </c>
      <c r="P1018" s="17">
        <f>Raw_Data!L1018</f>
        <v/>
      </c>
      <c r="Q1018" s="17">
        <f>O1018-P1018</f>
        <v/>
      </c>
      <c r="R1018" s="31">
        <f>IF(O1018=0,0,Q1018/O1018)</f>
        <v/>
      </c>
      <c r="S1018">
        <f>XLOOKUP(F1018,Lookups!$B$7:$B$11,Lookups!$C$7:$C$11,"Unknown")</f>
        <v/>
      </c>
      <c r="T1018" s="31">
        <f>XLOOKUP(G1018,Lookups!$E$7:$E$11,Lookups!$F$7:$F$11,0)</f>
        <v/>
      </c>
      <c r="U1018" s="32">
        <f>R1018-T1018</f>
        <v/>
      </c>
      <c r="V1018">
        <f>XLOOKUP(I1018,Lookups!$H$7:$H$10,Lookups!$I$7:$I$10,"")</f>
        <v/>
      </c>
      <c r="W1018">
        <f>IF(O1018&gt;=50000,"HIGH VALUE","")</f>
        <v/>
      </c>
      <c r="X1018">
        <f>IF(Q1018&lt;0,"LOSS","")</f>
        <v/>
      </c>
      <c r="Y1018">
        <f>IFS(M1018&gt;=0.15,"Deep Discount",M1018&gt;=0.1,"Moderate",TRUE,"Standard")</f>
        <v/>
      </c>
    </row>
    <row r="1019">
      <c r="A1019">
        <f>Raw_Data!A1019</f>
        <v/>
      </c>
      <c r="B1019" s="29">
        <f>Raw_Data!B1019</f>
        <v/>
      </c>
      <c r="C1019">
        <f>YEAR(B1019)</f>
        <v/>
      </c>
      <c r="D1019">
        <f>MONTH(B1019)</f>
        <v/>
      </c>
      <c r="E1019">
        <f>TEXT(B1019,"MMM-YYYY")</f>
        <v/>
      </c>
      <c r="F1019">
        <f>Raw_Data!C1019</f>
        <v/>
      </c>
      <c r="G1019">
        <f>Raw_Data!D1019</f>
        <v/>
      </c>
      <c r="H1019">
        <f>Raw_Data!E1019</f>
        <v/>
      </c>
      <c r="I1019">
        <f>Raw_Data!F1019</f>
        <v/>
      </c>
      <c r="J1019">
        <f>Raw_Data!G1019</f>
        <v/>
      </c>
      <c r="K1019">
        <f>Raw_Data!H1019</f>
        <v/>
      </c>
      <c r="L1019" s="30">
        <f>Raw_Data!I1019</f>
        <v/>
      </c>
      <c r="M1019" s="31">
        <f>Raw_Data!J1019</f>
        <v/>
      </c>
      <c r="N1019" s="17">
        <f>K1019*L1019</f>
        <v/>
      </c>
      <c r="O1019" s="17">
        <f>N1019*(1-M1019)</f>
        <v/>
      </c>
      <c r="P1019" s="17">
        <f>Raw_Data!L1019</f>
        <v/>
      </c>
      <c r="Q1019" s="17">
        <f>O1019-P1019</f>
        <v/>
      </c>
      <c r="R1019" s="31">
        <f>IF(O1019=0,0,Q1019/O1019)</f>
        <v/>
      </c>
      <c r="S1019">
        <f>XLOOKUP(F1019,Lookups!$B$7:$B$11,Lookups!$C$7:$C$11,"Unknown")</f>
        <v/>
      </c>
      <c r="T1019" s="31">
        <f>XLOOKUP(G1019,Lookups!$E$7:$E$11,Lookups!$F$7:$F$11,0)</f>
        <v/>
      </c>
      <c r="U1019" s="32">
        <f>R1019-T1019</f>
        <v/>
      </c>
      <c r="V1019">
        <f>XLOOKUP(I1019,Lookups!$H$7:$H$10,Lookups!$I$7:$I$10,"")</f>
        <v/>
      </c>
      <c r="W1019">
        <f>IF(O1019&gt;=50000,"HIGH VALUE","")</f>
        <v/>
      </c>
      <c r="X1019">
        <f>IF(Q1019&lt;0,"LOSS","")</f>
        <v/>
      </c>
      <c r="Y1019">
        <f>IFS(M1019&gt;=0.15,"Deep Discount",M1019&gt;=0.1,"Moderate",TRUE,"Standard")</f>
        <v/>
      </c>
    </row>
    <row r="1020">
      <c r="A1020">
        <f>Raw_Data!A1020</f>
        <v/>
      </c>
      <c r="B1020" s="29">
        <f>Raw_Data!B1020</f>
        <v/>
      </c>
      <c r="C1020">
        <f>YEAR(B1020)</f>
        <v/>
      </c>
      <c r="D1020">
        <f>MONTH(B1020)</f>
        <v/>
      </c>
      <c r="E1020">
        <f>TEXT(B1020,"MMM-YYYY")</f>
        <v/>
      </c>
      <c r="F1020">
        <f>Raw_Data!C1020</f>
        <v/>
      </c>
      <c r="G1020">
        <f>Raw_Data!D1020</f>
        <v/>
      </c>
      <c r="H1020">
        <f>Raw_Data!E1020</f>
        <v/>
      </c>
      <c r="I1020">
        <f>Raw_Data!F1020</f>
        <v/>
      </c>
      <c r="J1020">
        <f>Raw_Data!G1020</f>
        <v/>
      </c>
      <c r="K1020">
        <f>Raw_Data!H1020</f>
        <v/>
      </c>
      <c r="L1020" s="30">
        <f>Raw_Data!I1020</f>
        <v/>
      </c>
      <c r="M1020" s="31">
        <f>Raw_Data!J1020</f>
        <v/>
      </c>
      <c r="N1020" s="17">
        <f>K1020*L1020</f>
        <v/>
      </c>
      <c r="O1020" s="17">
        <f>N1020*(1-M1020)</f>
        <v/>
      </c>
      <c r="P1020" s="17">
        <f>Raw_Data!L1020</f>
        <v/>
      </c>
      <c r="Q1020" s="17">
        <f>O1020-P1020</f>
        <v/>
      </c>
      <c r="R1020" s="31">
        <f>IF(O1020=0,0,Q1020/O1020)</f>
        <v/>
      </c>
      <c r="S1020">
        <f>XLOOKUP(F1020,Lookups!$B$7:$B$11,Lookups!$C$7:$C$11,"Unknown")</f>
        <v/>
      </c>
      <c r="T1020" s="31">
        <f>XLOOKUP(G1020,Lookups!$E$7:$E$11,Lookups!$F$7:$F$11,0)</f>
        <v/>
      </c>
      <c r="U1020" s="32">
        <f>R1020-T1020</f>
        <v/>
      </c>
      <c r="V1020">
        <f>XLOOKUP(I1020,Lookups!$H$7:$H$10,Lookups!$I$7:$I$10,"")</f>
        <v/>
      </c>
      <c r="W1020">
        <f>IF(O1020&gt;=50000,"HIGH VALUE","")</f>
        <v/>
      </c>
      <c r="X1020">
        <f>IF(Q1020&lt;0,"LOSS","")</f>
        <v/>
      </c>
      <c r="Y1020">
        <f>IFS(M1020&gt;=0.15,"Deep Discount",M1020&gt;=0.1,"Moderate",TRUE,"Standard")</f>
        <v/>
      </c>
    </row>
    <row r="1021">
      <c r="A1021">
        <f>Raw_Data!A1021</f>
        <v/>
      </c>
      <c r="B1021" s="29">
        <f>Raw_Data!B1021</f>
        <v/>
      </c>
      <c r="C1021">
        <f>YEAR(B1021)</f>
        <v/>
      </c>
      <c r="D1021">
        <f>MONTH(B1021)</f>
        <v/>
      </c>
      <c r="E1021">
        <f>TEXT(B1021,"MMM-YYYY")</f>
        <v/>
      </c>
      <c r="F1021">
        <f>Raw_Data!C1021</f>
        <v/>
      </c>
      <c r="G1021">
        <f>Raw_Data!D1021</f>
        <v/>
      </c>
      <c r="H1021">
        <f>Raw_Data!E1021</f>
        <v/>
      </c>
      <c r="I1021">
        <f>Raw_Data!F1021</f>
        <v/>
      </c>
      <c r="J1021">
        <f>Raw_Data!G1021</f>
        <v/>
      </c>
      <c r="K1021">
        <f>Raw_Data!H1021</f>
        <v/>
      </c>
      <c r="L1021" s="30">
        <f>Raw_Data!I1021</f>
        <v/>
      </c>
      <c r="M1021" s="31">
        <f>Raw_Data!J1021</f>
        <v/>
      </c>
      <c r="N1021" s="17">
        <f>K1021*L1021</f>
        <v/>
      </c>
      <c r="O1021" s="17">
        <f>N1021*(1-M1021)</f>
        <v/>
      </c>
      <c r="P1021" s="17">
        <f>Raw_Data!L1021</f>
        <v/>
      </c>
      <c r="Q1021" s="17">
        <f>O1021-P1021</f>
        <v/>
      </c>
      <c r="R1021" s="31">
        <f>IF(O1021=0,0,Q1021/O1021)</f>
        <v/>
      </c>
      <c r="S1021">
        <f>XLOOKUP(F1021,Lookups!$B$7:$B$11,Lookups!$C$7:$C$11,"Unknown")</f>
        <v/>
      </c>
      <c r="T1021" s="31">
        <f>XLOOKUP(G1021,Lookups!$E$7:$E$11,Lookups!$F$7:$F$11,0)</f>
        <v/>
      </c>
      <c r="U1021" s="32">
        <f>R1021-T1021</f>
        <v/>
      </c>
      <c r="V1021">
        <f>XLOOKUP(I1021,Lookups!$H$7:$H$10,Lookups!$I$7:$I$10,"")</f>
        <v/>
      </c>
      <c r="W1021">
        <f>IF(O1021&gt;=50000,"HIGH VALUE","")</f>
        <v/>
      </c>
      <c r="X1021">
        <f>IF(Q1021&lt;0,"LOSS","")</f>
        <v/>
      </c>
      <c r="Y1021">
        <f>IFS(M1021&gt;=0.15,"Deep Discount",M1021&gt;=0.1,"Moderate",TRUE,"Standard")</f>
        <v/>
      </c>
    </row>
    <row r="1022">
      <c r="A1022">
        <f>Raw_Data!A1022</f>
        <v/>
      </c>
      <c r="B1022" s="29">
        <f>Raw_Data!B1022</f>
        <v/>
      </c>
      <c r="C1022">
        <f>YEAR(B1022)</f>
        <v/>
      </c>
      <c r="D1022">
        <f>MONTH(B1022)</f>
        <v/>
      </c>
      <c r="E1022">
        <f>TEXT(B1022,"MMM-YYYY")</f>
        <v/>
      </c>
      <c r="F1022">
        <f>Raw_Data!C1022</f>
        <v/>
      </c>
      <c r="G1022">
        <f>Raw_Data!D1022</f>
        <v/>
      </c>
      <c r="H1022">
        <f>Raw_Data!E1022</f>
        <v/>
      </c>
      <c r="I1022">
        <f>Raw_Data!F1022</f>
        <v/>
      </c>
      <c r="J1022">
        <f>Raw_Data!G1022</f>
        <v/>
      </c>
      <c r="K1022">
        <f>Raw_Data!H1022</f>
        <v/>
      </c>
      <c r="L1022" s="30">
        <f>Raw_Data!I1022</f>
        <v/>
      </c>
      <c r="M1022" s="31">
        <f>Raw_Data!J1022</f>
        <v/>
      </c>
      <c r="N1022" s="17">
        <f>K1022*L1022</f>
        <v/>
      </c>
      <c r="O1022" s="17">
        <f>N1022*(1-M1022)</f>
        <v/>
      </c>
      <c r="P1022" s="17">
        <f>Raw_Data!L1022</f>
        <v/>
      </c>
      <c r="Q1022" s="17">
        <f>O1022-P1022</f>
        <v/>
      </c>
      <c r="R1022" s="31">
        <f>IF(O1022=0,0,Q1022/O1022)</f>
        <v/>
      </c>
      <c r="S1022">
        <f>XLOOKUP(F1022,Lookups!$B$7:$B$11,Lookups!$C$7:$C$11,"Unknown")</f>
        <v/>
      </c>
      <c r="T1022" s="31">
        <f>XLOOKUP(G1022,Lookups!$E$7:$E$11,Lookups!$F$7:$F$11,0)</f>
        <v/>
      </c>
      <c r="U1022" s="32">
        <f>R1022-T1022</f>
        <v/>
      </c>
      <c r="V1022">
        <f>XLOOKUP(I1022,Lookups!$H$7:$H$10,Lookups!$I$7:$I$10,"")</f>
        <v/>
      </c>
      <c r="W1022">
        <f>IF(O1022&gt;=50000,"HIGH VALUE","")</f>
        <v/>
      </c>
      <c r="X1022">
        <f>IF(Q1022&lt;0,"LOSS","")</f>
        <v/>
      </c>
      <c r="Y1022">
        <f>IFS(M1022&gt;=0.15,"Deep Discount",M1022&gt;=0.1,"Moderate",TRUE,"Standard")</f>
        <v/>
      </c>
    </row>
    <row r="1023">
      <c r="A1023">
        <f>Raw_Data!A1023</f>
        <v/>
      </c>
      <c r="B1023" s="29">
        <f>Raw_Data!B1023</f>
        <v/>
      </c>
      <c r="C1023">
        <f>YEAR(B1023)</f>
        <v/>
      </c>
      <c r="D1023">
        <f>MONTH(B1023)</f>
        <v/>
      </c>
      <c r="E1023">
        <f>TEXT(B1023,"MMM-YYYY")</f>
        <v/>
      </c>
      <c r="F1023">
        <f>Raw_Data!C1023</f>
        <v/>
      </c>
      <c r="G1023">
        <f>Raw_Data!D1023</f>
        <v/>
      </c>
      <c r="H1023">
        <f>Raw_Data!E1023</f>
        <v/>
      </c>
      <c r="I1023">
        <f>Raw_Data!F1023</f>
        <v/>
      </c>
      <c r="J1023">
        <f>Raw_Data!G1023</f>
        <v/>
      </c>
      <c r="K1023">
        <f>Raw_Data!H1023</f>
        <v/>
      </c>
      <c r="L1023" s="30">
        <f>Raw_Data!I1023</f>
        <v/>
      </c>
      <c r="M1023" s="31">
        <f>Raw_Data!J1023</f>
        <v/>
      </c>
      <c r="N1023" s="17">
        <f>K1023*L1023</f>
        <v/>
      </c>
      <c r="O1023" s="17">
        <f>N1023*(1-M1023)</f>
        <v/>
      </c>
      <c r="P1023" s="17">
        <f>Raw_Data!L1023</f>
        <v/>
      </c>
      <c r="Q1023" s="17">
        <f>O1023-P1023</f>
        <v/>
      </c>
      <c r="R1023" s="31">
        <f>IF(O1023=0,0,Q1023/O1023)</f>
        <v/>
      </c>
      <c r="S1023">
        <f>XLOOKUP(F1023,Lookups!$B$7:$B$11,Lookups!$C$7:$C$11,"Unknown")</f>
        <v/>
      </c>
      <c r="T1023" s="31">
        <f>XLOOKUP(G1023,Lookups!$E$7:$E$11,Lookups!$F$7:$F$11,0)</f>
        <v/>
      </c>
      <c r="U1023" s="32">
        <f>R1023-T1023</f>
        <v/>
      </c>
      <c r="V1023">
        <f>XLOOKUP(I1023,Lookups!$H$7:$H$10,Lookups!$I$7:$I$10,"")</f>
        <v/>
      </c>
      <c r="W1023">
        <f>IF(O1023&gt;=50000,"HIGH VALUE","")</f>
        <v/>
      </c>
      <c r="X1023">
        <f>IF(Q1023&lt;0,"LOSS","")</f>
        <v/>
      </c>
      <c r="Y1023">
        <f>IFS(M1023&gt;=0.15,"Deep Discount",M1023&gt;=0.1,"Moderate",TRUE,"Standard")</f>
        <v/>
      </c>
    </row>
    <row r="1024">
      <c r="A1024">
        <f>Raw_Data!A1024</f>
        <v/>
      </c>
      <c r="B1024" s="29">
        <f>Raw_Data!B1024</f>
        <v/>
      </c>
      <c r="C1024">
        <f>YEAR(B1024)</f>
        <v/>
      </c>
      <c r="D1024">
        <f>MONTH(B1024)</f>
        <v/>
      </c>
      <c r="E1024">
        <f>TEXT(B1024,"MMM-YYYY")</f>
        <v/>
      </c>
      <c r="F1024">
        <f>Raw_Data!C1024</f>
        <v/>
      </c>
      <c r="G1024">
        <f>Raw_Data!D1024</f>
        <v/>
      </c>
      <c r="H1024">
        <f>Raw_Data!E1024</f>
        <v/>
      </c>
      <c r="I1024">
        <f>Raw_Data!F1024</f>
        <v/>
      </c>
      <c r="J1024">
        <f>Raw_Data!G1024</f>
        <v/>
      </c>
      <c r="K1024">
        <f>Raw_Data!H1024</f>
        <v/>
      </c>
      <c r="L1024" s="30">
        <f>Raw_Data!I1024</f>
        <v/>
      </c>
      <c r="M1024" s="31">
        <f>Raw_Data!J1024</f>
        <v/>
      </c>
      <c r="N1024" s="17">
        <f>K1024*L1024</f>
        <v/>
      </c>
      <c r="O1024" s="17">
        <f>N1024*(1-M1024)</f>
        <v/>
      </c>
      <c r="P1024" s="17">
        <f>Raw_Data!L1024</f>
        <v/>
      </c>
      <c r="Q1024" s="17">
        <f>O1024-P1024</f>
        <v/>
      </c>
      <c r="R1024" s="31">
        <f>IF(O1024=0,0,Q1024/O1024)</f>
        <v/>
      </c>
      <c r="S1024">
        <f>XLOOKUP(F1024,Lookups!$B$7:$B$11,Lookups!$C$7:$C$11,"Unknown")</f>
        <v/>
      </c>
      <c r="T1024" s="31">
        <f>XLOOKUP(G1024,Lookups!$E$7:$E$11,Lookups!$F$7:$F$11,0)</f>
        <v/>
      </c>
      <c r="U1024" s="32">
        <f>R1024-T1024</f>
        <v/>
      </c>
      <c r="V1024">
        <f>XLOOKUP(I1024,Lookups!$H$7:$H$10,Lookups!$I$7:$I$10,"")</f>
        <v/>
      </c>
      <c r="W1024">
        <f>IF(O1024&gt;=50000,"HIGH VALUE","")</f>
        <v/>
      </c>
      <c r="X1024">
        <f>IF(Q1024&lt;0,"LOSS","")</f>
        <v/>
      </c>
      <c r="Y1024">
        <f>IFS(M1024&gt;=0.15,"Deep Discount",M1024&gt;=0.1,"Moderate",TRUE,"Standard")</f>
        <v/>
      </c>
    </row>
    <row r="1025">
      <c r="A1025">
        <f>Raw_Data!A1025</f>
        <v/>
      </c>
      <c r="B1025" s="29">
        <f>Raw_Data!B1025</f>
        <v/>
      </c>
      <c r="C1025">
        <f>YEAR(B1025)</f>
        <v/>
      </c>
      <c r="D1025">
        <f>MONTH(B1025)</f>
        <v/>
      </c>
      <c r="E1025">
        <f>TEXT(B1025,"MMM-YYYY")</f>
        <v/>
      </c>
      <c r="F1025">
        <f>Raw_Data!C1025</f>
        <v/>
      </c>
      <c r="G1025">
        <f>Raw_Data!D1025</f>
        <v/>
      </c>
      <c r="H1025">
        <f>Raw_Data!E1025</f>
        <v/>
      </c>
      <c r="I1025">
        <f>Raw_Data!F1025</f>
        <v/>
      </c>
      <c r="J1025">
        <f>Raw_Data!G1025</f>
        <v/>
      </c>
      <c r="K1025">
        <f>Raw_Data!H1025</f>
        <v/>
      </c>
      <c r="L1025" s="30">
        <f>Raw_Data!I1025</f>
        <v/>
      </c>
      <c r="M1025" s="31">
        <f>Raw_Data!J1025</f>
        <v/>
      </c>
      <c r="N1025" s="17">
        <f>K1025*L1025</f>
        <v/>
      </c>
      <c r="O1025" s="17">
        <f>N1025*(1-M1025)</f>
        <v/>
      </c>
      <c r="P1025" s="17">
        <f>Raw_Data!L1025</f>
        <v/>
      </c>
      <c r="Q1025" s="17">
        <f>O1025-P1025</f>
        <v/>
      </c>
      <c r="R1025" s="31">
        <f>IF(O1025=0,0,Q1025/O1025)</f>
        <v/>
      </c>
      <c r="S1025">
        <f>XLOOKUP(F1025,Lookups!$B$7:$B$11,Lookups!$C$7:$C$11,"Unknown")</f>
        <v/>
      </c>
      <c r="T1025" s="31">
        <f>XLOOKUP(G1025,Lookups!$E$7:$E$11,Lookups!$F$7:$F$11,0)</f>
        <v/>
      </c>
      <c r="U1025" s="32">
        <f>R1025-T1025</f>
        <v/>
      </c>
      <c r="V1025">
        <f>XLOOKUP(I1025,Lookups!$H$7:$H$10,Lookups!$I$7:$I$10,"")</f>
        <v/>
      </c>
      <c r="W1025">
        <f>IF(O1025&gt;=50000,"HIGH VALUE","")</f>
        <v/>
      </c>
      <c r="X1025">
        <f>IF(Q1025&lt;0,"LOSS","")</f>
        <v/>
      </c>
      <c r="Y1025">
        <f>IFS(M1025&gt;=0.15,"Deep Discount",M1025&gt;=0.1,"Moderate",TRUE,"Standard")</f>
        <v/>
      </c>
    </row>
    <row r="1026">
      <c r="A1026">
        <f>Raw_Data!A1026</f>
        <v/>
      </c>
      <c r="B1026" s="29">
        <f>Raw_Data!B1026</f>
        <v/>
      </c>
      <c r="C1026">
        <f>YEAR(B1026)</f>
        <v/>
      </c>
      <c r="D1026">
        <f>MONTH(B1026)</f>
        <v/>
      </c>
      <c r="E1026">
        <f>TEXT(B1026,"MMM-YYYY")</f>
        <v/>
      </c>
      <c r="F1026">
        <f>Raw_Data!C1026</f>
        <v/>
      </c>
      <c r="G1026">
        <f>Raw_Data!D1026</f>
        <v/>
      </c>
      <c r="H1026">
        <f>Raw_Data!E1026</f>
        <v/>
      </c>
      <c r="I1026">
        <f>Raw_Data!F1026</f>
        <v/>
      </c>
      <c r="J1026">
        <f>Raw_Data!G1026</f>
        <v/>
      </c>
      <c r="K1026">
        <f>Raw_Data!H1026</f>
        <v/>
      </c>
      <c r="L1026" s="30">
        <f>Raw_Data!I1026</f>
        <v/>
      </c>
      <c r="M1026" s="31">
        <f>Raw_Data!J1026</f>
        <v/>
      </c>
      <c r="N1026" s="17">
        <f>K1026*L1026</f>
        <v/>
      </c>
      <c r="O1026" s="17">
        <f>N1026*(1-M1026)</f>
        <v/>
      </c>
      <c r="P1026" s="17">
        <f>Raw_Data!L1026</f>
        <v/>
      </c>
      <c r="Q1026" s="17">
        <f>O1026-P1026</f>
        <v/>
      </c>
      <c r="R1026" s="31">
        <f>IF(O1026=0,0,Q1026/O1026)</f>
        <v/>
      </c>
      <c r="S1026">
        <f>XLOOKUP(F1026,Lookups!$B$7:$B$11,Lookups!$C$7:$C$11,"Unknown")</f>
        <v/>
      </c>
      <c r="T1026" s="31">
        <f>XLOOKUP(G1026,Lookups!$E$7:$E$11,Lookups!$F$7:$F$11,0)</f>
        <v/>
      </c>
      <c r="U1026" s="32">
        <f>R1026-T1026</f>
        <v/>
      </c>
      <c r="V1026">
        <f>XLOOKUP(I1026,Lookups!$H$7:$H$10,Lookups!$I$7:$I$10,"")</f>
        <v/>
      </c>
      <c r="W1026">
        <f>IF(O1026&gt;=50000,"HIGH VALUE","")</f>
        <v/>
      </c>
      <c r="X1026">
        <f>IF(Q1026&lt;0,"LOSS","")</f>
        <v/>
      </c>
      <c r="Y1026">
        <f>IFS(M1026&gt;=0.15,"Deep Discount",M1026&gt;=0.1,"Moderate",TRUE,"Standard")</f>
        <v/>
      </c>
    </row>
    <row r="1027">
      <c r="A1027">
        <f>Raw_Data!A1027</f>
        <v/>
      </c>
      <c r="B1027" s="29">
        <f>Raw_Data!B1027</f>
        <v/>
      </c>
      <c r="C1027">
        <f>YEAR(B1027)</f>
        <v/>
      </c>
      <c r="D1027">
        <f>MONTH(B1027)</f>
        <v/>
      </c>
      <c r="E1027">
        <f>TEXT(B1027,"MMM-YYYY")</f>
        <v/>
      </c>
      <c r="F1027">
        <f>Raw_Data!C1027</f>
        <v/>
      </c>
      <c r="G1027">
        <f>Raw_Data!D1027</f>
        <v/>
      </c>
      <c r="H1027">
        <f>Raw_Data!E1027</f>
        <v/>
      </c>
      <c r="I1027">
        <f>Raw_Data!F1027</f>
        <v/>
      </c>
      <c r="J1027">
        <f>Raw_Data!G1027</f>
        <v/>
      </c>
      <c r="K1027">
        <f>Raw_Data!H1027</f>
        <v/>
      </c>
      <c r="L1027" s="30">
        <f>Raw_Data!I1027</f>
        <v/>
      </c>
      <c r="M1027" s="31">
        <f>Raw_Data!J1027</f>
        <v/>
      </c>
      <c r="N1027" s="17">
        <f>K1027*L1027</f>
        <v/>
      </c>
      <c r="O1027" s="17">
        <f>N1027*(1-M1027)</f>
        <v/>
      </c>
      <c r="P1027" s="17">
        <f>Raw_Data!L1027</f>
        <v/>
      </c>
      <c r="Q1027" s="17">
        <f>O1027-P1027</f>
        <v/>
      </c>
      <c r="R1027" s="31">
        <f>IF(O1027=0,0,Q1027/O1027)</f>
        <v/>
      </c>
      <c r="S1027">
        <f>XLOOKUP(F1027,Lookups!$B$7:$B$11,Lookups!$C$7:$C$11,"Unknown")</f>
        <v/>
      </c>
      <c r="T1027" s="31">
        <f>XLOOKUP(G1027,Lookups!$E$7:$E$11,Lookups!$F$7:$F$11,0)</f>
        <v/>
      </c>
      <c r="U1027" s="32">
        <f>R1027-T1027</f>
        <v/>
      </c>
      <c r="V1027">
        <f>XLOOKUP(I1027,Lookups!$H$7:$H$10,Lookups!$I$7:$I$10,"")</f>
        <v/>
      </c>
      <c r="W1027">
        <f>IF(O1027&gt;=50000,"HIGH VALUE","")</f>
        <v/>
      </c>
      <c r="X1027">
        <f>IF(Q1027&lt;0,"LOSS","")</f>
        <v/>
      </c>
      <c r="Y1027">
        <f>IFS(M1027&gt;=0.15,"Deep Discount",M1027&gt;=0.1,"Moderate",TRUE,"Standard")</f>
        <v/>
      </c>
    </row>
    <row r="1028">
      <c r="A1028">
        <f>Raw_Data!A1028</f>
        <v/>
      </c>
      <c r="B1028" s="29">
        <f>Raw_Data!B1028</f>
        <v/>
      </c>
      <c r="C1028">
        <f>YEAR(B1028)</f>
        <v/>
      </c>
      <c r="D1028">
        <f>MONTH(B1028)</f>
        <v/>
      </c>
      <c r="E1028">
        <f>TEXT(B1028,"MMM-YYYY")</f>
        <v/>
      </c>
      <c r="F1028">
        <f>Raw_Data!C1028</f>
        <v/>
      </c>
      <c r="G1028">
        <f>Raw_Data!D1028</f>
        <v/>
      </c>
      <c r="H1028">
        <f>Raw_Data!E1028</f>
        <v/>
      </c>
      <c r="I1028">
        <f>Raw_Data!F1028</f>
        <v/>
      </c>
      <c r="J1028">
        <f>Raw_Data!G1028</f>
        <v/>
      </c>
      <c r="K1028">
        <f>Raw_Data!H1028</f>
        <v/>
      </c>
      <c r="L1028" s="30">
        <f>Raw_Data!I1028</f>
        <v/>
      </c>
      <c r="M1028" s="31">
        <f>Raw_Data!J1028</f>
        <v/>
      </c>
      <c r="N1028" s="17">
        <f>K1028*L1028</f>
        <v/>
      </c>
      <c r="O1028" s="17">
        <f>N1028*(1-M1028)</f>
        <v/>
      </c>
      <c r="P1028" s="17">
        <f>Raw_Data!L1028</f>
        <v/>
      </c>
      <c r="Q1028" s="17">
        <f>O1028-P1028</f>
        <v/>
      </c>
      <c r="R1028" s="31">
        <f>IF(O1028=0,0,Q1028/O1028)</f>
        <v/>
      </c>
      <c r="S1028">
        <f>XLOOKUP(F1028,Lookups!$B$7:$B$11,Lookups!$C$7:$C$11,"Unknown")</f>
        <v/>
      </c>
      <c r="T1028" s="31">
        <f>XLOOKUP(G1028,Lookups!$E$7:$E$11,Lookups!$F$7:$F$11,0)</f>
        <v/>
      </c>
      <c r="U1028" s="32">
        <f>R1028-T1028</f>
        <v/>
      </c>
      <c r="V1028">
        <f>XLOOKUP(I1028,Lookups!$H$7:$H$10,Lookups!$I$7:$I$10,"")</f>
        <v/>
      </c>
      <c r="W1028">
        <f>IF(O1028&gt;=50000,"HIGH VALUE","")</f>
        <v/>
      </c>
      <c r="X1028">
        <f>IF(Q1028&lt;0,"LOSS","")</f>
        <v/>
      </c>
      <c r="Y1028">
        <f>IFS(M1028&gt;=0.15,"Deep Discount",M1028&gt;=0.1,"Moderate",TRUE,"Standard")</f>
        <v/>
      </c>
    </row>
    <row r="1029">
      <c r="A1029">
        <f>Raw_Data!A1029</f>
        <v/>
      </c>
      <c r="B1029" s="29">
        <f>Raw_Data!B1029</f>
        <v/>
      </c>
      <c r="C1029">
        <f>YEAR(B1029)</f>
        <v/>
      </c>
      <c r="D1029">
        <f>MONTH(B1029)</f>
        <v/>
      </c>
      <c r="E1029">
        <f>TEXT(B1029,"MMM-YYYY")</f>
        <v/>
      </c>
      <c r="F1029">
        <f>Raw_Data!C1029</f>
        <v/>
      </c>
      <c r="G1029">
        <f>Raw_Data!D1029</f>
        <v/>
      </c>
      <c r="H1029">
        <f>Raw_Data!E1029</f>
        <v/>
      </c>
      <c r="I1029">
        <f>Raw_Data!F1029</f>
        <v/>
      </c>
      <c r="J1029">
        <f>Raw_Data!G1029</f>
        <v/>
      </c>
      <c r="K1029">
        <f>Raw_Data!H1029</f>
        <v/>
      </c>
      <c r="L1029" s="30">
        <f>Raw_Data!I1029</f>
        <v/>
      </c>
      <c r="M1029" s="31">
        <f>Raw_Data!J1029</f>
        <v/>
      </c>
      <c r="N1029" s="17">
        <f>K1029*L1029</f>
        <v/>
      </c>
      <c r="O1029" s="17">
        <f>N1029*(1-M1029)</f>
        <v/>
      </c>
      <c r="P1029" s="17">
        <f>Raw_Data!L1029</f>
        <v/>
      </c>
      <c r="Q1029" s="17">
        <f>O1029-P1029</f>
        <v/>
      </c>
      <c r="R1029" s="31">
        <f>IF(O1029=0,0,Q1029/O1029)</f>
        <v/>
      </c>
      <c r="S1029">
        <f>XLOOKUP(F1029,Lookups!$B$7:$B$11,Lookups!$C$7:$C$11,"Unknown")</f>
        <v/>
      </c>
      <c r="T1029" s="31">
        <f>XLOOKUP(G1029,Lookups!$E$7:$E$11,Lookups!$F$7:$F$11,0)</f>
        <v/>
      </c>
      <c r="U1029" s="32">
        <f>R1029-T1029</f>
        <v/>
      </c>
      <c r="V1029">
        <f>XLOOKUP(I1029,Lookups!$H$7:$H$10,Lookups!$I$7:$I$10,"")</f>
        <v/>
      </c>
      <c r="W1029">
        <f>IF(O1029&gt;=50000,"HIGH VALUE","")</f>
        <v/>
      </c>
      <c r="X1029">
        <f>IF(Q1029&lt;0,"LOSS","")</f>
        <v/>
      </c>
      <c r="Y1029">
        <f>IFS(M1029&gt;=0.15,"Deep Discount",M1029&gt;=0.1,"Moderate",TRUE,"Standard")</f>
        <v/>
      </c>
    </row>
    <row r="1030">
      <c r="A1030">
        <f>Raw_Data!A1030</f>
        <v/>
      </c>
      <c r="B1030" s="29">
        <f>Raw_Data!B1030</f>
        <v/>
      </c>
      <c r="C1030">
        <f>YEAR(B1030)</f>
        <v/>
      </c>
      <c r="D1030">
        <f>MONTH(B1030)</f>
        <v/>
      </c>
      <c r="E1030">
        <f>TEXT(B1030,"MMM-YYYY")</f>
        <v/>
      </c>
      <c r="F1030">
        <f>Raw_Data!C1030</f>
        <v/>
      </c>
      <c r="G1030">
        <f>Raw_Data!D1030</f>
        <v/>
      </c>
      <c r="H1030">
        <f>Raw_Data!E1030</f>
        <v/>
      </c>
      <c r="I1030">
        <f>Raw_Data!F1030</f>
        <v/>
      </c>
      <c r="J1030">
        <f>Raw_Data!G1030</f>
        <v/>
      </c>
      <c r="K1030">
        <f>Raw_Data!H1030</f>
        <v/>
      </c>
      <c r="L1030" s="30">
        <f>Raw_Data!I1030</f>
        <v/>
      </c>
      <c r="M1030" s="31">
        <f>Raw_Data!J1030</f>
        <v/>
      </c>
      <c r="N1030" s="17">
        <f>K1030*L1030</f>
        <v/>
      </c>
      <c r="O1030" s="17">
        <f>N1030*(1-M1030)</f>
        <v/>
      </c>
      <c r="P1030" s="17">
        <f>Raw_Data!L1030</f>
        <v/>
      </c>
      <c r="Q1030" s="17">
        <f>O1030-P1030</f>
        <v/>
      </c>
      <c r="R1030" s="31">
        <f>IF(O1030=0,0,Q1030/O1030)</f>
        <v/>
      </c>
      <c r="S1030">
        <f>XLOOKUP(F1030,Lookups!$B$7:$B$11,Lookups!$C$7:$C$11,"Unknown")</f>
        <v/>
      </c>
      <c r="T1030" s="31">
        <f>XLOOKUP(G1030,Lookups!$E$7:$E$11,Lookups!$F$7:$F$11,0)</f>
        <v/>
      </c>
      <c r="U1030" s="32">
        <f>R1030-T1030</f>
        <v/>
      </c>
      <c r="V1030">
        <f>XLOOKUP(I1030,Lookups!$H$7:$H$10,Lookups!$I$7:$I$10,"")</f>
        <v/>
      </c>
      <c r="W1030">
        <f>IF(O1030&gt;=50000,"HIGH VALUE","")</f>
        <v/>
      </c>
      <c r="X1030">
        <f>IF(Q1030&lt;0,"LOSS","")</f>
        <v/>
      </c>
      <c r="Y1030">
        <f>IFS(M1030&gt;=0.15,"Deep Discount",M1030&gt;=0.1,"Moderate",TRUE,"Standard")</f>
        <v/>
      </c>
    </row>
    <row r="1031">
      <c r="A1031">
        <f>Raw_Data!A1031</f>
        <v/>
      </c>
      <c r="B1031" s="29">
        <f>Raw_Data!B1031</f>
        <v/>
      </c>
      <c r="C1031">
        <f>YEAR(B1031)</f>
        <v/>
      </c>
      <c r="D1031">
        <f>MONTH(B1031)</f>
        <v/>
      </c>
      <c r="E1031">
        <f>TEXT(B1031,"MMM-YYYY")</f>
        <v/>
      </c>
      <c r="F1031">
        <f>Raw_Data!C1031</f>
        <v/>
      </c>
      <c r="G1031">
        <f>Raw_Data!D1031</f>
        <v/>
      </c>
      <c r="H1031">
        <f>Raw_Data!E1031</f>
        <v/>
      </c>
      <c r="I1031">
        <f>Raw_Data!F1031</f>
        <v/>
      </c>
      <c r="J1031">
        <f>Raw_Data!G1031</f>
        <v/>
      </c>
      <c r="K1031">
        <f>Raw_Data!H1031</f>
        <v/>
      </c>
      <c r="L1031" s="30">
        <f>Raw_Data!I1031</f>
        <v/>
      </c>
      <c r="M1031" s="31">
        <f>Raw_Data!J1031</f>
        <v/>
      </c>
      <c r="N1031" s="17">
        <f>K1031*L1031</f>
        <v/>
      </c>
      <c r="O1031" s="17">
        <f>N1031*(1-M1031)</f>
        <v/>
      </c>
      <c r="P1031" s="17">
        <f>Raw_Data!L1031</f>
        <v/>
      </c>
      <c r="Q1031" s="17">
        <f>O1031-P1031</f>
        <v/>
      </c>
      <c r="R1031" s="31">
        <f>IF(O1031=0,0,Q1031/O1031)</f>
        <v/>
      </c>
      <c r="S1031">
        <f>XLOOKUP(F1031,Lookups!$B$7:$B$11,Lookups!$C$7:$C$11,"Unknown")</f>
        <v/>
      </c>
      <c r="T1031" s="31">
        <f>XLOOKUP(G1031,Lookups!$E$7:$E$11,Lookups!$F$7:$F$11,0)</f>
        <v/>
      </c>
      <c r="U1031" s="32">
        <f>R1031-T1031</f>
        <v/>
      </c>
      <c r="V1031">
        <f>XLOOKUP(I1031,Lookups!$H$7:$H$10,Lookups!$I$7:$I$10,"")</f>
        <v/>
      </c>
      <c r="W1031">
        <f>IF(O1031&gt;=50000,"HIGH VALUE","")</f>
        <v/>
      </c>
      <c r="X1031">
        <f>IF(Q1031&lt;0,"LOSS","")</f>
        <v/>
      </c>
      <c r="Y1031">
        <f>IFS(M1031&gt;=0.15,"Deep Discount",M1031&gt;=0.1,"Moderate",TRUE,"Standard")</f>
        <v/>
      </c>
    </row>
    <row r="1032">
      <c r="A1032">
        <f>Raw_Data!A1032</f>
        <v/>
      </c>
      <c r="B1032" s="29">
        <f>Raw_Data!B1032</f>
        <v/>
      </c>
      <c r="C1032">
        <f>YEAR(B1032)</f>
        <v/>
      </c>
      <c r="D1032">
        <f>MONTH(B1032)</f>
        <v/>
      </c>
      <c r="E1032">
        <f>TEXT(B1032,"MMM-YYYY")</f>
        <v/>
      </c>
      <c r="F1032">
        <f>Raw_Data!C1032</f>
        <v/>
      </c>
      <c r="G1032">
        <f>Raw_Data!D1032</f>
        <v/>
      </c>
      <c r="H1032">
        <f>Raw_Data!E1032</f>
        <v/>
      </c>
      <c r="I1032">
        <f>Raw_Data!F1032</f>
        <v/>
      </c>
      <c r="J1032">
        <f>Raw_Data!G1032</f>
        <v/>
      </c>
      <c r="K1032">
        <f>Raw_Data!H1032</f>
        <v/>
      </c>
      <c r="L1032" s="30">
        <f>Raw_Data!I1032</f>
        <v/>
      </c>
      <c r="M1032" s="31">
        <f>Raw_Data!J1032</f>
        <v/>
      </c>
      <c r="N1032" s="17">
        <f>K1032*L1032</f>
        <v/>
      </c>
      <c r="O1032" s="17">
        <f>N1032*(1-M1032)</f>
        <v/>
      </c>
      <c r="P1032" s="17">
        <f>Raw_Data!L1032</f>
        <v/>
      </c>
      <c r="Q1032" s="17">
        <f>O1032-P1032</f>
        <v/>
      </c>
      <c r="R1032" s="31">
        <f>IF(O1032=0,0,Q1032/O1032)</f>
        <v/>
      </c>
      <c r="S1032">
        <f>XLOOKUP(F1032,Lookups!$B$7:$B$11,Lookups!$C$7:$C$11,"Unknown")</f>
        <v/>
      </c>
      <c r="T1032" s="31">
        <f>XLOOKUP(G1032,Lookups!$E$7:$E$11,Lookups!$F$7:$F$11,0)</f>
        <v/>
      </c>
      <c r="U1032" s="32">
        <f>R1032-T1032</f>
        <v/>
      </c>
      <c r="V1032">
        <f>XLOOKUP(I1032,Lookups!$H$7:$H$10,Lookups!$I$7:$I$10,"")</f>
        <v/>
      </c>
      <c r="W1032">
        <f>IF(O1032&gt;=50000,"HIGH VALUE","")</f>
        <v/>
      </c>
      <c r="X1032">
        <f>IF(Q1032&lt;0,"LOSS","")</f>
        <v/>
      </c>
      <c r="Y1032">
        <f>IFS(M1032&gt;=0.15,"Deep Discount",M1032&gt;=0.1,"Moderate",TRUE,"Standard")</f>
        <v/>
      </c>
    </row>
    <row r="1033">
      <c r="A1033">
        <f>Raw_Data!A1033</f>
        <v/>
      </c>
      <c r="B1033" s="29">
        <f>Raw_Data!B1033</f>
        <v/>
      </c>
      <c r="C1033">
        <f>YEAR(B1033)</f>
        <v/>
      </c>
      <c r="D1033">
        <f>MONTH(B1033)</f>
        <v/>
      </c>
      <c r="E1033">
        <f>TEXT(B1033,"MMM-YYYY")</f>
        <v/>
      </c>
      <c r="F1033">
        <f>Raw_Data!C1033</f>
        <v/>
      </c>
      <c r="G1033">
        <f>Raw_Data!D1033</f>
        <v/>
      </c>
      <c r="H1033">
        <f>Raw_Data!E1033</f>
        <v/>
      </c>
      <c r="I1033">
        <f>Raw_Data!F1033</f>
        <v/>
      </c>
      <c r="J1033">
        <f>Raw_Data!G1033</f>
        <v/>
      </c>
      <c r="K1033">
        <f>Raw_Data!H1033</f>
        <v/>
      </c>
      <c r="L1033" s="30">
        <f>Raw_Data!I1033</f>
        <v/>
      </c>
      <c r="M1033" s="31">
        <f>Raw_Data!J1033</f>
        <v/>
      </c>
      <c r="N1033" s="17">
        <f>K1033*L1033</f>
        <v/>
      </c>
      <c r="O1033" s="17">
        <f>N1033*(1-M1033)</f>
        <v/>
      </c>
      <c r="P1033" s="17">
        <f>Raw_Data!L1033</f>
        <v/>
      </c>
      <c r="Q1033" s="17">
        <f>O1033-P1033</f>
        <v/>
      </c>
      <c r="R1033" s="31">
        <f>IF(O1033=0,0,Q1033/O1033)</f>
        <v/>
      </c>
      <c r="S1033">
        <f>XLOOKUP(F1033,Lookups!$B$7:$B$11,Lookups!$C$7:$C$11,"Unknown")</f>
        <v/>
      </c>
      <c r="T1033" s="31">
        <f>XLOOKUP(G1033,Lookups!$E$7:$E$11,Lookups!$F$7:$F$11,0)</f>
        <v/>
      </c>
      <c r="U1033" s="32">
        <f>R1033-T1033</f>
        <v/>
      </c>
      <c r="V1033">
        <f>XLOOKUP(I1033,Lookups!$H$7:$H$10,Lookups!$I$7:$I$10,"")</f>
        <v/>
      </c>
      <c r="W1033">
        <f>IF(O1033&gt;=50000,"HIGH VALUE","")</f>
        <v/>
      </c>
      <c r="X1033">
        <f>IF(Q1033&lt;0,"LOSS","")</f>
        <v/>
      </c>
      <c r="Y1033">
        <f>IFS(M1033&gt;=0.15,"Deep Discount",M1033&gt;=0.1,"Moderate",TRUE,"Standard")</f>
        <v/>
      </c>
    </row>
    <row r="1034">
      <c r="A1034">
        <f>Raw_Data!A1034</f>
        <v/>
      </c>
      <c r="B1034" s="29">
        <f>Raw_Data!B1034</f>
        <v/>
      </c>
      <c r="C1034">
        <f>YEAR(B1034)</f>
        <v/>
      </c>
      <c r="D1034">
        <f>MONTH(B1034)</f>
        <v/>
      </c>
      <c r="E1034">
        <f>TEXT(B1034,"MMM-YYYY")</f>
        <v/>
      </c>
      <c r="F1034">
        <f>Raw_Data!C1034</f>
        <v/>
      </c>
      <c r="G1034">
        <f>Raw_Data!D1034</f>
        <v/>
      </c>
      <c r="H1034">
        <f>Raw_Data!E1034</f>
        <v/>
      </c>
      <c r="I1034">
        <f>Raw_Data!F1034</f>
        <v/>
      </c>
      <c r="J1034">
        <f>Raw_Data!G1034</f>
        <v/>
      </c>
      <c r="K1034">
        <f>Raw_Data!H1034</f>
        <v/>
      </c>
      <c r="L1034" s="30">
        <f>Raw_Data!I1034</f>
        <v/>
      </c>
      <c r="M1034" s="31">
        <f>Raw_Data!J1034</f>
        <v/>
      </c>
      <c r="N1034" s="17">
        <f>K1034*L1034</f>
        <v/>
      </c>
      <c r="O1034" s="17">
        <f>N1034*(1-M1034)</f>
        <v/>
      </c>
      <c r="P1034" s="17">
        <f>Raw_Data!L1034</f>
        <v/>
      </c>
      <c r="Q1034" s="17">
        <f>O1034-P1034</f>
        <v/>
      </c>
      <c r="R1034" s="31">
        <f>IF(O1034=0,0,Q1034/O1034)</f>
        <v/>
      </c>
      <c r="S1034">
        <f>XLOOKUP(F1034,Lookups!$B$7:$B$11,Lookups!$C$7:$C$11,"Unknown")</f>
        <v/>
      </c>
      <c r="T1034" s="31">
        <f>XLOOKUP(G1034,Lookups!$E$7:$E$11,Lookups!$F$7:$F$11,0)</f>
        <v/>
      </c>
      <c r="U1034" s="32">
        <f>R1034-T1034</f>
        <v/>
      </c>
      <c r="V1034">
        <f>XLOOKUP(I1034,Lookups!$H$7:$H$10,Lookups!$I$7:$I$10,"")</f>
        <v/>
      </c>
      <c r="W1034">
        <f>IF(O1034&gt;=50000,"HIGH VALUE","")</f>
        <v/>
      </c>
      <c r="X1034">
        <f>IF(Q1034&lt;0,"LOSS","")</f>
        <v/>
      </c>
      <c r="Y1034">
        <f>IFS(M1034&gt;=0.15,"Deep Discount",M1034&gt;=0.1,"Moderate",TRUE,"Standard")</f>
        <v/>
      </c>
    </row>
    <row r="1035">
      <c r="A1035">
        <f>Raw_Data!A1035</f>
        <v/>
      </c>
      <c r="B1035" s="29">
        <f>Raw_Data!B1035</f>
        <v/>
      </c>
      <c r="C1035">
        <f>YEAR(B1035)</f>
        <v/>
      </c>
      <c r="D1035">
        <f>MONTH(B1035)</f>
        <v/>
      </c>
      <c r="E1035">
        <f>TEXT(B1035,"MMM-YYYY")</f>
        <v/>
      </c>
      <c r="F1035">
        <f>Raw_Data!C1035</f>
        <v/>
      </c>
      <c r="G1035">
        <f>Raw_Data!D1035</f>
        <v/>
      </c>
      <c r="H1035">
        <f>Raw_Data!E1035</f>
        <v/>
      </c>
      <c r="I1035">
        <f>Raw_Data!F1035</f>
        <v/>
      </c>
      <c r="J1035">
        <f>Raw_Data!G1035</f>
        <v/>
      </c>
      <c r="K1035">
        <f>Raw_Data!H1035</f>
        <v/>
      </c>
      <c r="L1035" s="30">
        <f>Raw_Data!I1035</f>
        <v/>
      </c>
      <c r="M1035" s="31">
        <f>Raw_Data!J1035</f>
        <v/>
      </c>
      <c r="N1035" s="17">
        <f>K1035*L1035</f>
        <v/>
      </c>
      <c r="O1035" s="17">
        <f>N1035*(1-M1035)</f>
        <v/>
      </c>
      <c r="P1035" s="17">
        <f>Raw_Data!L1035</f>
        <v/>
      </c>
      <c r="Q1035" s="17">
        <f>O1035-P1035</f>
        <v/>
      </c>
      <c r="R1035" s="31">
        <f>IF(O1035=0,0,Q1035/O1035)</f>
        <v/>
      </c>
      <c r="S1035">
        <f>XLOOKUP(F1035,Lookups!$B$7:$B$11,Lookups!$C$7:$C$11,"Unknown")</f>
        <v/>
      </c>
      <c r="T1035" s="31">
        <f>XLOOKUP(G1035,Lookups!$E$7:$E$11,Lookups!$F$7:$F$11,0)</f>
        <v/>
      </c>
      <c r="U1035" s="32">
        <f>R1035-T1035</f>
        <v/>
      </c>
      <c r="V1035">
        <f>XLOOKUP(I1035,Lookups!$H$7:$H$10,Lookups!$I$7:$I$10,"")</f>
        <v/>
      </c>
      <c r="W1035">
        <f>IF(O1035&gt;=50000,"HIGH VALUE","")</f>
        <v/>
      </c>
      <c r="X1035">
        <f>IF(Q1035&lt;0,"LOSS","")</f>
        <v/>
      </c>
      <c r="Y1035">
        <f>IFS(M1035&gt;=0.15,"Deep Discount",M1035&gt;=0.1,"Moderate",TRUE,"Standard")</f>
        <v/>
      </c>
    </row>
    <row r="1036">
      <c r="A1036">
        <f>Raw_Data!A1036</f>
        <v/>
      </c>
      <c r="B1036" s="29">
        <f>Raw_Data!B1036</f>
        <v/>
      </c>
      <c r="C1036">
        <f>YEAR(B1036)</f>
        <v/>
      </c>
      <c r="D1036">
        <f>MONTH(B1036)</f>
        <v/>
      </c>
      <c r="E1036">
        <f>TEXT(B1036,"MMM-YYYY")</f>
        <v/>
      </c>
      <c r="F1036">
        <f>Raw_Data!C1036</f>
        <v/>
      </c>
      <c r="G1036">
        <f>Raw_Data!D1036</f>
        <v/>
      </c>
      <c r="H1036">
        <f>Raw_Data!E1036</f>
        <v/>
      </c>
      <c r="I1036">
        <f>Raw_Data!F1036</f>
        <v/>
      </c>
      <c r="J1036">
        <f>Raw_Data!G1036</f>
        <v/>
      </c>
      <c r="K1036">
        <f>Raw_Data!H1036</f>
        <v/>
      </c>
      <c r="L1036" s="30">
        <f>Raw_Data!I1036</f>
        <v/>
      </c>
      <c r="M1036" s="31">
        <f>Raw_Data!J1036</f>
        <v/>
      </c>
      <c r="N1036" s="17">
        <f>K1036*L1036</f>
        <v/>
      </c>
      <c r="O1036" s="17">
        <f>N1036*(1-M1036)</f>
        <v/>
      </c>
      <c r="P1036" s="17">
        <f>Raw_Data!L1036</f>
        <v/>
      </c>
      <c r="Q1036" s="17">
        <f>O1036-P1036</f>
        <v/>
      </c>
      <c r="R1036" s="31">
        <f>IF(O1036=0,0,Q1036/O1036)</f>
        <v/>
      </c>
      <c r="S1036">
        <f>XLOOKUP(F1036,Lookups!$B$7:$B$11,Lookups!$C$7:$C$11,"Unknown")</f>
        <v/>
      </c>
      <c r="T1036" s="31">
        <f>XLOOKUP(G1036,Lookups!$E$7:$E$11,Lookups!$F$7:$F$11,0)</f>
        <v/>
      </c>
      <c r="U1036" s="32">
        <f>R1036-T1036</f>
        <v/>
      </c>
      <c r="V1036">
        <f>XLOOKUP(I1036,Lookups!$H$7:$H$10,Lookups!$I$7:$I$10,"")</f>
        <v/>
      </c>
      <c r="W1036">
        <f>IF(O1036&gt;=50000,"HIGH VALUE","")</f>
        <v/>
      </c>
      <c r="X1036">
        <f>IF(Q1036&lt;0,"LOSS","")</f>
        <v/>
      </c>
      <c r="Y1036">
        <f>IFS(M1036&gt;=0.15,"Deep Discount",M1036&gt;=0.1,"Moderate",TRUE,"Standard")</f>
        <v/>
      </c>
    </row>
    <row r="1037">
      <c r="A1037">
        <f>Raw_Data!A1037</f>
        <v/>
      </c>
      <c r="B1037" s="29">
        <f>Raw_Data!B1037</f>
        <v/>
      </c>
      <c r="C1037">
        <f>YEAR(B1037)</f>
        <v/>
      </c>
      <c r="D1037">
        <f>MONTH(B1037)</f>
        <v/>
      </c>
      <c r="E1037">
        <f>TEXT(B1037,"MMM-YYYY")</f>
        <v/>
      </c>
      <c r="F1037">
        <f>Raw_Data!C1037</f>
        <v/>
      </c>
      <c r="G1037">
        <f>Raw_Data!D1037</f>
        <v/>
      </c>
      <c r="H1037">
        <f>Raw_Data!E1037</f>
        <v/>
      </c>
      <c r="I1037">
        <f>Raw_Data!F1037</f>
        <v/>
      </c>
      <c r="J1037">
        <f>Raw_Data!G1037</f>
        <v/>
      </c>
      <c r="K1037">
        <f>Raw_Data!H1037</f>
        <v/>
      </c>
      <c r="L1037" s="30">
        <f>Raw_Data!I1037</f>
        <v/>
      </c>
      <c r="M1037" s="31">
        <f>Raw_Data!J1037</f>
        <v/>
      </c>
      <c r="N1037" s="17">
        <f>K1037*L1037</f>
        <v/>
      </c>
      <c r="O1037" s="17">
        <f>N1037*(1-M1037)</f>
        <v/>
      </c>
      <c r="P1037" s="17">
        <f>Raw_Data!L1037</f>
        <v/>
      </c>
      <c r="Q1037" s="17">
        <f>O1037-P1037</f>
        <v/>
      </c>
      <c r="R1037" s="31">
        <f>IF(O1037=0,0,Q1037/O1037)</f>
        <v/>
      </c>
      <c r="S1037">
        <f>XLOOKUP(F1037,Lookups!$B$7:$B$11,Lookups!$C$7:$C$11,"Unknown")</f>
        <v/>
      </c>
      <c r="T1037" s="31">
        <f>XLOOKUP(G1037,Lookups!$E$7:$E$11,Lookups!$F$7:$F$11,0)</f>
        <v/>
      </c>
      <c r="U1037" s="32">
        <f>R1037-T1037</f>
        <v/>
      </c>
      <c r="V1037">
        <f>XLOOKUP(I1037,Lookups!$H$7:$H$10,Lookups!$I$7:$I$10,"")</f>
        <v/>
      </c>
      <c r="W1037">
        <f>IF(O1037&gt;=50000,"HIGH VALUE","")</f>
        <v/>
      </c>
      <c r="X1037">
        <f>IF(Q1037&lt;0,"LOSS","")</f>
        <v/>
      </c>
      <c r="Y1037">
        <f>IFS(M1037&gt;=0.15,"Deep Discount",M1037&gt;=0.1,"Moderate",TRUE,"Standard")</f>
        <v/>
      </c>
    </row>
    <row r="1038">
      <c r="A1038">
        <f>Raw_Data!A1038</f>
        <v/>
      </c>
      <c r="B1038" s="29">
        <f>Raw_Data!B1038</f>
        <v/>
      </c>
      <c r="C1038">
        <f>YEAR(B1038)</f>
        <v/>
      </c>
      <c r="D1038">
        <f>MONTH(B1038)</f>
        <v/>
      </c>
      <c r="E1038">
        <f>TEXT(B1038,"MMM-YYYY")</f>
        <v/>
      </c>
      <c r="F1038">
        <f>Raw_Data!C1038</f>
        <v/>
      </c>
      <c r="G1038">
        <f>Raw_Data!D1038</f>
        <v/>
      </c>
      <c r="H1038">
        <f>Raw_Data!E1038</f>
        <v/>
      </c>
      <c r="I1038">
        <f>Raw_Data!F1038</f>
        <v/>
      </c>
      <c r="J1038">
        <f>Raw_Data!G1038</f>
        <v/>
      </c>
      <c r="K1038">
        <f>Raw_Data!H1038</f>
        <v/>
      </c>
      <c r="L1038" s="30">
        <f>Raw_Data!I1038</f>
        <v/>
      </c>
      <c r="M1038" s="31">
        <f>Raw_Data!J1038</f>
        <v/>
      </c>
      <c r="N1038" s="17">
        <f>K1038*L1038</f>
        <v/>
      </c>
      <c r="O1038" s="17">
        <f>N1038*(1-M1038)</f>
        <v/>
      </c>
      <c r="P1038" s="17">
        <f>Raw_Data!L1038</f>
        <v/>
      </c>
      <c r="Q1038" s="17">
        <f>O1038-P1038</f>
        <v/>
      </c>
      <c r="R1038" s="31">
        <f>IF(O1038=0,0,Q1038/O1038)</f>
        <v/>
      </c>
      <c r="S1038">
        <f>XLOOKUP(F1038,Lookups!$B$7:$B$11,Lookups!$C$7:$C$11,"Unknown")</f>
        <v/>
      </c>
      <c r="T1038" s="31">
        <f>XLOOKUP(G1038,Lookups!$E$7:$E$11,Lookups!$F$7:$F$11,0)</f>
        <v/>
      </c>
      <c r="U1038" s="32">
        <f>R1038-T1038</f>
        <v/>
      </c>
      <c r="V1038">
        <f>XLOOKUP(I1038,Lookups!$H$7:$H$10,Lookups!$I$7:$I$10,"")</f>
        <v/>
      </c>
      <c r="W1038">
        <f>IF(O1038&gt;=50000,"HIGH VALUE","")</f>
        <v/>
      </c>
      <c r="X1038">
        <f>IF(Q1038&lt;0,"LOSS","")</f>
        <v/>
      </c>
      <c r="Y1038">
        <f>IFS(M1038&gt;=0.15,"Deep Discount",M1038&gt;=0.1,"Moderate",TRUE,"Standard")</f>
        <v/>
      </c>
    </row>
    <row r="1039">
      <c r="A1039">
        <f>Raw_Data!A1039</f>
        <v/>
      </c>
      <c r="B1039" s="29">
        <f>Raw_Data!B1039</f>
        <v/>
      </c>
      <c r="C1039">
        <f>YEAR(B1039)</f>
        <v/>
      </c>
      <c r="D1039">
        <f>MONTH(B1039)</f>
        <v/>
      </c>
      <c r="E1039">
        <f>TEXT(B1039,"MMM-YYYY")</f>
        <v/>
      </c>
      <c r="F1039">
        <f>Raw_Data!C1039</f>
        <v/>
      </c>
      <c r="G1039">
        <f>Raw_Data!D1039</f>
        <v/>
      </c>
      <c r="H1039">
        <f>Raw_Data!E1039</f>
        <v/>
      </c>
      <c r="I1039">
        <f>Raw_Data!F1039</f>
        <v/>
      </c>
      <c r="J1039">
        <f>Raw_Data!G1039</f>
        <v/>
      </c>
      <c r="K1039">
        <f>Raw_Data!H1039</f>
        <v/>
      </c>
      <c r="L1039" s="30">
        <f>Raw_Data!I1039</f>
        <v/>
      </c>
      <c r="M1039" s="31">
        <f>Raw_Data!J1039</f>
        <v/>
      </c>
      <c r="N1039" s="17">
        <f>K1039*L1039</f>
        <v/>
      </c>
      <c r="O1039" s="17">
        <f>N1039*(1-M1039)</f>
        <v/>
      </c>
      <c r="P1039" s="17">
        <f>Raw_Data!L1039</f>
        <v/>
      </c>
      <c r="Q1039" s="17">
        <f>O1039-P1039</f>
        <v/>
      </c>
      <c r="R1039" s="31">
        <f>IF(O1039=0,0,Q1039/O1039)</f>
        <v/>
      </c>
      <c r="S1039">
        <f>XLOOKUP(F1039,Lookups!$B$7:$B$11,Lookups!$C$7:$C$11,"Unknown")</f>
        <v/>
      </c>
      <c r="T1039" s="31">
        <f>XLOOKUP(G1039,Lookups!$E$7:$E$11,Lookups!$F$7:$F$11,0)</f>
        <v/>
      </c>
      <c r="U1039" s="32">
        <f>R1039-T1039</f>
        <v/>
      </c>
      <c r="V1039">
        <f>XLOOKUP(I1039,Lookups!$H$7:$H$10,Lookups!$I$7:$I$10,"")</f>
        <v/>
      </c>
      <c r="W1039">
        <f>IF(O1039&gt;=50000,"HIGH VALUE","")</f>
        <v/>
      </c>
      <c r="X1039">
        <f>IF(Q1039&lt;0,"LOSS","")</f>
        <v/>
      </c>
      <c r="Y1039">
        <f>IFS(M1039&gt;=0.15,"Deep Discount",M1039&gt;=0.1,"Moderate",TRUE,"Standard")</f>
        <v/>
      </c>
    </row>
    <row r="1040">
      <c r="A1040">
        <f>Raw_Data!A1040</f>
        <v/>
      </c>
      <c r="B1040" s="29">
        <f>Raw_Data!B1040</f>
        <v/>
      </c>
      <c r="C1040">
        <f>YEAR(B1040)</f>
        <v/>
      </c>
      <c r="D1040">
        <f>MONTH(B1040)</f>
        <v/>
      </c>
      <c r="E1040">
        <f>TEXT(B1040,"MMM-YYYY")</f>
        <v/>
      </c>
      <c r="F1040">
        <f>Raw_Data!C1040</f>
        <v/>
      </c>
      <c r="G1040">
        <f>Raw_Data!D1040</f>
        <v/>
      </c>
      <c r="H1040">
        <f>Raw_Data!E1040</f>
        <v/>
      </c>
      <c r="I1040">
        <f>Raw_Data!F1040</f>
        <v/>
      </c>
      <c r="J1040">
        <f>Raw_Data!G1040</f>
        <v/>
      </c>
      <c r="K1040">
        <f>Raw_Data!H1040</f>
        <v/>
      </c>
      <c r="L1040" s="30">
        <f>Raw_Data!I1040</f>
        <v/>
      </c>
      <c r="M1040" s="31">
        <f>Raw_Data!J1040</f>
        <v/>
      </c>
      <c r="N1040" s="17">
        <f>K1040*L1040</f>
        <v/>
      </c>
      <c r="O1040" s="17">
        <f>N1040*(1-M1040)</f>
        <v/>
      </c>
      <c r="P1040" s="17">
        <f>Raw_Data!L1040</f>
        <v/>
      </c>
      <c r="Q1040" s="17">
        <f>O1040-P1040</f>
        <v/>
      </c>
      <c r="R1040" s="31">
        <f>IF(O1040=0,0,Q1040/O1040)</f>
        <v/>
      </c>
      <c r="S1040">
        <f>XLOOKUP(F1040,Lookups!$B$7:$B$11,Lookups!$C$7:$C$11,"Unknown")</f>
        <v/>
      </c>
      <c r="T1040" s="31">
        <f>XLOOKUP(G1040,Lookups!$E$7:$E$11,Lookups!$F$7:$F$11,0)</f>
        <v/>
      </c>
      <c r="U1040" s="32">
        <f>R1040-T1040</f>
        <v/>
      </c>
      <c r="V1040">
        <f>XLOOKUP(I1040,Lookups!$H$7:$H$10,Lookups!$I$7:$I$10,"")</f>
        <v/>
      </c>
      <c r="W1040">
        <f>IF(O1040&gt;=50000,"HIGH VALUE","")</f>
        <v/>
      </c>
      <c r="X1040">
        <f>IF(Q1040&lt;0,"LOSS","")</f>
        <v/>
      </c>
      <c r="Y1040">
        <f>IFS(M1040&gt;=0.15,"Deep Discount",M1040&gt;=0.1,"Moderate",TRUE,"Standard")</f>
        <v/>
      </c>
    </row>
    <row r="1041">
      <c r="A1041">
        <f>Raw_Data!A1041</f>
        <v/>
      </c>
      <c r="B1041" s="29">
        <f>Raw_Data!B1041</f>
        <v/>
      </c>
      <c r="C1041">
        <f>YEAR(B1041)</f>
        <v/>
      </c>
      <c r="D1041">
        <f>MONTH(B1041)</f>
        <v/>
      </c>
      <c r="E1041">
        <f>TEXT(B1041,"MMM-YYYY")</f>
        <v/>
      </c>
      <c r="F1041">
        <f>Raw_Data!C1041</f>
        <v/>
      </c>
      <c r="G1041">
        <f>Raw_Data!D1041</f>
        <v/>
      </c>
      <c r="H1041">
        <f>Raw_Data!E1041</f>
        <v/>
      </c>
      <c r="I1041">
        <f>Raw_Data!F1041</f>
        <v/>
      </c>
      <c r="J1041">
        <f>Raw_Data!G1041</f>
        <v/>
      </c>
      <c r="K1041">
        <f>Raw_Data!H1041</f>
        <v/>
      </c>
      <c r="L1041" s="30">
        <f>Raw_Data!I1041</f>
        <v/>
      </c>
      <c r="M1041" s="31">
        <f>Raw_Data!J1041</f>
        <v/>
      </c>
      <c r="N1041" s="17">
        <f>K1041*L1041</f>
        <v/>
      </c>
      <c r="O1041" s="17">
        <f>N1041*(1-M1041)</f>
        <v/>
      </c>
      <c r="P1041" s="17">
        <f>Raw_Data!L1041</f>
        <v/>
      </c>
      <c r="Q1041" s="17">
        <f>O1041-P1041</f>
        <v/>
      </c>
      <c r="R1041" s="31">
        <f>IF(O1041=0,0,Q1041/O1041)</f>
        <v/>
      </c>
      <c r="S1041">
        <f>XLOOKUP(F1041,Lookups!$B$7:$B$11,Lookups!$C$7:$C$11,"Unknown")</f>
        <v/>
      </c>
      <c r="T1041" s="31">
        <f>XLOOKUP(G1041,Lookups!$E$7:$E$11,Lookups!$F$7:$F$11,0)</f>
        <v/>
      </c>
      <c r="U1041" s="32">
        <f>R1041-T1041</f>
        <v/>
      </c>
      <c r="V1041">
        <f>XLOOKUP(I1041,Lookups!$H$7:$H$10,Lookups!$I$7:$I$10,"")</f>
        <v/>
      </c>
      <c r="W1041">
        <f>IF(O1041&gt;=50000,"HIGH VALUE","")</f>
        <v/>
      </c>
      <c r="X1041">
        <f>IF(Q1041&lt;0,"LOSS","")</f>
        <v/>
      </c>
      <c r="Y1041">
        <f>IFS(M1041&gt;=0.15,"Deep Discount",M1041&gt;=0.1,"Moderate",TRUE,"Standard")</f>
        <v/>
      </c>
    </row>
    <row r="1042">
      <c r="A1042">
        <f>Raw_Data!A1042</f>
        <v/>
      </c>
      <c r="B1042" s="29">
        <f>Raw_Data!B1042</f>
        <v/>
      </c>
      <c r="C1042">
        <f>YEAR(B1042)</f>
        <v/>
      </c>
      <c r="D1042">
        <f>MONTH(B1042)</f>
        <v/>
      </c>
      <c r="E1042">
        <f>TEXT(B1042,"MMM-YYYY")</f>
        <v/>
      </c>
      <c r="F1042">
        <f>Raw_Data!C1042</f>
        <v/>
      </c>
      <c r="G1042">
        <f>Raw_Data!D1042</f>
        <v/>
      </c>
      <c r="H1042">
        <f>Raw_Data!E1042</f>
        <v/>
      </c>
      <c r="I1042">
        <f>Raw_Data!F1042</f>
        <v/>
      </c>
      <c r="J1042">
        <f>Raw_Data!G1042</f>
        <v/>
      </c>
      <c r="K1042">
        <f>Raw_Data!H1042</f>
        <v/>
      </c>
      <c r="L1042" s="30">
        <f>Raw_Data!I1042</f>
        <v/>
      </c>
      <c r="M1042" s="31">
        <f>Raw_Data!J1042</f>
        <v/>
      </c>
      <c r="N1042" s="17">
        <f>K1042*L1042</f>
        <v/>
      </c>
      <c r="O1042" s="17">
        <f>N1042*(1-M1042)</f>
        <v/>
      </c>
      <c r="P1042" s="17">
        <f>Raw_Data!L1042</f>
        <v/>
      </c>
      <c r="Q1042" s="17">
        <f>O1042-P1042</f>
        <v/>
      </c>
      <c r="R1042" s="31">
        <f>IF(O1042=0,0,Q1042/O1042)</f>
        <v/>
      </c>
      <c r="S1042">
        <f>XLOOKUP(F1042,Lookups!$B$7:$B$11,Lookups!$C$7:$C$11,"Unknown")</f>
        <v/>
      </c>
      <c r="T1042" s="31">
        <f>XLOOKUP(G1042,Lookups!$E$7:$E$11,Lookups!$F$7:$F$11,0)</f>
        <v/>
      </c>
      <c r="U1042" s="32">
        <f>R1042-T1042</f>
        <v/>
      </c>
      <c r="V1042">
        <f>XLOOKUP(I1042,Lookups!$H$7:$H$10,Lookups!$I$7:$I$10,"")</f>
        <v/>
      </c>
      <c r="W1042">
        <f>IF(O1042&gt;=50000,"HIGH VALUE","")</f>
        <v/>
      </c>
      <c r="X1042">
        <f>IF(Q1042&lt;0,"LOSS","")</f>
        <v/>
      </c>
      <c r="Y1042">
        <f>IFS(M1042&gt;=0.15,"Deep Discount",M1042&gt;=0.1,"Moderate",TRUE,"Standard")</f>
        <v/>
      </c>
    </row>
    <row r="1043">
      <c r="A1043">
        <f>Raw_Data!A1043</f>
        <v/>
      </c>
      <c r="B1043" s="29">
        <f>Raw_Data!B1043</f>
        <v/>
      </c>
      <c r="C1043">
        <f>YEAR(B1043)</f>
        <v/>
      </c>
      <c r="D1043">
        <f>MONTH(B1043)</f>
        <v/>
      </c>
      <c r="E1043">
        <f>TEXT(B1043,"MMM-YYYY")</f>
        <v/>
      </c>
      <c r="F1043">
        <f>Raw_Data!C1043</f>
        <v/>
      </c>
      <c r="G1043">
        <f>Raw_Data!D1043</f>
        <v/>
      </c>
      <c r="H1043">
        <f>Raw_Data!E1043</f>
        <v/>
      </c>
      <c r="I1043">
        <f>Raw_Data!F1043</f>
        <v/>
      </c>
      <c r="J1043">
        <f>Raw_Data!G1043</f>
        <v/>
      </c>
      <c r="K1043">
        <f>Raw_Data!H1043</f>
        <v/>
      </c>
      <c r="L1043" s="30">
        <f>Raw_Data!I1043</f>
        <v/>
      </c>
      <c r="M1043" s="31">
        <f>Raw_Data!J1043</f>
        <v/>
      </c>
      <c r="N1043" s="17">
        <f>K1043*L1043</f>
        <v/>
      </c>
      <c r="O1043" s="17">
        <f>N1043*(1-M1043)</f>
        <v/>
      </c>
      <c r="P1043" s="17">
        <f>Raw_Data!L1043</f>
        <v/>
      </c>
      <c r="Q1043" s="17">
        <f>O1043-P1043</f>
        <v/>
      </c>
      <c r="R1043" s="31">
        <f>IF(O1043=0,0,Q1043/O1043)</f>
        <v/>
      </c>
      <c r="S1043">
        <f>XLOOKUP(F1043,Lookups!$B$7:$B$11,Lookups!$C$7:$C$11,"Unknown")</f>
        <v/>
      </c>
      <c r="T1043" s="31">
        <f>XLOOKUP(G1043,Lookups!$E$7:$E$11,Lookups!$F$7:$F$11,0)</f>
        <v/>
      </c>
      <c r="U1043" s="32">
        <f>R1043-T1043</f>
        <v/>
      </c>
      <c r="V1043">
        <f>XLOOKUP(I1043,Lookups!$H$7:$H$10,Lookups!$I$7:$I$10,"")</f>
        <v/>
      </c>
      <c r="W1043">
        <f>IF(O1043&gt;=50000,"HIGH VALUE","")</f>
        <v/>
      </c>
      <c r="X1043">
        <f>IF(Q1043&lt;0,"LOSS","")</f>
        <v/>
      </c>
      <c r="Y1043">
        <f>IFS(M1043&gt;=0.15,"Deep Discount",M1043&gt;=0.1,"Moderate",TRUE,"Standard")</f>
        <v/>
      </c>
    </row>
    <row r="1044">
      <c r="A1044">
        <f>Raw_Data!A1044</f>
        <v/>
      </c>
      <c r="B1044" s="29">
        <f>Raw_Data!B1044</f>
        <v/>
      </c>
      <c r="C1044">
        <f>YEAR(B1044)</f>
        <v/>
      </c>
      <c r="D1044">
        <f>MONTH(B1044)</f>
        <v/>
      </c>
      <c r="E1044">
        <f>TEXT(B1044,"MMM-YYYY")</f>
        <v/>
      </c>
      <c r="F1044">
        <f>Raw_Data!C1044</f>
        <v/>
      </c>
      <c r="G1044">
        <f>Raw_Data!D1044</f>
        <v/>
      </c>
      <c r="H1044">
        <f>Raw_Data!E1044</f>
        <v/>
      </c>
      <c r="I1044">
        <f>Raw_Data!F1044</f>
        <v/>
      </c>
      <c r="J1044">
        <f>Raw_Data!G1044</f>
        <v/>
      </c>
      <c r="K1044">
        <f>Raw_Data!H1044</f>
        <v/>
      </c>
      <c r="L1044" s="30">
        <f>Raw_Data!I1044</f>
        <v/>
      </c>
      <c r="M1044" s="31">
        <f>Raw_Data!J1044</f>
        <v/>
      </c>
      <c r="N1044" s="17">
        <f>K1044*L1044</f>
        <v/>
      </c>
      <c r="O1044" s="17">
        <f>N1044*(1-M1044)</f>
        <v/>
      </c>
      <c r="P1044" s="17">
        <f>Raw_Data!L1044</f>
        <v/>
      </c>
      <c r="Q1044" s="17">
        <f>O1044-P1044</f>
        <v/>
      </c>
      <c r="R1044" s="31">
        <f>IF(O1044=0,0,Q1044/O1044)</f>
        <v/>
      </c>
      <c r="S1044">
        <f>XLOOKUP(F1044,Lookups!$B$7:$B$11,Lookups!$C$7:$C$11,"Unknown")</f>
        <v/>
      </c>
      <c r="T1044" s="31">
        <f>XLOOKUP(G1044,Lookups!$E$7:$E$11,Lookups!$F$7:$F$11,0)</f>
        <v/>
      </c>
      <c r="U1044" s="32">
        <f>R1044-T1044</f>
        <v/>
      </c>
      <c r="V1044">
        <f>XLOOKUP(I1044,Lookups!$H$7:$H$10,Lookups!$I$7:$I$10,"")</f>
        <v/>
      </c>
      <c r="W1044">
        <f>IF(O1044&gt;=50000,"HIGH VALUE","")</f>
        <v/>
      </c>
      <c r="X1044">
        <f>IF(Q1044&lt;0,"LOSS","")</f>
        <v/>
      </c>
      <c r="Y1044">
        <f>IFS(M1044&gt;=0.15,"Deep Discount",M1044&gt;=0.1,"Moderate",TRUE,"Standard")</f>
        <v/>
      </c>
    </row>
    <row r="1045">
      <c r="A1045">
        <f>Raw_Data!A1045</f>
        <v/>
      </c>
      <c r="B1045" s="29">
        <f>Raw_Data!B1045</f>
        <v/>
      </c>
      <c r="C1045">
        <f>YEAR(B1045)</f>
        <v/>
      </c>
      <c r="D1045">
        <f>MONTH(B1045)</f>
        <v/>
      </c>
      <c r="E1045">
        <f>TEXT(B1045,"MMM-YYYY")</f>
        <v/>
      </c>
      <c r="F1045">
        <f>Raw_Data!C1045</f>
        <v/>
      </c>
      <c r="G1045">
        <f>Raw_Data!D1045</f>
        <v/>
      </c>
      <c r="H1045">
        <f>Raw_Data!E1045</f>
        <v/>
      </c>
      <c r="I1045">
        <f>Raw_Data!F1045</f>
        <v/>
      </c>
      <c r="J1045">
        <f>Raw_Data!G1045</f>
        <v/>
      </c>
      <c r="K1045">
        <f>Raw_Data!H1045</f>
        <v/>
      </c>
      <c r="L1045" s="30">
        <f>Raw_Data!I1045</f>
        <v/>
      </c>
      <c r="M1045" s="31">
        <f>Raw_Data!J1045</f>
        <v/>
      </c>
      <c r="N1045" s="17">
        <f>K1045*L1045</f>
        <v/>
      </c>
      <c r="O1045" s="17">
        <f>N1045*(1-M1045)</f>
        <v/>
      </c>
      <c r="P1045" s="17">
        <f>Raw_Data!L1045</f>
        <v/>
      </c>
      <c r="Q1045" s="17">
        <f>O1045-P1045</f>
        <v/>
      </c>
      <c r="R1045" s="31">
        <f>IF(O1045=0,0,Q1045/O1045)</f>
        <v/>
      </c>
      <c r="S1045">
        <f>XLOOKUP(F1045,Lookups!$B$7:$B$11,Lookups!$C$7:$C$11,"Unknown")</f>
        <v/>
      </c>
      <c r="T1045" s="31">
        <f>XLOOKUP(G1045,Lookups!$E$7:$E$11,Lookups!$F$7:$F$11,0)</f>
        <v/>
      </c>
      <c r="U1045" s="32">
        <f>R1045-T1045</f>
        <v/>
      </c>
      <c r="V1045">
        <f>XLOOKUP(I1045,Lookups!$H$7:$H$10,Lookups!$I$7:$I$10,"")</f>
        <v/>
      </c>
      <c r="W1045">
        <f>IF(O1045&gt;=50000,"HIGH VALUE","")</f>
        <v/>
      </c>
      <c r="X1045">
        <f>IF(Q1045&lt;0,"LOSS","")</f>
        <v/>
      </c>
      <c r="Y1045">
        <f>IFS(M1045&gt;=0.15,"Deep Discount",M1045&gt;=0.1,"Moderate",TRUE,"Standard")</f>
        <v/>
      </c>
    </row>
    <row r="1046">
      <c r="A1046">
        <f>Raw_Data!A1046</f>
        <v/>
      </c>
      <c r="B1046" s="29">
        <f>Raw_Data!B1046</f>
        <v/>
      </c>
      <c r="C1046">
        <f>YEAR(B1046)</f>
        <v/>
      </c>
      <c r="D1046">
        <f>MONTH(B1046)</f>
        <v/>
      </c>
      <c r="E1046">
        <f>TEXT(B1046,"MMM-YYYY")</f>
        <v/>
      </c>
      <c r="F1046">
        <f>Raw_Data!C1046</f>
        <v/>
      </c>
      <c r="G1046">
        <f>Raw_Data!D1046</f>
        <v/>
      </c>
      <c r="H1046">
        <f>Raw_Data!E1046</f>
        <v/>
      </c>
      <c r="I1046">
        <f>Raw_Data!F1046</f>
        <v/>
      </c>
      <c r="J1046">
        <f>Raw_Data!G1046</f>
        <v/>
      </c>
      <c r="K1046">
        <f>Raw_Data!H1046</f>
        <v/>
      </c>
      <c r="L1046" s="30">
        <f>Raw_Data!I1046</f>
        <v/>
      </c>
      <c r="M1046" s="31">
        <f>Raw_Data!J1046</f>
        <v/>
      </c>
      <c r="N1046" s="17">
        <f>K1046*L1046</f>
        <v/>
      </c>
      <c r="O1046" s="17">
        <f>N1046*(1-M1046)</f>
        <v/>
      </c>
      <c r="P1046" s="17">
        <f>Raw_Data!L1046</f>
        <v/>
      </c>
      <c r="Q1046" s="17">
        <f>O1046-P1046</f>
        <v/>
      </c>
      <c r="R1046" s="31">
        <f>IF(O1046=0,0,Q1046/O1046)</f>
        <v/>
      </c>
      <c r="S1046">
        <f>XLOOKUP(F1046,Lookups!$B$7:$B$11,Lookups!$C$7:$C$11,"Unknown")</f>
        <v/>
      </c>
      <c r="T1046" s="31">
        <f>XLOOKUP(G1046,Lookups!$E$7:$E$11,Lookups!$F$7:$F$11,0)</f>
        <v/>
      </c>
      <c r="U1046" s="32">
        <f>R1046-T1046</f>
        <v/>
      </c>
      <c r="V1046">
        <f>XLOOKUP(I1046,Lookups!$H$7:$H$10,Lookups!$I$7:$I$10,"")</f>
        <v/>
      </c>
      <c r="W1046">
        <f>IF(O1046&gt;=50000,"HIGH VALUE","")</f>
        <v/>
      </c>
      <c r="X1046">
        <f>IF(Q1046&lt;0,"LOSS","")</f>
        <v/>
      </c>
      <c r="Y1046">
        <f>IFS(M1046&gt;=0.15,"Deep Discount",M1046&gt;=0.1,"Moderate",TRUE,"Standard")</f>
        <v/>
      </c>
    </row>
    <row r="1047">
      <c r="A1047">
        <f>Raw_Data!A1047</f>
        <v/>
      </c>
      <c r="B1047" s="29">
        <f>Raw_Data!B1047</f>
        <v/>
      </c>
      <c r="C1047">
        <f>YEAR(B1047)</f>
        <v/>
      </c>
      <c r="D1047">
        <f>MONTH(B1047)</f>
        <v/>
      </c>
      <c r="E1047">
        <f>TEXT(B1047,"MMM-YYYY")</f>
        <v/>
      </c>
      <c r="F1047">
        <f>Raw_Data!C1047</f>
        <v/>
      </c>
      <c r="G1047">
        <f>Raw_Data!D1047</f>
        <v/>
      </c>
      <c r="H1047">
        <f>Raw_Data!E1047</f>
        <v/>
      </c>
      <c r="I1047">
        <f>Raw_Data!F1047</f>
        <v/>
      </c>
      <c r="J1047">
        <f>Raw_Data!G1047</f>
        <v/>
      </c>
      <c r="K1047">
        <f>Raw_Data!H1047</f>
        <v/>
      </c>
      <c r="L1047" s="30">
        <f>Raw_Data!I1047</f>
        <v/>
      </c>
      <c r="M1047" s="31">
        <f>Raw_Data!J1047</f>
        <v/>
      </c>
      <c r="N1047" s="17">
        <f>K1047*L1047</f>
        <v/>
      </c>
      <c r="O1047" s="17">
        <f>N1047*(1-M1047)</f>
        <v/>
      </c>
      <c r="P1047" s="17">
        <f>Raw_Data!L1047</f>
        <v/>
      </c>
      <c r="Q1047" s="17">
        <f>O1047-P1047</f>
        <v/>
      </c>
      <c r="R1047" s="31">
        <f>IF(O1047=0,0,Q1047/O1047)</f>
        <v/>
      </c>
      <c r="S1047">
        <f>XLOOKUP(F1047,Lookups!$B$7:$B$11,Lookups!$C$7:$C$11,"Unknown")</f>
        <v/>
      </c>
      <c r="T1047" s="31">
        <f>XLOOKUP(G1047,Lookups!$E$7:$E$11,Lookups!$F$7:$F$11,0)</f>
        <v/>
      </c>
      <c r="U1047" s="32">
        <f>R1047-T1047</f>
        <v/>
      </c>
      <c r="V1047">
        <f>XLOOKUP(I1047,Lookups!$H$7:$H$10,Lookups!$I$7:$I$10,"")</f>
        <v/>
      </c>
      <c r="W1047">
        <f>IF(O1047&gt;=50000,"HIGH VALUE","")</f>
        <v/>
      </c>
      <c r="X1047">
        <f>IF(Q1047&lt;0,"LOSS","")</f>
        <v/>
      </c>
      <c r="Y1047">
        <f>IFS(M1047&gt;=0.15,"Deep Discount",M1047&gt;=0.1,"Moderate",TRUE,"Standard")</f>
        <v/>
      </c>
    </row>
    <row r="1048">
      <c r="A1048">
        <f>Raw_Data!A1048</f>
        <v/>
      </c>
      <c r="B1048" s="29">
        <f>Raw_Data!B1048</f>
        <v/>
      </c>
      <c r="C1048">
        <f>YEAR(B1048)</f>
        <v/>
      </c>
      <c r="D1048">
        <f>MONTH(B1048)</f>
        <v/>
      </c>
      <c r="E1048">
        <f>TEXT(B1048,"MMM-YYYY")</f>
        <v/>
      </c>
      <c r="F1048">
        <f>Raw_Data!C1048</f>
        <v/>
      </c>
      <c r="G1048">
        <f>Raw_Data!D1048</f>
        <v/>
      </c>
      <c r="H1048">
        <f>Raw_Data!E1048</f>
        <v/>
      </c>
      <c r="I1048">
        <f>Raw_Data!F1048</f>
        <v/>
      </c>
      <c r="J1048">
        <f>Raw_Data!G1048</f>
        <v/>
      </c>
      <c r="K1048">
        <f>Raw_Data!H1048</f>
        <v/>
      </c>
      <c r="L1048" s="30">
        <f>Raw_Data!I1048</f>
        <v/>
      </c>
      <c r="M1048" s="31">
        <f>Raw_Data!J1048</f>
        <v/>
      </c>
      <c r="N1048" s="17">
        <f>K1048*L1048</f>
        <v/>
      </c>
      <c r="O1048" s="17">
        <f>N1048*(1-M1048)</f>
        <v/>
      </c>
      <c r="P1048" s="17">
        <f>Raw_Data!L1048</f>
        <v/>
      </c>
      <c r="Q1048" s="17">
        <f>O1048-P1048</f>
        <v/>
      </c>
      <c r="R1048" s="31">
        <f>IF(O1048=0,0,Q1048/O1048)</f>
        <v/>
      </c>
      <c r="S1048">
        <f>XLOOKUP(F1048,Lookups!$B$7:$B$11,Lookups!$C$7:$C$11,"Unknown")</f>
        <v/>
      </c>
      <c r="T1048" s="31">
        <f>XLOOKUP(G1048,Lookups!$E$7:$E$11,Lookups!$F$7:$F$11,0)</f>
        <v/>
      </c>
      <c r="U1048" s="32">
        <f>R1048-T1048</f>
        <v/>
      </c>
      <c r="V1048">
        <f>XLOOKUP(I1048,Lookups!$H$7:$H$10,Lookups!$I$7:$I$10,"")</f>
        <v/>
      </c>
      <c r="W1048">
        <f>IF(O1048&gt;=50000,"HIGH VALUE","")</f>
        <v/>
      </c>
      <c r="X1048">
        <f>IF(Q1048&lt;0,"LOSS","")</f>
        <v/>
      </c>
      <c r="Y1048">
        <f>IFS(M1048&gt;=0.15,"Deep Discount",M1048&gt;=0.1,"Moderate",TRUE,"Standard")</f>
        <v/>
      </c>
    </row>
    <row r="1049">
      <c r="A1049">
        <f>Raw_Data!A1049</f>
        <v/>
      </c>
      <c r="B1049" s="29">
        <f>Raw_Data!B1049</f>
        <v/>
      </c>
      <c r="C1049">
        <f>YEAR(B1049)</f>
        <v/>
      </c>
      <c r="D1049">
        <f>MONTH(B1049)</f>
        <v/>
      </c>
      <c r="E1049">
        <f>TEXT(B1049,"MMM-YYYY")</f>
        <v/>
      </c>
      <c r="F1049">
        <f>Raw_Data!C1049</f>
        <v/>
      </c>
      <c r="G1049">
        <f>Raw_Data!D1049</f>
        <v/>
      </c>
      <c r="H1049">
        <f>Raw_Data!E1049</f>
        <v/>
      </c>
      <c r="I1049">
        <f>Raw_Data!F1049</f>
        <v/>
      </c>
      <c r="J1049">
        <f>Raw_Data!G1049</f>
        <v/>
      </c>
      <c r="K1049">
        <f>Raw_Data!H1049</f>
        <v/>
      </c>
      <c r="L1049" s="30">
        <f>Raw_Data!I1049</f>
        <v/>
      </c>
      <c r="M1049" s="31">
        <f>Raw_Data!J1049</f>
        <v/>
      </c>
      <c r="N1049" s="17">
        <f>K1049*L1049</f>
        <v/>
      </c>
      <c r="O1049" s="17">
        <f>N1049*(1-M1049)</f>
        <v/>
      </c>
      <c r="P1049" s="17">
        <f>Raw_Data!L1049</f>
        <v/>
      </c>
      <c r="Q1049" s="17">
        <f>O1049-P1049</f>
        <v/>
      </c>
      <c r="R1049" s="31">
        <f>IF(O1049=0,0,Q1049/O1049)</f>
        <v/>
      </c>
      <c r="S1049">
        <f>XLOOKUP(F1049,Lookups!$B$7:$B$11,Lookups!$C$7:$C$11,"Unknown")</f>
        <v/>
      </c>
      <c r="T1049" s="31">
        <f>XLOOKUP(G1049,Lookups!$E$7:$E$11,Lookups!$F$7:$F$11,0)</f>
        <v/>
      </c>
      <c r="U1049" s="32">
        <f>R1049-T1049</f>
        <v/>
      </c>
      <c r="V1049">
        <f>XLOOKUP(I1049,Lookups!$H$7:$H$10,Lookups!$I$7:$I$10,"")</f>
        <v/>
      </c>
      <c r="W1049">
        <f>IF(O1049&gt;=50000,"HIGH VALUE","")</f>
        <v/>
      </c>
      <c r="X1049">
        <f>IF(Q1049&lt;0,"LOSS","")</f>
        <v/>
      </c>
      <c r="Y1049">
        <f>IFS(M1049&gt;=0.15,"Deep Discount",M1049&gt;=0.1,"Moderate",TRUE,"Standard")</f>
        <v/>
      </c>
    </row>
    <row r="1050">
      <c r="A1050">
        <f>Raw_Data!A1050</f>
        <v/>
      </c>
      <c r="B1050" s="29">
        <f>Raw_Data!B1050</f>
        <v/>
      </c>
      <c r="C1050">
        <f>YEAR(B1050)</f>
        <v/>
      </c>
      <c r="D1050">
        <f>MONTH(B1050)</f>
        <v/>
      </c>
      <c r="E1050">
        <f>TEXT(B1050,"MMM-YYYY")</f>
        <v/>
      </c>
      <c r="F1050">
        <f>Raw_Data!C1050</f>
        <v/>
      </c>
      <c r="G1050">
        <f>Raw_Data!D1050</f>
        <v/>
      </c>
      <c r="H1050">
        <f>Raw_Data!E1050</f>
        <v/>
      </c>
      <c r="I1050">
        <f>Raw_Data!F1050</f>
        <v/>
      </c>
      <c r="J1050">
        <f>Raw_Data!G1050</f>
        <v/>
      </c>
      <c r="K1050">
        <f>Raw_Data!H1050</f>
        <v/>
      </c>
      <c r="L1050" s="30">
        <f>Raw_Data!I1050</f>
        <v/>
      </c>
      <c r="M1050" s="31">
        <f>Raw_Data!J1050</f>
        <v/>
      </c>
      <c r="N1050" s="17">
        <f>K1050*L1050</f>
        <v/>
      </c>
      <c r="O1050" s="17">
        <f>N1050*(1-M1050)</f>
        <v/>
      </c>
      <c r="P1050" s="17">
        <f>Raw_Data!L1050</f>
        <v/>
      </c>
      <c r="Q1050" s="17">
        <f>O1050-P1050</f>
        <v/>
      </c>
      <c r="R1050" s="31">
        <f>IF(O1050=0,0,Q1050/O1050)</f>
        <v/>
      </c>
      <c r="S1050">
        <f>XLOOKUP(F1050,Lookups!$B$7:$B$11,Lookups!$C$7:$C$11,"Unknown")</f>
        <v/>
      </c>
      <c r="T1050" s="31">
        <f>XLOOKUP(G1050,Lookups!$E$7:$E$11,Lookups!$F$7:$F$11,0)</f>
        <v/>
      </c>
      <c r="U1050" s="32">
        <f>R1050-T1050</f>
        <v/>
      </c>
      <c r="V1050">
        <f>XLOOKUP(I1050,Lookups!$H$7:$H$10,Lookups!$I$7:$I$10,"")</f>
        <v/>
      </c>
      <c r="W1050">
        <f>IF(O1050&gt;=50000,"HIGH VALUE","")</f>
        <v/>
      </c>
      <c r="X1050">
        <f>IF(Q1050&lt;0,"LOSS","")</f>
        <v/>
      </c>
      <c r="Y1050">
        <f>IFS(M1050&gt;=0.15,"Deep Discount",M1050&gt;=0.1,"Moderate",TRUE,"Standard")</f>
        <v/>
      </c>
    </row>
    <row r="1051">
      <c r="A1051">
        <f>Raw_Data!A1051</f>
        <v/>
      </c>
      <c r="B1051" s="29">
        <f>Raw_Data!B1051</f>
        <v/>
      </c>
      <c r="C1051">
        <f>YEAR(B1051)</f>
        <v/>
      </c>
      <c r="D1051">
        <f>MONTH(B1051)</f>
        <v/>
      </c>
      <c r="E1051">
        <f>TEXT(B1051,"MMM-YYYY")</f>
        <v/>
      </c>
      <c r="F1051">
        <f>Raw_Data!C1051</f>
        <v/>
      </c>
      <c r="G1051">
        <f>Raw_Data!D1051</f>
        <v/>
      </c>
      <c r="H1051">
        <f>Raw_Data!E1051</f>
        <v/>
      </c>
      <c r="I1051">
        <f>Raw_Data!F1051</f>
        <v/>
      </c>
      <c r="J1051">
        <f>Raw_Data!G1051</f>
        <v/>
      </c>
      <c r="K1051">
        <f>Raw_Data!H1051</f>
        <v/>
      </c>
      <c r="L1051" s="30">
        <f>Raw_Data!I1051</f>
        <v/>
      </c>
      <c r="M1051" s="31">
        <f>Raw_Data!J1051</f>
        <v/>
      </c>
      <c r="N1051" s="17">
        <f>K1051*L1051</f>
        <v/>
      </c>
      <c r="O1051" s="17">
        <f>N1051*(1-M1051)</f>
        <v/>
      </c>
      <c r="P1051" s="17">
        <f>Raw_Data!L1051</f>
        <v/>
      </c>
      <c r="Q1051" s="17">
        <f>O1051-P1051</f>
        <v/>
      </c>
      <c r="R1051" s="31">
        <f>IF(O1051=0,0,Q1051/O1051)</f>
        <v/>
      </c>
      <c r="S1051">
        <f>XLOOKUP(F1051,Lookups!$B$7:$B$11,Lookups!$C$7:$C$11,"Unknown")</f>
        <v/>
      </c>
      <c r="T1051" s="31">
        <f>XLOOKUP(G1051,Lookups!$E$7:$E$11,Lookups!$F$7:$F$11,0)</f>
        <v/>
      </c>
      <c r="U1051" s="32">
        <f>R1051-T1051</f>
        <v/>
      </c>
      <c r="V1051">
        <f>XLOOKUP(I1051,Lookups!$H$7:$H$10,Lookups!$I$7:$I$10,"")</f>
        <v/>
      </c>
      <c r="W1051">
        <f>IF(O1051&gt;=50000,"HIGH VALUE","")</f>
        <v/>
      </c>
      <c r="X1051">
        <f>IF(Q1051&lt;0,"LOSS","")</f>
        <v/>
      </c>
      <c r="Y1051">
        <f>IFS(M1051&gt;=0.15,"Deep Discount",M1051&gt;=0.1,"Moderate",TRUE,"Standard")</f>
        <v/>
      </c>
    </row>
    <row r="1052">
      <c r="A1052">
        <f>Raw_Data!A1052</f>
        <v/>
      </c>
      <c r="B1052" s="29">
        <f>Raw_Data!B1052</f>
        <v/>
      </c>
      <c r="C1052">
        <f>YEAR(B1052)</f>
        <v/>
      </c>
      <c r="D1052">
        <f>MONTH(B1052)</f>
        <v/>
      </c>
      <c r="E1052">
        <f>TEXT(B1052,"MMM-YYYY")</f>
        <v/>
      </c>
      <c r="F1052">
        <f>Raw_Data!C1052</f>
        <v/>
      </c>
      <c r="G1052">
        <f>Raw_Data!D1052</f>
        <v/>
      </c>
      <c r="H1052">
        <f>Raw_Data!E1052</f>
        <v/>
      </c>
      <c r="I1052">
        <f>Raw_Data!F1052</f>
        <v/>
      </c>
      <c r="J1052">
        <f>Raw_Data!G1052</f>
        <v/>
      </c>
      <c r="K1052">
        <f>Raw_Data!H1052</f>
        <v/>
      </c>
      <c r="L1052" s="30">
        <f>Raw_Data!I1052</f>
        <v/>
      </c>
      <c r="M1052" s="31">
        <f>Raw_Data!J1052</f>
        <v/>
      </c>
      <c r="N1052" s="17">
        <f>K1052*L1052</f>
        <v/>
      </c>
      <c r="O1052" s="17">
        <f>N1052*(1-M1052)</f>
        <v/>
      </c>
      <c r="P1052" s="17">
        <f>Raw_Data!L1052</f>
        <v/>
      </c>
      <c r="Q1052" s="17">
        <f>O1052-P1052</f>
        <v/>
      </c>
      <c r="R1052" s="31">
        <f>IF(O1052=0,0,Q1052/O1052)</f>
        <v/>
      </c>
      <c r="S1052">
        <f>XLOOKUP(F1052,Lookups!$B$7:$B$11,Lookups!$C$7:$C$11,"Unknown")</f>
        <v/>
      </c>
      <c r="T1052" s="31">
        <f>XLOOKUP(G1052,Lookups!$E$7:$E$11,Lookups!$F$7:$F$11,0)</f>
        <v/>
      </c>
      <c r="U1052" s="32">
        <f>R1052-T1052</f>
        <v/>
      </c>
      <c r="V1052">
        <f>XLOOKUP(I1052,Lookups!$H$7:$H$10,Lookups!$I$7:$I$10,"")</f>
        <v/>
      </c>
      <c r="W1052">
        <f>IF(O1052&gt;=50000,"HIGH VALUE","")</f>
        <v/>
      </c>
      <c r="X1052">
        <f>IF(Q1052&lt;0,"LOSS","")</f>
        <v/>
      </c>
      <c r="Y1052">
        <f>IFS(M1052&gt;=0.15,"Deep Discount",M1052&gt;=0.1,"Moderate",TRUE,"Standard")</f>
        <v/>
      </c>
    </row>
    <row r="1053">
      <c r="A1053">
        <f>Raw_Data!A1053</f>
        <v/>
      </c>
      <c r="B1053" s="29">
        <f>Raw_Data!B1053</f>
        <v/>
      </c>
      <c r="C1053">
        <f>YEAR(B1053)</f>
        <v/>
      </c>
      <c r="D1053">
        <f>MONTH(B1053)</f>
        <v/>
      </c>
      <c r="E1053">
        <f>TEXT(B1053,"MMM-YYYY")</f>
        <v/>
      </c>
      <c r="F1053">
        <f>Raw_Data!C1053</f>
        <v/>
      </c>
      <c r="G1053">
        <f>Raw_Data!D1053</f>
        <v/>
      </c>
      <c r="H1053">
        <f>Raw_Data!E1053</f>
        <v/>
      </c>
      <c r="I1053">
        <f>Raw_Data!F1053</f>
        <v/>
      </c>
      <c r="J1053">
        <f>Raw_Data!G1053</f>
        <v/>
      </c>
      <c r="K1053">
        <f>Raw_Data!H1053</f>
        <v/>
      </c>
      <c r="L1053" s="30">
        <f>Raw_Data!I1053</f>
        <v/>
      </c>
      <c r="M1053" s="31">
        <f>Raw_Data!J1053</f>
        <v/>
      </c>
      <c r="N1053" s="17">
        <f>K1053*L1053</f>
        <v/>
      </c>
      <c r="O1053" s="17">
        <f>N1053*(1-M1053)</f>
        <v/>
      </c>
      <c r="P1053" s="17">
        <f>Raw_Data!L1053</f>
        <v/>
      </c>
      <c r="Q1053" s="17">
        <f>O1053-P1053</f>
        <v/>
      </c>
      <c r="R1053" s="31">
        <f>IF(O1053=0,0,Q1053/O1053)</f>
        <v/>
      </c>
      <c r="S1053">
        <f>XLOOKUP(F1053,Lookups!$B$7:$B$11,Lookups!$C$7:$C$11,"Unknown")</f>
        <v/>
      </c>
      <c r="T1053" s="31">
        <f>XLOOKUP(G1053,Lookups!$E$7:$E$11,Lookups!$F$7:$F$11,0)</f>
        <v/>
      </c>
      <c r="U1053" s="32">
        <f>R1053-T1053</f>
        <v/>
      </c>
      <c r="V1053">
        <f>XLOOKUP(I1053,Lookups!$H$7:$H$10,Lookups!$I$7:$I$10,"")</f>
        <v/>
      </c>
      <c r="W1053">
        <f>IF(O1053&gt;=50000,"HIGH VALUE","")</f>
        <v/>
      </c>
      <c r="X1053">
        <f>IF(Q1053&lt;0,"LOSS","")</f>
        <v/>
      </c>
      <c r="Y1053">
        <f>IFS(M1053&gt;=0.15,"Deep Discount",M1053&gt;=0.1,"Moderate",TRUE,"Standard")</f>
        <v/>
      </c>
    </row>
    <row r="1054">
      <c r="A1054">
        <f>Raw_Data!A1054</f>
        <v/>
      </c>
      <c r="B1054" s="29">
        <f>Raw_Data!B1054</f>
        <v/>
      </c>
      <c r="C1054">
        <f>YEAR(B1054)</f>
        <v/>
      </c>
      <c r="D1054">
        <f>MONTH(B1054)</f>
        <v/>
      </c>
      <c r="E1054">
        <f>TEXT(B1054,"MMM-YYYY")</f>
        <v/>
      </c>
      <c r="F1054">
        <f>Raw_Data!C1054</f>
        <v/>
      </c>
      <c r="G1054">
        <f>Raw_Data!D1054</f>
        <v/>
      </c>
      <c r="H1054">
        <f>Raw_Data!E1054</f>
        <v/>
      </c>
      <c r="I1054">
        <f>Raw_Data!F1054</f>
        <v/>
      </c>
      <c r="J1054">
        <f>Raw_Data!G1054</f>
        <v/>
      </c>
      <c r="K1054">
        <f>Raw_Data!H1054</f>
        <v/>
      </c>
      <c r="L1054" s="30">
        <f>Raw_Data!I1054</f>
        <v/>
      </c>
      <c r="M1054" s="31">
        <f>Raw_Data!J1054</f>
        <v/>
      </c>
      <c r="N1054" s="17">
        <f>K1054*L1054</f>
        <v/>
      </c>
      <c r="O1054" s="17">
        <f>N1054*(1-M1054)</f>
        <v/>
      </c>
      <c r="P1054" s="17">
        <f>Raw_Data!L1054</f>
        <v/>
      </c>
      <c r="Q1054" s="17">
        <f>O1054-P1054</f>
        <v/>
      </c>
      <c r="R1054" s="31">
        <f>IF(O1054=0,0,Q1054/O1054)</f>
        <v/>
      </c>
      <c r="S1054">
        <f>XLOOKUP(F1054,Lookups!$B$7:$B$11,Lookups!$C$7:$C$11,"Unknown")</f>
        <v/>
      </c>
      <c r="T1054" s="31">
        <f>XLOOKUP(G1054,Lookups!$E$7:$E$11,Lookups!$F$7:$F$11,0)</f>
        <v/>
      </c>
      <c r="U1054" s="32">
        <f>R1054-T1054</f>
        <v/>
      </c>
      <c r="V1054">
        <f>XLOOKUP(I1054,Lookups!$H$7:$H$10,Lookups!$I$7:$I$10,"")</f>
        <v/>
      </c>
      <c r="W1054">
        <f>IF(O1054&gt;=50000,"HIGH VALUE","")</f>
        <v/>
      </c>
      <c r="X1054">
        <f>IF(Q1054&lt;0,"LOSS","")</f>
        <v/>
      </c>
      <c r="Y1054">
        <f>IFS(M1054&gt;=0.15,"Deep Discount",M1054&gt;=0.1,"Moderate",TRUE,"Standard")</f>
        <v/>
      </c>
    </row>
    <row r="1055">
      <c r="A1055">
        <f>Raw_Data!A1055</f>
        <v/>
      </c>
      <c r="B1055" s="29">
        <f>Raw_Data!B1055</f>
        <v/>
      </c>
      <c r="C1055">
        <f>YEAR(B1055)</f>
        <v/>
      </c>
      <c r="D1055">
        <f>MONTH(B1055)</f>
        <v/>
      </c>
      <c r="E1055">
        <f>TEXT(B1055,"MMM-YYYY")</f>
        <v/>
      </c>
      <c r="F1055">
        <f>Raw_Data!C1055</f>
        <v/>
      </c>
      <c r="G1055">
        <f>Raw_Data!D1055</f>
        <v/>
      </c>
      <c r="H1055">
        <f>Raw_Data!E1055</f>
        <v/>
      </c>
      <c r="I1055">
        <f>Raw_Data!F1055</f>
        <v/>
      </c>
      <c r="J1055">
        <f>Raw_Data!G1055</f>
        <v/>
      </c>
      <c r="K1055">
        <f>Raw_Data!H1055</f>
        <v/>
      </c>
      <c r="L1055" s="30">
        <f>Raw_Data!I1055</f>
        <v/>
      </c>
      <c r="M1055" s="31">
        <f>Raw_Data!J1055</f>
        <v/>
      </c>
      <c r="N1055" s="17">
        <f>K1055*L1055</f>
        <v/>
      </c>
      <c r="O1055" s="17">
        <f>N1055*(1-M1055)</f>
        <v/>
      </c>
      <c r="P1055" s="17">
        <f>Raw_Data!L1055</f>
        <v/>
      </c>
      <c r="Q1055" s="17">
        <f>O1055-P1055</f>
        <v/>
      </c>
      <c r="R1055" s="31">
        <f>IF(O1055=0,0,Q1055/O1055)</f>
        <v/>
      </c>
      <c r="S1055">
        <f>XLOOKUP(F1055,Lookups!$B$7:$B$11,Lookups!$C$7:$C$11,"Unknown")</f>
        <v/>
      </c>
      <c r="T1055" s="31">
        <f>XLOOKUP(G1055,Lookups!$E$7:$E$11,Lookups!$F$7:$F$11,0)</f>
        <v/>
      </c>
      <c r="U1055" s="32">
        <f>R1055-T1055</f>
        <v/>
      </c>
      <c r="V1055">
        <f>XLOOKUP(I1055,Lookups!$H$7:$H$10,Lookups!$I$7:$I$10,"")</f>
        <v/>
      </c>
      <c r="W1055">
        <f>IF(O1055&gt;=50000,"HIGH VALUE","")</f>
        <v/>
      </c>
      <c r="X1055">
        <f>IF(Q1055&lt;0,"LOSS","")</f>
        <v/>
      </c>
      <c r="Y1055">
        <f>IFS(M1055&gt;=0.15,"Deep Discount",M1055&gt;=0.1,"Moderate",TRUE,"Standard")</f>
        <v/>
      </c>
    </row>
    <row r="1056">
      <c r="A1056">
        <f>Raw_Data!A1056</f>
        <v/>
      </c>
      <c r="B1056" s="29">
        <f>Raw_Data!B1056</f>
        <v/>
      </c>
      <c r="C1056">
        <f>YEAR(B1056)</f>
        <v/>
      </c>
      <c r="D1056">
        <f>MONTH(B1056)</f>
        <v/>
      </c>
      <c r="E1056">
        <f>TEXT(B1056,"MMM-YYYY")</f>
        <v/>
      </c>
      <c r="F1056">
        <f>Raw_Data!C1056</f>
        <v/>
      </c>
      <c r="G1056">
        <f>Raw_Data!D1056</f>
        <v/>
      </c>
      <c r="H1056">
        <f>Raw_Data!E1056</f>
        <v/>
      </c>
      <c r="I1056">
        <f>Raw_Data!F1056</f>
        <v/>
      </c>
      <c r="J1056">
        <f>Raw_Data!G1056</f>
        <v/>
      </c>
      <c r="K1056">
        <f>Raw_Data!H1056</f>
        <v/>
      </c>
      <c r="L1056" s="30">
        <f>Raw_Data!I1056</f>
        <v/>
      </c>
      <c r="M1056" s="31">
        <f>Raw_Data!J1056</f>
        <v/>
      </c>
      <c r="N1056" s="17">
        <f>K1056*L1056</f>
        <v/>
      </c>
      <c r="O1056" s="17">
        <f>N1056*(1-M1056)</f>
        <v/>
      </c>
      <c r="P1056" s="17">
        <f>Raw_Data!L1056</f>
        <v/>
      </c>
      <c r="Q1056" s="17">
        <f>O1056-P1056</f>
        <v/>
      </c>
      <c r="R1056" s="31">
        <f>IF(O1056=0,0,Q1056/O1056)</f>
        <v/>
      </c>
      <c r="S1056">
        <f>XLOOKUP(F1056,Lookups!$B$7:$B$11,Lookups!$C$7:$C$11,"Unknown")</f>
        <v/>
      </c>
      <c r="T1056" s="31">
        <f>XLOOKUP(G1056,Lookups!$E$7:$E$11,Lookups!$F$7:$F$11,0)</f>
        <v/>
      </c>
      <c r="U1056" s="32">
        <f>R1056-T1056</f>
        <v/>
      </c>
      <c r="V1056">
        <f>XLOOKUP(I1056,Lookups!$H$7:$H$10,Lookups!$I$7:$I$10,"")</f>
        <v/>
      </c>
      <c r="W1056">
        <f>IF(O1056&gt;=50000,"HIGH VALUE","")</f>
        <v/>
      </c>
      <c r="X1056">
        <f>IF(Q1056&lt;0,"LOSS","")</f>
        <v/>
      </c>
      <c r="Y1056">
        <f>IFS(M1056&gt;=0.15,"Deep Discount",M1056&gt;=0.1,"Moderate",TRUE,"Standard")</f>
        <v/>
      </c>
    </row>
    <row r="1057">
      <c r="A1057">
        <f>Raw_Data!A1057</f>
        <v/>
      </c>
      <c r="B1057" s="29">
        <f>Raw_Data!B1057</f>
        <v/>
      </c>
      <c r="C1057">
        <f>YEAR(B1057)</f>
        <v/>
      </c>
      <c r="D1057">
        <f>MONTH(B1057)</f>
        <v/>
      </c>
      <c r="E1057">
        <f>TEXT(B1057,"MMM-YYYY")</f>
        <v/>
      </c>
      <c r="F1057">
        <f>Raw_Data!C1057</f>
        <v/>
      </c>
      <c r="G1057">
        <f>Raw_Data!D1057</f>
        <v/>
      </c>
      <c r="H1057">
        <f>Raw_Data!E1057</f>
        <v/>
      </c>
      <c r="I1057">
        <f>Raw_Data!F1057</f>
        <v/>
      </c>
      <c r="J1057">
        <f>Raw_Data!G1057</f>
        <v/>
      </c>
      <c r="K1057">
        <f>Raw_Data!H1057</f>
        <v/>
      </c>
      <c r="L1057" s="30">
        <f>Raw_Data!I1057</f>
        <v/>
      </c>
      <c r="M1057" s="31">
        <f>Raw_Data!J1057</f>
        <v/>
      </c>
      <c r="N1057" s="17">
        <f>K1057*L1057</f>
        <v/>
      </c>
      <c r="O1057" s="17">
        <f>N1057*(1-M1057)</f>
        <v/>
      </c>
      <c r="P1057" s="17">
        <f>Raw_Data!L1057</f>
        <v/>
      </c>
      <c r="Q1057" s="17">
        <f>O1057-P1057</f>
        <v/>
      </c>
      <c r="R1057" s="31">
        <f>IF(O1057=0,0,Q1057/O1057)</f>
        <v/>
      </c>
      <c r="S1057">
        <f>XLOOKUP(F1057,Lookups!$B$7:$B$11,Lookups!$C$7:$C$11,"Unknown")</f>
        <v/>
      </c>
      <c r="T1057" s="31">
        <f>XLOOKUP(G1057,Lookups!$E$7:$E$11,Lookups!$F$7:$F$11,0)</f>
        <v/>
      </c>
      <c r="U1057" s="32">
        <f>R1057-T1057</f>
        <v/>
      </c>
      <c r="V1057">
        <f>XLOOKUP(I1057,Lookups!$H$7:$H$10,Lookups!$I$7:$I$10,"")</f>
        <v/>
      </c>
      <c r="W1057">
        <f>IF(O1057&gt;=50000,"HIGH VALUE","")</f>
        <v/>
      </c>
      <c r="X1057">
        <f>IF(Q1057&lt;0,"LOSS","")</f>
        <v/>
      </c>
      <c r="Y1057">
        <f>IFS(M1057&gt;=0.15,"Deep Discount",M1057&gt;=0.1,"Moderate",TRUE,"Standard")</f>
        <v/>
      </c>
    </row>
    <row r="1058">
      <c r="A1058">
        <f>Raw_Data!A1058</f>
        <v/>
      </c>
      <c r="B1058" s="29">
        <f>Raw_Data!B1058</f>
        <v/>
      </c>
      <c r="C1058">
        <f>YEAR(B1058)</f>
        <v/>
      </c>
      <c r="D1058">
        <f>MONTH(B1058)</f>
        <v/>
      </c>
      <c r="E1058">
        <f>TEXT(B1058,"MMM-YYYY")</f>
        <v/>
      </c>
      <c r="F1058">
        <f>Raw_Data!C1058</f>
        <v/>
      </c>
      <c r="G1058">
        <f>Raw_Data!D1058</f>
        <v/>
      </c>
      <c r="H1058">
        <f>Raw_Data!E1058</f>
        <v/>
      </c>
      <c r="I1058">
        <f>Raw_Data!F1058</f>
        <v/>
      </c>
      <c r="J1058">
        <f>Raw_Data!G1058</f>
        <v/>
      </c>
      <c r="K1058">
        <f>Raw_Data!H1058</f>
        <v/>
      </c>
      <c r="L1058" s="30">
        <f>Raw_Data!I1058</f>
        <v/>
      </c>
      <c r="M1058" s="31">
        <f>Raw_Data!J1058</f>
        <v/>
      </c>
      <c r="N1058" s="17">
        <f>K1058*L1058</f>
        <v/>
      </c>
      <c r="O1058" s="17">
        <f>N1058*(1-M1058)</f>
        <v/>
      </c>
      <c r="P1058" s="17">
        <f>Raw_Data!L1058</f>
        <v/>
      </c>
      <c r="Q1058" s="17">
        <f>O1058-P1058</f>
        <v/>
      </c>
      <c r="R1058" s="31">
        <f>IF(O1058=0,0,Q1058/O1058)</f>
        <v/>
      </c>
      <c r="S1058">
        <f>XLOOKUP(F1058,Lookups!$B$7:$B$11,Lookups!$C$7:$C$11,"Unknown")</f>
        <v/>
      </c>
      <c r="T1058" s="31">
        <f>XLOOKUP(G1058,Lookups!$E$7:$E$11,Lookups!$F$7:$F$11,0)</f>
        <v/>
      </c>
      <c r="U1058" s="32">
        <f>R1058-T1058</f>
        <v/>
      </c>
      <c r="V1058">
        <f>XLOOKUP(I1058,Lookups!$H$7:$H$10,Lookups!$I$7:$I$10,"")</f>
        <v/>
      </c>
      <c r="W1058">
        <f>IF(O1058&gt;=50000,"HIGH VALUE","")</f>
        <v/>
      </c>
      <c r="X1058">
        <f>IF(Q1058&lt;0,"LOSS","")</f>
        <v/>
      </c>
      <c r="Y1058">
        <f>IFS(M1058&gt;=0.15,"Deep Discount",M1058&gt;=0.1,"Moderate",TRUE,"Standard")</f>
        <v/>
      </c>
    </row>
    <row r="1059">
      <c r="A1059">
        <f>Raw_Data!A1059</f>
        <v/>
      </c>
      <c r="B1059" s="29">
        <f>Raw_Data!B1059</f>
        <v/>
      </c>
      <c r="C1059">
        <f>YEAR(B1059)</f>
        <v/>
      </c>
      <c r="D1059">
        <f>MONTH(B1059)</f>
        <v/>
      </c>
      <c r="E1059">
        <f>TEXT(B1059,"MMM-YYYY")</f>
        <v/>
      </c>
      <c r="F1059">
        <f>Raw_Data!C1059</f>
        <v/>
      </c>
      <c r="G1059">
        <f>Raw_Data!D1059</f>
        <v/>
      </c>
      <c r="H1059">
        <f>Raw_Data!E1059</f>
        <v/>
      </c>
      <c r="I1059">
        <f>Raw_Data!F1059</f>
        <v/>
      </c>
      <c r="J1059">
        <f>Raw_Data!G1059</f>
        <v/>
      </c>
      <c r="K1059">
        <f>Raw_Data!H1059</f>
        <v/>
      </c>
      <c r="L1059" s="30">
        <f>Raw_Data!I1059</f>
        <v/>
      </c>
      <c r="M1059" s="31">
        <f>Raw_Data!J1059</f>
        <v/>
      </c>
      <c r="N1059" s="17">
        <f>K1059*L1059</f>
        <v/>
      </c>
      <c r="O1059" s="17">
        <f>N1059*(1-M1059)</f>
        <v/>
      </c>
      <c r="P1059" s="17">
        <f>Raw_Data!L1059</f>
        <v/>
      </c>
      <c r="Q1059" s="17">
        <f>O1059-P1059</f>
        <v/>
      </c>
      <c r="R1059" s="31">
        <f>IF(O1059=0,0,Q1059/O1059)</f>
        <v/>
      </c>
      <c r="S1059">
        <f>XLOOKUP(F1059,Lookups!$B$7:$B$11,Lookups!$C$7:$C$11,"Unknown")</f>
        <v/>
      </c>
      <c r="T1059" s="31">
        <f>XLOOKUP(G1059,Lookups!$E$7:$E$11,Lookups!$F$7:$F$11,0)</f>
        <v/>
      </c>
      <c r="U1059" s="32">
        <f>R1059-T1059</f>
        <v/>
      </c>
      <c r="V1059">
        <f>XLOOKUP(I1059,Lookups!$H$7:$H$10,Lookups!$I$7:$I$10,"")</f>
        <v/>
      </c>
      <c r="W1059">
        <f>IF(O1059&gt;=50000,"HIGH VALUE","")</f>
        <v/>
      </c>
      <c r="X1059">
        <f>IF(Q1059&lt;0,"LOSS","")</f>
        <v/>
      </c>
      <c r="Y1059">
        <f>IFS(M1059&gt;=0.15,"Deep Discount",M1059&gt;=0.1,"Moderate",TRUE,"Standard")</f>
        <v/>
      </c>
    </row>
    <row r="1060">
      <c r="A1060">
        <f>Raw_Data!A1060</f>
        <v/>
      </c>
      <c r="B1060" s="29">
        <f>Raw_Data!B1060</f>
        <v/>
      </c>
      <c r="C1060">
        <f>YEAR(B1060)</f>
        <v/>
      </c>
      <c r="D1060">
        <f>MONTH(B1060)</f>
        <v/>
      </c>
      <c r="E1060">
        <f>TEXT(B1060,"MMM-YYYY")</f>
        <v/>
      </c>
      <c r="F1060">
        <f>Raw_Data!C1060</f>
        <v/>
      </c>
      <c r="G1060">
        <f>Raw_Data!D1060</f>
        <v/>
      </c>
      <c r="H1060">
        <f>Raw_Data!E1060</f>
        <v/>
      </c>
      <c r="I1060">
        <f>Raw_Data!F1060</f>
        <v/>
      </c>
      <c r="J1060">
        <f>Raw_Data!G1060</f>
        <v/>
      </c>
      <c r="K1060">
        <f>Raw_Data!H1060</f>
        <v/>
      </c>
      <c r="L1060" s="30">
        <f>Raw_Data!I1060</f>
        <v/>
      </c>
      <c r="M1060" s="31">
        <f>Raw_Data!J1060</f>
        <v/>
      </c>
      <c r="N1060" s="17">
        <f>K1060*L1060</f>
        <v/>
      </c>
      <c r="O1060" s="17">
        <f>N1060*(1-M1060)</f>
        <v/>
      </c>
      <c r="P1060" s="17">
        <f>Raw_Data!L1060</f>
        <v/>
      </c>
      <c r="Q1060" s="17">
        <f>O1060-P1060</f>
        <v/>
      </c>
      <c r="R1060" s="31">
        <f>IF(O1060=0,0,Q1060/O1060)</f>
        <v/>
      </c>
      <c r="S1060">
        <f>XLOOKUP(F1060,Lookups!$B$7:$B$11,Lookups!$C$7:$C$11,"Unknown")</f>
        <v/>
      </c>
      <c r="T1060" s="31">
        <f>XLOOKUP(G1060,Lookups!$E$7:$E$11,Lookups!$F$7:$F$11,0)</f>
        <v/>
      </c>
      <c r="U1060" s="32">
        <f>R1060-T1060</f>
        <v/>
      </c>
      <c r="V1060">
        <f>XLOOKUP(I1060,Lookups!$H$7:$H$10,Lookups!$I$7:$I$10,"")</f>
        <v/>
      </c>
      <c r="W1060">
        <f>IF(O1060&gt;=50000,"HIGH VALUE","")</f>
        <v/>
      </c>
      <c r="X1060">
        <f>IF(Q1060&lt;0,"LOSS","")</f>
        <v/>
      </c>
      <c r="Y1060">
        <f>IFS(M1060&gt;=0.15,"Deep Discount",M1060&gt;=0.1,"Moderate",TRUE,"Standard")</f>
        <v/>
      </c>
    </row>
    <row r="1061">
      <c r="A1061">
        <f>Raw_Data!A1061</f>
        <v/>
      </c>
      <c r="B1061" s="29">
        <f>Raw_Data!B1061</f>
        <v/>
      </c>
      <c r="C1061">
        <f>YEAR(B1061)</f>
        <v/>
      </c>
      <c r="D1061">
        <f>MONTH(B1061)</f>
        <v/>
      </c>
      <c r="E1061">
        <f>TEXT(B1061,"MMM-YYYY")</f>
        <v/>
      </c>
      <c r="F1061">
        <f>Raw_Data!C1061</f>
        <v/>
      </c>
      <c r="G1061">
        <f>Raw_Data!D1061</f>
        <v/>
      </c>
      <c r="H1061">
        <f>Raw_Data!E1061</f>
        <v/>
      </c>
      <c r="I1061">
        <f>Raw_Data!F1061</f>
        <v/>
      </c>
      <c r="J1061">
        <f>Raw_Data!G1061</f>
        <v/>
      </c>
      <c r="K1061">
        <f>Raw_Data!H1061</f>
        <v/>
      </c>
      <c r="L1061" s="30">
        <f>Raw_Data!I1061</f>
        <v/>
      </c>
      <c r="M1061" s="31">
        <f>Raw_Data!J1061</f>
        <v/>
      </c>
      <c r="N1061" s="17">
        <f>K1061*L1061</f>
        <v/>
      </c>
      <c r="O1061" s="17">
        <f>N1061*(1-M1061)</f>
        <v/>
      </c>
      <c r="P1061" s="17">
        <f>Raw_Data!L1061</f>
        <v/>
      </c>
      <c r="Q1061" s="17">
        <f>O1061-P1061</f>
        <v/>
      </c>
      <c r="R1061" s="31">
        <f>IF(O1061=0,0,Q1061/O1061)</f>
        <v/>
      </c>
      <c r="S1061">
        <f>XLOOKUP(F1061,Lookups!$B$7:$B$11,Lookups!$C$7:$C$11,"Unknown")</f>
        <v/>
      </c>
      <c r="T1061" s="31">
        <f>XLOOKUP(G1061,Lookups!$E$7:$E$11,Lookups!$F$7:$F$11,0)</f>
        <v/>
      </c>
      <c r="U1061" s="32">
        <f>R1061-T1061</f>
        <v/>
      </c>
      <c r="V1061">
        <f>XLOOKUP(I1061,Lookups!$H$7:$H$10,Lookups!$I$7:$I$10,"")</f>
        <v/>
      </c>
      <c r="W1061">
        <f>IF(O1061&gt;=50000,"HIGH VALUE","")</f>
        <v/>
      </c>
      <c r="X1061">
        <f>IF(Q1061&lt;0,"LOSS","")</f>
        <v/>
      </c>
      <c r="Y1061">
        <f>IFS(M1061&gt;=0.15,"Deep Discount",M1061&gt;=0.1,"Moderate",TRUE,"Standard")</f>
        <v/>
      </c>
    </row>
    <row r="1062">
      <c r="A1062">
        <f>Raw_Data!A1062</f>
        <v/>
      </c>
      <c r="B1062" s="29">
        <f>Raw_Data!B1062</f>
        <v/>
      </c>
      <c r="C1062">
        <f>YEAR(B1062)</f>
        <v/>
      </c>
      <c r="D1062">
        <f>MONTH(B1062)</f>
        <v/>
      </c>
      <c r="E1062">
        <f>TEXT(B1062,"MMM-YYYY")</f>
        <v/>
      </c>
      <c r="F1062">
        <f>Raw_Data!C1062</f>
        <v/>
      </c>
      <c r="G1062">
        <f>Raw_Data!D1062</f>
        <v/>
      </c>
      <c r="H1062">
        <f>Raw_Data!E1062</f>
        <v/>
      </c>
      <c r="I1062">
        <f>Raw_Data!F1062</f>
        <v/>
      </c>
      <c r="J1062">
        <f>Raw_Data!G1062</f>
        <v/>
      </c>
      <c r="K1062">
        <f>Raw_Data!H1062</f>
        <v/>
      </c>
      <c r="L1062" s="30">
        <f>Raw_Data!I1062</f>
        <v/>
      </c>
      <c r="M1062" s="31">
        <f>Raw_Data!J1062</f>
        <v/>
      </c>
      <c r="N1062" s="17">
        <f>K1062*L1062</f>
        <v/>
      </c>
      <c r="O1062" s="17">
        <f>N1062*(1-M1062)</f>
        <v/>
      </c>
      <c r="P1062" s="17">
        <f>Raw_Data!L1062</f>
        <v/>
      </c>
      <c r="Q1062" s="17">
        <f>O1062-P1062</f>
        <v/>
      </c>
      <c r="R1062" s="31">
        <f>IF(O1062=0,0,Q1062/O1062)</f>
        <v/>
      </c>
      <c r="S1062">
        <f>XLOOKUP(F1062,Lookups!$B$7:$B$11,Lookups!$C$7:$C$11,"Unknown")</f>
        <v/>
      </c>
      <c r="T1062" s="31">
        <f>XLOOKUP(G1062,Lookups!$E$7:$E$11,Lookups!$F$7:$F$11,0)</f>
        <v/>
      </c>
      <c r="U1062" s="32">
        <f>R1062-T1062</f>
        <v/>
      </c>
      <c r="V1062">
        <f>XLOOKUP(I1062,Lookups!$H$7:$H$10,Lookups!$I$7:$I$10,"")</f>
        <v/>
      </c>
      <c r="W1062">
        <f>IF(O1062&gt;=50000,"HIGH VALUE","")</f>
        <v/>
      </c>
      <c r="X1062">
        <f>IF(Q1062&lt;0,"LOSS","")</f>
        <v/>
      </c>
      <c r="Y1062">
        <f>IFS(M1062&gt;=0.15,"Deep Discount",M1062&gt;=0.1,"Moderate",TRUE,"Standard")</f>
        <v/>
      </c>
    </row>
    <row r="1063">
      <c r="A1063">
        <f>Raw_Data!A1063</f>
        <v/>
      </c>
      <c r="B1063" s="29">
        <f>Raw_Data!B1063</f>
        <v/>
      </c>
      <c r="C1063">
        <f>YEAR(B1063)</f>
        <v/>
      </c>
      <c r="D1063">
        <f>MONTH(B1063)</f>
        <v/>
      </c>
      <c r="E1063">
        <f>TEXT(B1063,"MMM-YYYY")</f>
        <v/>
      </c>
      <c r="F1063">
        <f>Raw_Data!C1063</f>
        <v/>
      </c>
      <c r="G1063">
        <f>Raw_Data!D1063</f>
        <v/>
      </c>
      <c r="H1063">
        <f>Raw_Data!E1063</f>
        <v/>
      </c>
      <c r="I1063">
        <f>Raw_Data!F1063</f>
        <v/>
      </c>
      <c r="J1063">
        <f>Raw_Data!G1063</f>
        <v/>
      </c>
      <c r="K1063">
        <f>Raw_Data!H1063</f>
        <v/>
      </c>
      <c r="L1063" s="30">
        <f>Raw_Data!I1063</f>
        <v/>
      </c>
      <c r="M1063" s="31">
        <f>Raw_Data!J1063</f>
        <v/>
      </c>
      <c r="N1063" s="17">
        <f>K1063*L1063</f>
        <v/>
      </c>
      <c r="O1063" s="17">
        <f>N1063*(1-M1063)</f>
        <v/>
      </c>
      <c r="P1063" s="17">
        <f>Raw_Data!L1063</f>
        <v/>
      </c>
      <c r="Q1063" s="17">
        <f>O1063-P1063</f>
        <v/>
      </c>
      <c r="R1063" s="31">
        <f>IF(O1063=0,0,Q1063/O1063)</f>
        <v/>
      </c>
      <c r="S1063">
        <f>XLOOKUP(F1063,Lookups!$B$7:$B$11,Lookups!$C$7:$C$11,"Unknown")</f>
        <v/>
      </c>
      <c r="T1063" s="31">
        <f>XLOOKUP(G1063,Lookups!$E$7:$E$11,Lookups!$F$7:$F$11,0)</f>
        <v/>
      </c>
      <c r="U1063" s="32">
        <f>R1063-T1063</f>
        <v/>
      </c>
      <c r="V1063">
        <f>XLOOKUP(I1063,Lookups!$H$7:$H$10,Lookups!$I$7:$I$10,"")</f>
        <v/>
      </c>
      <c r="W1063">
        <f>IF(O1063&gt;=50000,"HIGH VALUE","")</f>
        <v/>
      </c>
      <c r="X1063">
        <f>IF(Q1063&lt;0,"LOSS","")</f>
        <v/>
      </c>
      <c r="Y1063">
        <f>IFS(M1063&gt;=0.15,"Deep Discount",M1063&gt;=0.1,"Moderate",TRUE,"Standard")</f>
        <v/>
      </c>
    </row>
    <row r="1064">
      <c r="A1064">
        <f>Raw_Data!A1064</f>
        <v/>
      </c>
      <c r="B1064" s="29">
        <f>Raw_Data!B1064</f>
        <v/>
      </c>
      <c r="C1064">
        <f>YEAR(B1064)</f>
        <v/>
      </c>
      <c r="D1064">
        <f>MONTH(B1064)</f>
        <v/>
      </c>
      <c r="E1064">
        <f>TEXT(B1064,"MMM-YYYY")</f>
        <v/>
      </c>
      <c r="F1064">
        <f>Raw_Data!C1064</f>
        <v/>
      </c>
      <c r="G1064">
        <f>Raw_Data!D1064</f>
        <v/>
      </c>
      <c r="H1064">
        <f>Raw_Data!E1064</f>
        <v/>
      </c>
      <c r="I1064">
        <f>Raw_Data!F1064</f>
        <v/>
      </c>
      <c r="J1064">
        <f>Raw_Data!G1064</f>
        <v/>
      </c>
      <c r="K1064">
        <f>Raw_Data!H1064</f>
        <v/>
      </c>
      <c r="L1064" s="30">
        <f>Raw_Data!I1064</f>
        <v/>
      </c>
      <c r="M1064" s="31">
        <f>Raw_Data!J1064</f>
        <v/>
      </c>
      <c r="N1064" s="17">
        <f>K1064*L1064</f>
        <v/>
      </c>
      <c r="O1064" s="17">
        <f>N1064*(1-M1064)</f>
        <v/>
      </c>
      <c r="P1064" s="17">
        <f>Raw_Data!L1064</f>
        <v/>
      </c>
      <c r="Q1064" s="17">
        <f>O1064-P1064</f>
        <v/>
      </c>
      <c r="R1064" s="31">
        <f>IF(O1064=0,0,Q1064/O1064)</f>
        <v/>
      </c>
      <c r="S1064">
        <f>XLOOKUP(F1064,Lookups!$B$7:$B$11,Lookups!$C$7:$C$11,"Unknown")</f>
        <v/>
      </c>
      <c r="T1064" s="31">
        <f>XLOOKUP(G1064,Lookups!$E$7:$E$11,Lookups!$F$7:$F$11,0)</f>
        <v/>
      </c>
      <c r="U1064" s="32">
        <f>R1064-T1064</f>
        <v/>
      </c>
      <c r="V1064">
        <f>XLOOKUP(I1064,Lookups!$H$7:$H$10,Lookups!$I$7:$I$10,"")</f>
        <v/>
      </c>
      <c r="W1064">
        <f>IF(O1064&gt;=50000,"HIGH VALUE","")</f>
        <v/>
      </c>
      <c r="X1064">
        <f>IF(Q1064&lt;0,"LOSS","")</f>
        <v/>
      </c>
      <c r="Y1064">
        <f>IFS(M1064&gt;=0.15,"Deep Discount",M1064&gt;=0.1,"Moderate",TRUE,"Standard")</f>
        <v/>
      </c>
    </row>
    <row r="1065">
      <c r="A1065">
        <f>Raw_Data!A1065</f>
        <v/>
      </c>
      <c r="B1065" s="29">
        <f>Raw_Data!B1065</f>
        <v/>
      </c>
      <c r="C1065">
        <f>YEAR(B1065)</f>
        <v/>
      </c>
      <c r="D1065">
        <f>MONTH(B1065)</f>
        <v/>
      </c>
      <c r="E1065">
        <f>TEXT(B1065,"MMM-YYYY")</f>
        <v/>
      </c>
      <c r="F1065">
        <f>Raw_Data!C1065</f>
        <v/>
      </c>
      <c r="G1065">
        <f>Raw_Data!D1065</f>
        <v/>
      </c>
      <c r="H1065">
        <f>Raw_Data!E1065</f>
        <v/>
      </c>
      <c r="I1065">
        <f>Raw_Data!F1065</f>
        <v/>
      </c>
      <c r="J1065">
        <f>Raw_Data!G1065</f>
        <v/>
      </c>
      <c r="K1065">
        <f>Raw_Data!H1065</f>
        <v/>
      </c>
      <c r="L1065" s="30">
        <f>Raw_Data!I1065</f>
        <v/>
      </c>
      <c r="M1065" s="31">
        <f>Raw_Data!J1065</f>
        <v/>
      </c>
      <c r="N1065" s="17">
        <f>K1065*L1065</f>
        <v/>
      </c>
      <c r="O1065" s="17">
        <f>N1065*(1-M1065)</f>
        <v/>
      </c>
      <c r="P1065" s="17">
        <f>Raw_Data!L1065</f>
        <v/>
      </c>
      <c r="Q1065" s="17">
        <f>O1065-P1065</f>
        <v/>
      </c>
      <c r="R1065" s="31">
        <f>IF(O1065=0,0,Q1065/O1065)</f>
        <v/>
      </c>
      <c r="S1065">
        <f>XLOOKUP(F1065,Lookups!$B$7:$B$11,Lookups!$C$7:$C$11,"Unknown")</f>
        <v/>
      </c>
      <c r="T1065" s="31">
        <f>XLOOKUP(G1065,Lookups!$E$7:$E$11,Lookups!$F$7:$F$11,0)</f>
        <v/>
      </c>
      <c r="U1065" s="32">
        <f>R1065-T1065</f>
        <v/>
      </c>
      <c r="V1065">
        <f>XLOOKUP(I1065,Lookups!$H$7:$H$10,Lookups!$I$7:$I$10,"")</f>
        <v/>
      </c>
      <c r="W1065">
        <f>IF(O1065&gt;=50000,"HIGH VALUE","")</f>
        <v/>
      </c>
      <c r="X1065">
        <f>IF(Q1065&lt;0,"LOSS","")</f>
        <v/>
      </c>
      <c r="Y1065">
        <f>IFS(M1065&gt;=0.15,"Deep Discount",M1065&gt;=0.1,"Moderate",TRUE,"Standard")</f>
        <v/>
      </c>
    </row>
    <row r="1066">
      <c r="A1066">
        <f>Raw_Data!A1066</f>
        <v/>
      </c>
      <c r="B1066" s="29">
        <f>Raw_Data!B1066</f>
        <v/>
      </c>
      <c r="C1066">
        <f>YEAR(B1066)</f>
        <v/>
      </c>
      <c r="D1066">
        <f>MONTH(B1066)</f>
        <v/>
      </c>
      <c r="E1066">
        <f>TEXT(B1066,"MMM-YYYY")</f>
        <v/>
      </c>
      <c r="F1066">
        <f>Raw_Data!C1066</f>
        <v/>
      </c>
      <c r="G1066">
        <f>Raw_Data!D1066</f>
        <v/>
      </c>
      <c r="H1066">
        <f>Raw_Data!E1066</f>
        <v/>
      </c>
      <c r="I1066">
        <f>Raw_Data!F1066</f>
        <v/>
      </c>
      <c r="J1066">
        <f>Raw_Data!G1066</f>
        <v/>
      </c>
      <c r="K1066">
        <f>Raw_Data!H1066</f>
        <v/>
      </c>
      <c r="L1066" s="30">
        <f>Raw_Data!I1066</f>
        <v/>
      </c>
      <c r="M1066" s="31">
        <f>Raw_Data!J1066</f>
        <v/>
      </c>
      <c r="N1066" s="17">
        <f>K1066*L1066</f>
        <v/>
      </c>
      <c r="O1066" s="17">
        <f>N1066*(1-M1066)</f>
        <v/>
      </c>
      <c r="P1066" s="17">
        <f>Raw_Data!L1066</f>
        <v/>
      </c>
      <c r="Q1066" s="17">
        <f>O1066-P1066</f>
        <v/>
      </c>
      <c r="R1066" s="31">
        <f>IF(O1066=0,0,Q1066/O1066)</f>
        <v/>
      </c>
      <c r="S1066">
        <f>XLOOKUP(F1066,Lookups!$B$7:$B$11,Lookups!$C$7:$C$11,"Unknown")</f>
        <v/>
      </c>
      <c r="T1066" s="31">
        <f>XLOOKUP(G1066,Lookups!$E$7:$E$11,Lookups!$F$7:$F$11,0)</f>
        <v/>
      </c>
      <c r="U1066" s="32">
        <f>R1066-T1066</f>
        <v/>
      </c>
      <c r="V1066">
        <f>XLOOKUP(I1066,Lookups!$H$7:$H$10,Lookups!$I$7:$I$10,"")</f>
        <v/>
      </c>
      <c r="W1066">
        <f>IF(O1066&gt;=50000,"HIGH VALUE","")</f>
        <v/>
      </c>
      <c r="X1066">
        <f>IF(Q1066&lt;0,"LOSS","")</f>
        <v/>
      </c>
      <c r="Y1066">
        <f>IFS(M1066&gt;=0.15,"Deep Discount",M1066&gt;=0.1,"Moderate",TRUE,"Standard")</f>
        <v/>
      </c>
    </row>
    <row r="1067">
      <c r="A1067">
        <f>Raw_Data!A1067</f>
        <v/>
      </c>
      <c r="B1067" s="29">
        <f>Raw_Data!B1067</f>
        <v/>
      </c>
      <c r="C1067">
        <f>YEAR(B1067)</f>
        <v/>
      </c>
      <c r="D1067">
        <f>MONTH(B1067)</f>
        <v/>
      </c>
      <c r="E1067">
        <f>TEXT(B1067,"MMM-YYYY")</f>
        <v/>
      </c>
      <c r="F1067">
        <f>Raw_Data!C1067</f>
        <v/>
      </c>
      <c r="G1067">
        <f>Raw_Data!D1067</f>
        <v/>
      </c>
      <c r="H1067">
        <f>Raw_Data!E1067</f>
        <v/>
      </c>
      <c r="I1067">
        <f>Raw_Data!F1067</f>
        <v/>
      </c>
      <c r="J1067">
        <f>Raw_Data!G1067</f>
        <v/>
      </c>
      <c r="K1067">
        <f>Raw_Data!H1067</f>
        <v/>
      </c>
      <c r="L1067" s="30">
        <f>Raw_Data!I1067</f>
        <v/>
      </c>
      <c r="M1067" s="31">
        <f>Raw_Data!J1067</f>
        <v/>
      </c>
      <c r="N1067" s="17">
        <f>K1067*L1067</f>
        <v/>
      </c>
      <c r="O1067" s="17">
        <f>N1067*(1-M1067)</f>
        <v/>
      </c>
      <c r="P1067" s="17">
        <f>Raw_Data!L1067</f>
        <v/>
      </c>
      <c r="Q1067" s="17">
        <f>O1067-P1067</f>
        <v/>
      </c>
      <c r="R1067" s="31">
        <f>IF(O1067=0,0,Q1067/O1067)</f>
        <v/>
      </c>
      <c r="S1067">
        <f>XLOOKUP(F1067,Lookups!$B$7:$B$11,Lookups!$C$7:$C$11,"Unknown")</f>
        <v/>
      </c>
      <c r="T1067" s="31">
        <f>XLOOKUP(G1067,Lookups!$E$7:$E$11,Lookups!$F$7:$F$11,0)</f>
        <v/>
      </c>
      <c r="U1067" s="32">
        <f>R1067-T1067</f>
        <v/>
      </c>
      <c r="V1067">
        <f>XLOOKUP(I1067,Lookups!$H$7:$H$10,Lookups!$I$7:$I$10,"")</f>
        <v/>
      </c>
      <c r="W1067">
        <f>IF(O1067&gt;=50000,"HIGH VALUE","")</f>
        <v/>
      </c>
      <c r="X1067">
        <f>IF(Q1067&lt;0,"LOSS","")</f>
        <v/>
      </c>
      <c r="Y1067">
        <f>IFS(M1067&gt;=0.15,"Deep Discount",M1067&gt;=0.1,"Moderate",TRUE,"Standard")</f>
        <v/>
      </c>
    </row>
    <row r="1068">
      <c r="A1068">
        <f>Raw_Data!A1068</f>
        <v/>
      </c>
      <c r="B1068" s="29">
        <f>Raw_Data!B1068</f>
        <v/>
      </c>
      <c r="C1068">
        <f>YEAR(B1068)</f>
        <v/>
      </c>
      <c r="D1068">
        <f>MONTH(B1068)</f>
        <v/>
      </c>
      <c r="E1068">
        <f>TEXT(B1068,"MMM-YYYY")</f>
        <v/>
      </c>
      <c r="F1068">
        <f>Raw_Data!C1068</f>
        <v/>
      </c>
      <c r="G1068">
        <f>Raw_Data!D1068</f>
        <v/>
      </c>
      <c r="H1068">
        <f>Raw_Data!E1068</f>
        <v/>
      </c>
      <c r="I1068">
        <f>Raw_Data!F1068</f>
        <v/>
      </c>
      <c r="J1068">
        <f>Raw_Data!G1068</f>
        <v/>
      </c>
      <c r="K1068">
        <f>Raw_Data!H1068</f>
        <v/>
      </c>
      <c r="L1068" s="30">
        <f>Raw_Data!I1068</f>
        <v/>
      </c>
      <c r="M1068" s="31">
        <f>Raw_Data!J1068</f>
        <v/>
      </c>
      <c r="N1068" s="17">
        <f>K1068*L1068</f>
        <v/>
      </c>
      <c r="O1068" s="17">
        <f>N1068*(1-M1068)</f>
        <v/>
      </c>
      <c r="P1068" s="17">
        <f>Raw_Data!L1068</f>
        <v/>
      </c>
      <c r="Q1068" s="17">
        <f>O1068-P1068</f>
        <v/>
      </c>
      <c r="R1068" s="31">
        <f>IF(O1068=0,0,Q1068/O1068)</f>
        <v/>
      </c>
      <c r="S1068">
        <f>XLOOKUP(F1068,Lookups!$B$7:$B$11,Lookups!$C$7:$C$11,"Unknown")</f>
        <v/>
      </c>
      <c r="T1068" s="31">
        <f>XLOOKUP(G1068,Lookups!$E$7:$E$11,Lookups!$F$7:$F$11,0)</f>
        <v/>
      </c>
      <c r="U1068" s="32">
        <f>R1068-T1068</f>
        <v/>
      </c>
      <c r="V1068">
        <f>XLOOKUP(I1068,Lookups!$H$7:$H$10,Lookups!$I$7:$I$10,"")</f>
        <v/>
      </c>
      <c r="W1068">
        <f>IF(O1068&gt;=50000,"HIGH VALUE","")</f>
        <v/>
      </c>
      <c r="X1068">
        <f>IF(Q1068&lt;0,"LOSS","")</f>
        <v/>
      </c>
      <c r="Y1068">
        <f>IFS(M1068&gt;=0.15,"Deep Discount",M1068&gt;=0.1,"Moderate",TRUE,"Standard")</f>
        <v/>
      </c>
    </row>
    <row r="1069">
      <c r="A1069">
        <f>Raw_Data!A1069</f>
        <v/>
      </c>
      <c r="B1069" s="29">
        <f>Raw_Data!B1069</f>
        <v/>
      </c>
      <c r="C1069">
        <f>YEAR(B1069)</f>
        <v/>
      </c>
      <c r="D1069">
        <f>MONTH(B1069)</f>
        <v/>
      </c>
      <c r="E1069">
        <f>TEXT(B1069,"MMM-YYYY")</f>
        <v/>
      </c>
      <c r="F1069">
        <f>Raw_Data!C1069</f>
        <v/>
      </c>
      <c r="G1069">
        <f>Raw_Data!D1069</f>
        <v/>
      </c>
      <c r="H1069">
        <f>Raw_Data!E1069</f>
        <v/>
      </c>
      <c r="I1069">
        <f>Raw_Data!F1069</f>
        <v/>
      </c>
      <c r="J1069">
        <f>Raw_Data!G1069</f>
        <v/>
      </c>
      <c r="K1069">
        <f>Raw_Data!H1069</f>
        <v/>
      </c>
      <c r="L1069" s="30">
        <f>Raw_Data!I1069</f>
        <v/>
      </c>
      <c r="M1069" s="31">
        <f>Raw_Data!J1069</f>
        <v/>
      </c>
      <c r="N1069" s="17">
        <f>K1069*L1069</f>
        <v/>
      </c>
      <c r="O1069" s="17">
        <f>N1069*(1-M1069)</f>
        <v/>
      </c>
      <c r="P1069" s="17">
        <f>Raw_Data!L1069</f>
        <v/>
      </c>
      <c r="Q1069" s="17">
        <f>O1069-P1069</f>
        <v/>
      </c>
      <c r="R1069" s="31">
        <f>IF(O1069=0,0,Q1069/O1069)</f>
        <v/>
      </c>
      <c r="S1069">
        <f>XLOOKUP(F1069,Lookups!$B$7:$B$11,Lookups!$C$7:$C$11,"Unknown")</f>
        <v/>
      </c>
      <c r="T1069" s="31">
        <f>XLOOKUP(G1069,Lookups!$E$7:$E$11,Lookups!$F$7:$F$11,0)</f>
        <v/>
      </c>
      <c r="U1069" s="32">
        <f>R1069-T1069</f>
        <v/>
      </c>
      <c r="V1069">
        <f>XLOOKUP(I1069,Lookups!$H$7:$H$10,Lookups!$I$7:$I$10,"")</f>
        <v/>
      </c>
      <c r="W1069">
        <f>IF(O1069&gt;=50000,"HIGH VALUE","")</f>
        <v/>
      </c>
      <c r="X1069">
        <f>IF(Q1069&lt;0,"LOSS","")</f>
        <v/>
      </c>
      <c r="Y1069">
        <f>IFS(M1069&gt;=0.15,"Deep Discount",M1069&gt;=0.1,"Moderate",TRUE,"Standard")</f>
        <v/>
      </c>
    </row>
    <row r="1070">
      <c r="A1070">
        <f>Raw_Data!A1070</f>
        <v/>
      </c>
      <c r="B1070" s="29">
        <f>Raw_Data!B1070</f>
        <v/>
      </c>
      <c r="C1070">
        <f>YEAR(B1070)</f>
        <v/>
      </c>
      <c r="D1070">
        <f>MONTH(B1070)</f>
        <v/>
      </c>
      <c r="E1070">
        <f>TEXT(B1070,"MMM-YYYY")</f>
        <v/>
      </c>
      <c r="F1070">
        <f>Raw_Data!C1070</f>
        <v/>
      </c>
      <c r="G1070">
        <f>Raw_Data!D1070</f>
        <v/>
      </c>
      <c r="H1070">
        <f>Raw_Data!E1070</f>
        <v/>
      </c>
      <c r="I1070">
        <f>Raw_Data!F1070</f>
        <v/>
      </c>
      <c r="J1070">
        <f>Raw_Data!G1070</f>
        <v/>
      </c>
      <c r="K1070">
        <f>Raw_Data!H1070</f>
        <v/>
      </c>
      <c r="L1070" s="30">
        <f>Raw_Data!I1070</f>
        <v/>
      </c>
      <c r="M1070" s="31">
        <f>Raw_Data!J1070</f>
        <v/>
      </c>
      <c r="N1070" s="17">
        <f>K1070*L1070</f>
        <v/>
      </c>
      <c r="O1070" s="17">
        <f>N1070*(1-M1070)</f>
        <v/>
      </c>
      <c r="P1070" s="17">
        <f>Raw_Data!L1070</f>
        <v/>
      </c>
      <c r="Q1070" s="17">
        <f>O1070-P1070</f>
        <v/>
      </c>
      <c r="R1070" s="31">
        <f>IF(O1070=0,0,Q1070/O1070)</f>
        <v/>
      </c>
      <c r="S1070">
        <f>XLOOKUP(F1070,Lookups!$B$7:$B$11,Lookups!$C$7:$C$11,"Unknown")</f>
        <v/>
      </c>
      <c r="T1070" s="31">
        <f>XLOOKUP(G1070,Lookups!$E$7:$E$11,Lookups!$F$7:$F$11,0)</f>
        <v/>
      </c>
      <c r="U1070" s="32">
        <f>R1070-T1070</f>
        <v/>
      </c>
      <c r="V1070">
        <f>XLOOKUP(I1070,Lookups!$H$7:$H$10,Lookups!$I$7:$I$10,"")</f>
        <v/>
      </c>
      <c r="W1070">
        <f>IF(O1070&gt;=50000,"HIGH VALUE","")</f>
        <v/>
      </c>
      <c r="X1070">
        <f>IF(Q1070&lt;0,"LOSS","")</f>
        <v/>
      </c>
      <c r="Y1070">
        <f>IFS(M1070&gt;=0.15,"Deep Discount",M1070&gt;=0.1,"Moderate",TRUE,"Standard")</f>
        <v/>
      </c>
    </row>
    <row r="1071">
      <c r="A1071">
        <f>Raw_Data!A1071</f>
        <v/>
      </c>
      <c r="B1071" s="29">
        <f>Raw_Data!B1071</f>
        <v/>
      </c>
      <c r="C1071">
        <f>YEAR(B1071)</f>
        <v/>
      </c>
      <c r="D1071">
        <f>MONTH(B1071)</f>
        <v/>
      </c>
      <c r="E1071">
        <f>TEXT(B1071,"MMM-YYYY")</f>
        <v/>
      </c>
      <c r="F1071">
        <f>Raw_Data!C1071</f>
        <v/>
      </c>
      <c r="G1071">
        <f>Raw_Data!D1071</f>
        <v/>
      </c>
      <c r="H1071">
        <f>Raw_Data!E1071</f>
        <v/>
      </c>
      <c r="I1071">
        <f>Raw_Data!F1071</f>
        <v/>
      </c>
      <c r="J1071">
        <f>Raw_Data!G1071</f>
        <v/>
      </c>
      <c r="K1071">
        <f>Raw_Data!H1071</f>
        <v/>
      </c>
      <c r="L1071" s="30">
        <f>Raw_Data!I1071</f>
        <v/>
      </c>
      <c r="M1071" s="31">
        <f>Raw_Data!J1071</f>
        <v/>
      </c>
      <c r="N1071" s="17">
        <f>K1071*L1071</f>
        <v/>
      </c>
      <c r="O1071" s="17">
        <f>N1071*(1-M1071)</f>
        <v/>
      </c>
      <c r="P1071" s="17">
        <f>Raw_Data!L1071</f>
        <v/>
      </c>
      <c r="Q1071" s="17">
        <f>O1071-P1071</f>
        <v/>
      </c>
      <c r="R1071" s="31">
        <f>IF(O1071=0,0,Q1071/O1071)</f>
        <v/>
      </c>
      <c r="S1071">
        <f>XLOOKUP(F1071,Lookups!$B$7:$B$11,Lookups!$C$7:$C$11,"Unknown")</f>
        <v/>
      </c>
      <c r="T1071" s="31">
        <f>XLOOKUP(G1071,Lookups!$E$7:$E$11,Lookups!$F$7:$F$11,0)</f>
        <v/>
      </c>
      <c r="U1071" s="32">
        <f>R1071-T1071</f>
        <v/>
      </c>
      <c r="V1071">
        <f>XLOOKUP(I1071,Lookups!$H$7:$H$10,Lookups!$I$7:$I$10,"")</f>
        <v/>
      </c>
      <c r="W1071">
        <f>IF(O1071&gt;=50000,"HIGH VALUE","")</f>
        <v/>
      </c>
      <c r="X1071">
        <f>IF(Q1071&lt;0,"LOSS","")</f>
        <v/>
      </c>
      <c r="Y1071">
        <f>IFS(M1071&gt;=0.15,"Deep Discount",M1071&gt;=0.1,"Moderate",TRUE,"Standard")</f>
        <v/>
      </c>
    </row>
    <row r="1072">
      <c r="A1072">
        <f>Raw_Data!A1072</f>
        <v/>
      </c>
      <c r="B1072" s="29">
        <f>Raw_Data!B1072</f>
        <v/>
      </c>
      <c r="C1072">
        <f>YEAR(B1072)</f>
        <v/>
      </c>
      <c r="D1072">
        <f>MONTH(B1072)</f>
        <v/>
      </c>
      <c r="E1072">
        <f>TEXT(B1072,"MMM-YYYY")</f>
        <v/>
      </c>
      <c r="F1072">
        <f>Raw_Data!C1072</f>
        <v/>
      </c>
      <c r="G1072">
        <f>Raw_Data!D1072</f>
        <v/>
      </c>
      <c r="H1072">
        <f>Raw_Data!E1072</f>
        <v/>
      </c>
      <c r="I1072">
        <f>Raw_Data!F1072</f>
        <v/>
      </c>
      <c r="J1072">
        <f>Raw_Data!G1072</f>
        <v/>
      </c>
      <c r="K1072">
        <f>Raw_Data!H1072</f>
        <v/>
      </c>
      <c r="L1072" s="30">
        <f>Raw_Data!I1072</f>
        <v/>
      </c>
      <c r="M1072" s="31">
        <f>Raw_Data!J1072</f>
        <v/>
      </c>
      <c r="N1072" s="17">
        <f>K1072*L1072</f>
        <v/>
      </c>
      <c r="O1072" s="17">
        <f>N1072*(1-M1072)</f>
        <v/>
      </c>
      <c r="P1072" s="17">
        <f>Raw_Data!L1072</f>
        <v/>
      </c>
      <c r="Q1072" s="17">
        <f>O1072-P1072</f>
        <v/>
      </c>
      <c r="R1072" s="31">
        <f>IF(O1072=0,0,Q1072/O1072)</f>
        <v/>
      </c>
      <c r="S1072">
        <f>XLOOKUP(F1072,Lookups!$B$7:$B$11,Lookups!$C$7:$C$11,"Unknown")</f>
        <v/>
      </c>
      <c r="T1072" s="31">
        <f>XLOOKUP(G1072,Lookups!$E$7:$E$11,Lookups!$F$7:$F$11,0)</f>
        <v/>
      </c>
      <c r="U1072" s="32">
        <f>R1072-T1072</f>
        <v/>
      </c>
      <c r="V1072">
        <f>XLOOKUP(I1072,Lookups!$H$7:$H$10,Lookups!$I$7:$I$10,"")</f>
        <v/>
      </c>
      <c r="W1072">
        <f>IF(O1072&gt;=50000,"HIGH VALUE","")</f>
        <v/>
      </c>
      <c r="X1072">
        <f>IF(Q1072&lt;0,"LOSS","")</f>
        <v/>
      </c>
      <c r="Y1072">
        <f>IFS(M1072&gt;=0.15,"Deep Discount",M1072&gt;=0.1,"Moderate",TRUE,"Standard")</f>
        <v/>
      </c>
    </row>
    <row r="1073">
      <c r="A1073">
        <f>Raw_Data!A1073</f>
        <v/>
      </c>
      <c r="B1073" s="29">
        <f>Raw_Data!B1073</f>
        <v/>
      </c>
      <c r="C1073">
        <f>YEAR(B1073)</f>
        <v/>
      </c>
      <c r="D1073">
        <f>MONTH(B1073)</f>
        <v/>
      </c>
      <c r="E1073">
        <f>TEXT(B1073,"MMM-YYYY")</f>
        <v/>
      </c>
      <c r="F1073">
        <f>Raw_Data!C1073</f>
        <v/>
      </c>
      <c r="G1073">
        <f>Raw_Data!D1073</f>
        <v/>
      </c>
      <c r="H1073">
        <f>Raw_Data!E1073</f>
        <v/>
      </c>
      <c r="I1073">
        <f>Raw_Data!F1073</f>
        <v/>
      </c>
      <c r="J1073">
        <f>Raw_Data!G1073</f>
        <v/>
      </c>
      <c r="K1073">
        <f>Raw_Data!H1073</f>
        <v/>
      </c>
      <c r="L1073" s="30">
        <f>Raw_Data!I1073</f>
        <v/>
      </c>
      <c r="M1073" s="31">
        <f>Raw_Data!J1073</f>
        <v/>
      </c>
      <c r="N1073" s="17">
        <f>K1073*L1073</f>
        <v/>
      </c>
      <c r="O1073" s="17">
        <f>N1073*(1-M1073)</f>
        <v/>
      </c>
      <c r="P1073" s="17">
        <f>Raw_Data!L1073</f>
        <v/>
      </c>
      <c r="Q1073" s="17">
        <f>O1073-P1073</f>
        <v/>
      </c>
      <c r="R1073" s="31">
        <f>IF(O1073=0,0,Q1073/O1073)</f>
        <v/>
      </c>
      <c r="S1073">
        <f>XLOOKUP(F1073,Lookups!$B$7:$B$11,Lookups!$C$7:$C$11,"Unknown")</f>
        <v/>
      </c>
      <c r="T1073" s="31">
        <f>XLOOKUP(G1073,Lookups!$E$7:$E$11,Lookups!$F$7:$F$11,0)</f>
        <v/>
      </c>
      <c r="U1073" s="32">
        <f>R1073-T1073</f>
        <v/>
      </c>
      <c r="V1073">
        <f>XLOOKUP(I1073,Lookups!$H$7:$H$10,Lookups!$I$7:$I$10,"")</f>
        <v/>
      </c>
      <c r="W1073">
        <f>IF(O1073&gt;=50000,"HIGH VALUE","")</f>
        <v/>
      </c>
      <c r="X1073">
        <f>IF(Q1073&lt;0,"LOSS","")</f>
        <v/>
      </c>
      <c r="Y1073">
        <f>IFS(M1073&gt;=0.15,"Deep Discount",M1073&gt;=0.1,"Moderate",TRUE,"Standard")</f>
        <v/>
      </c>
    </row>
    <row r="1074">
      <c r="A1074">
        <f>Raw_Data!A1074</f>
        <v/>
      </c>
      <c r="B1074" s="29">
        <f>Raw_Data!B1074</f>
        <v/>
      </c>
      <c r="C1074">
        <f>YEAR(B1074)</f>
        <v/>
      </c>
      <c r="D1074">
        <f>MONTH(B1074)</f>
        <v/>
      </c>
      <c r="E1074">
        <f>TEXT(B1074,"MMM-YYYY")</f>
        <v/>
      </c>
      <c r="F1074">
        <f>Raw_Data!C1074</f>
        <v/>
      </c>
      <c r="G1074">
        <f>Raw_Data!D1074</f>
        <v/>
      </c>
      <c r="H1074">
        <f>Raw_Data!E1074</f>
        <v/>
      </c>
      <c r="I1074">
        <f>Raw_Data!F1074</f>
        <v/>
      </c>
      <c r="J1074">
        <f>Raw_Data!G1074</f>
        <v/>
      </c>
      <c r="K1074">
        <f>Raw_Data!H1074</f>
        <v/>
      </c>
      <c r="L1074" s="30">
        <f>Raw_Data!I1074</f>
        <v/>
      </c>
      <c r="M1074" s="31">
        <f>Raw_Data!J1074</f>
        <v/>
      </c>
      <c r="N1074" s="17">
        <f>K1074*L1074</f>
        <v/>
      </c>
      <c r="O1074" s="17">
        <f>N1074*(1-M1074)</f>
        <v/>
      </c>
      <c r="P1074" s="17">
        <f>Raw_Data!L1074</f>
        <v/>
      </c>
      <c r="Q1074" s="17">
        <f>O1074-P1074</f>
        <v/>
      </c>
      <c r="R1074" s="31">
        <f>IF(O1074=0,0,Q1074/O1074)</f>
        <v/>
      </c>
      <c r="S1074">
        <f>XLOOKUP(F1074,Lookups!$B$7:$B$11,Lookups!$C$7:$C$11,"Unknown")</f>
        <v/>
      </c>
      <c r="T1074" s="31">
        <f>XLOOKUP(G1074,Lookups!$E$7:$E$11,Lookups!$F$7:$F$11,0)</f>
        <v/>
      </c>
      <c r="U1074" s="32">
        <f>R1074-T1074</f>
        <v/>
      </c>
      <c r="V1074">
        <f>XLOOKUP(I1074,Lookups!$H$7:$H$10,Lookups!$I$7:$I$10,"")</f>
        <v/>
      </c>
      <c r="W1074">
        <f>IF(O1074&gt;=50000,"HIGH VALUE","")</f>
        <v/>
      </c>
      <c r="X1074">
        <f>IF(Q1074&lt;0,"LOSS","")</f>
        <v/>
      </c>
      <c r="Y1074">
        <f>IFS(M1074&gt;=0.15,"Deep Discount",M1074&gt;=0.1,"Moderate",TRUE,"Standard")</f>
        <v/>
      </c>
    </row>
    <row r="1075">
      <c r="A1075">
        <f>Raw_Data!A1075</f>
        <v/>
      </c>
      <c r="B1075" s="29">
        <f>Raw_Data!B1075</f>
        <v/>
      </c>
      <c r="C1075">
        <f>YEAR(B1075)</f>
        <v/>
      </c>
      <c r="D1075">
        <f>MONTH(B1075)</f>
        <v/>
      </c>
      <c r="E1075">
        <f>TEXT(B1075,"MMM-YYYY")</f>
        <v/>
      </c>
      <c r="F1075">
        <f>Raw_Data!C1075</f>
        <v/>
      </c>
      <c r="G1075">
        <f>Raw_Data!D1075</f>
        <v/>
      </c>
      <c r="H1075">
        <f>Raw_Data!E1075</f>
        <v/>
      </c>
      <c r="I1075">
        <f>Raw_Data!F1075</f>
        <v/>
      </c>
      <c r="J1075">
        <f>Raw_Data!G1075</f>
        <v/>
      </c>
      <c r="K1075">
        <f>Raw_Data!H1075</f>
        <v/>
      </c>
      <c r="L1075" s="30">
        <f>Raw_Data!I1075</f>
        <v/>
      </c>
      <c r="M1075" s="31">
        <f>Raw_Data!J1075</f>
        <v/>
      </c>
      <c r="N1075" s="17">
        <f>K1075*L1075</f>
        <v/>
      </c>
      <c r="O1075" s="17">
        <f>N1075*(1-M1075)</f>
        <v/>
      </c>
      <c r="P1075" s="17">
        <f>Raw_Data!L1075</f>
        <v/>
      </c>
      <c r="Q1075" s="17">
        <f>O1075-P1075</f>
        <v/>
      </c>
      <c r="R1075" s="31">
        <f>IF(O1075=0,0,Q1075/O1075)</f>
        <v/>
      </c>
      <c r="S1075">
        <f>XLOOKUP(F1075,Lookups!$B$7:$B$11,Lookups!$C$7:$C$11,"Unknown")</f>
        <v/>
      </c>
      <c r="T1075" s="31">
        <f>XLOOKUP(G1075,Lookups!$E$7:$E$11,Lookups!$F$7:$F$11,0)</f>
        <v/>
      </c>
      <c r="U1075" s="32">
        <f>R1075-T1075</f>
        <v/>
      </c>
      <c r="V1075">
        <f>XLOOKUP(I1075,Lookups!$H$7:$H$10,Lookups!$I$7:$I$10,"")</f>
        <v/>
      </c>
      <c r="W1075">
        <f>IF(O1075&gt;=50000,"HIGH VALUE","")</f>
        <v/>
      </c>
      <c r="X1075">
        <f>IF(Q1075&lt;0,"LOSS","")</f>
        <v/>
      </c>
      <c r="Y1075">
        <f>IFS(M1075&gt;=0.15,"Deep Discount",M1075&gt;=0.1,"Moderate",TRUE,"Standard")</f>
        <v/>
      </c>
    </row>
    <row r="1076">
      <c r="A1076">
        <f>Raw_Data!A1076</f>
        <v/>
      </c>
      <c r="B1076" s="29">
        <f>Raw_Data!B1076</f>
        <v/>
      </c>
      <c r="C1076">
        <f>YEAR(B1076)</f>
        <v/>
      </c>
      <c r="D1076">
        <f>MONTH(B1076)</f>
        <v/>
      </c>
      <c r="E1076">
        <f>TEXT(B1076,"MMM-YYYY")</f>
        <v/>
      </c>
      <c r="F1076">
        <f>Raw_Data!C1076</f>
        <v/>
      </c>
      <c r="G1076">
        <f>Raw_Data!D1076</f>
        <v/>
      </c>
      <c r="H1076">
        <f>Raw_Data!E1076</f>
        <v/>
      </c>
      <c r="I1076">
        <f>Raw_Data!F1076</f>
        <v/>
      </c>
      <c r="J1076">
        <f>Raw_Data!G1076</f>
        <v/>
      </c>
      <c r="K1076">
        <f>Raw_Data!H1076</f>
        <v/>
      </c>
      <c r="L1076" s="30">
        <f>Raw_Data!I1076</f>
        <v/>
      </c>
      <c r="M1076" s="31">
        <f>Raw_Data!J1076</f>
        <v/>
      </c>
      <c r="N1076" s="17">
        <f>K1076*L1076</f>
        <v/>
      </c>
      <c r="O1076" s="17">
        <f>N1076*(1-M1076)</f>
        <v/>
      </c>
      <c r="P1076" s="17">
        <f>Raw_Data!L1076</f>
        <v/>
      </c>
      <c r="Q1076" s="17">
        <f>O1076-P1076</f>
        <v/>
      </c>
      <c r="R1076" s="31">
        <f>IF(O1076=0,0,Q1076/O1076)</f>
        <v/>
      </c>
      <c r="S1076">
        <f>XLOOKUP(F1076,Lookups!$B$7:$B$11,Lookups!$C$7:$C$11,"Unknown")</f>
        <v/>
      </c>
      <c r="T1076" s="31">
        <f>XLOOKUP(G1076,Lookups!$E$7:$E$11,Lookups!$F$7:$F$11,0)</f>
        <v/>
      </c>
      <c r="U1076" s="32">
        <f>R1076-T1076</f>
        <v/>
      </c>
      <c r="V1076">
        <f>XLOOKUP(I1076,Lookups!$H$7:$H$10,Lookups!$I$7:$I$10,"")</f>
        <v/>
      </c>
      <c r="W1076">
        <f>IF(O1076&gt;=50000,"HIGH VALUE","")</f>
        <v/>
      </c>
      <c r="X1076">
        <f>IF(Q1076&lt;0,"LOSS","")</f>
        <v/>
      </c>
      <c r="Y1076">
        <f>IFS(M1076&gt;=0.15,"Deep Discount",M1076&gt;=0.1,"Moderate",TRUE,"Standard")</f>
        <v/>
      </c>
    </row>
    <row r="1077">
      <c r="A1077">
        <f>Raw_Data!A1077</f>
        <v/>
      </c>
      <c r="B1077" s="29">
        <f>Raw_Data!B1077</f>
        <v/>
      </c>
      <c r="C1077">
        <f>YEAR(B1077)</f>
        <v/>
      </c>
      <c r="D1077">
        <f>MONTH(B1077)</f>
        <v/>
      </c>
      <c r="E1077">
        <f>TEXT(B1077,"MMM-YYYY")</f>
        <v/>
      </c>
      <c r="F1077">
        <f>Raw_Data!C1077</f>
        <v/>
      </c>
      <c r="G1077">
        <f>Raw_Data!D1077</f>
        <v/>
      </c>
      <c r="H1077">
        <f>Raw_Data!E1077</f>
        <v/>
      </c>
      <c r="I1077">
        <f>Raw_Data!F1077</f>
        <v/>
      </c>
      <c r="J1077">
        <f>Raw_Data!G1077</f>
        <v/>
      </c>
      <c r="K1077">
        <f>Raw_Data!H1077</f>
        <v/>
      </c>
      <c r="L1077" s="30">
        <f>Raw_Data!I1077</f>
        <v/>
      </c>
      <c r="M1077" s="31">
        <f>Raw_Data!J1077</f>
        <v/>
      </c>
      <c r="N1077" s="17">
        <f>K1077*L1077</f>
        <v/>
      </c>
      <c r="O1077" s="17">
        <f>N1077*(1-M1077)</f>
        <v/>
      </c>
      <c r="P1077" s="17">
        <f>Raw_Data!L1077</f>
        <v/>
      </c>
      <c r="Q1077" s="17">
        <f>O1077-P1077</f>
        <v/>
      </c>
      <c r="R1077" s="31">
        <f>IF(O1077=0,0,Q1077/O1077)</f>
        <v/>
      </c>
      <c r="S1077">
        <f>XLOOKUP(F1077,Lookups!$B$7:$B$11,Lookups!$C$7:$C$11,"Unknown")</f>
        <v/>
      </c>
      <c r="T1077" s="31">
        <f>XLOOKUP(G1077,Lookups!$E$7:$E$11,Lookups!$F$7:$F$11,0)</f>
        <v/>
      </c>
      <c r="U1077" s="32">
        <f>R1077-T1077</f>
        <v/>
      </c>
      <c r="V1077">
        <f>XLOOKUP(I1077,Lookups!$H$7:$H$10,Lookups!$I$7:$I$10,"")</f>
        <v/>
      </c>
      <c r="W1077">
        <f>IF(O1077&gt;=50000,"HIGH VALUE","")</f>
        <v/>
      </c>
      <c r="X1077">
        <f>IF(Q1077&lt;0,"LOSS","")</f>
        <v/>
      </c>
      <c r="Y1077">
        <f>IFS(M1077&gt;=0.15,"Deep Discount",M1077&gt;=0.1,"Moderate",TRUE,"Standard")</f>
        <v/>
      </c>
    </row>
    <row r="1078">
      <c r="A1078">
        <f>Raw_Data!A1078</f>
        <v/>
      </c>
      <c r="B1078" s="29">
        <f>Raw_Data!B1078</f>
        <v/>
      </c>
      <c r="C1078">
        <f>YEAR(B1078)</f>
        <v/>
      </c>
      <c r="D1078">
        <f>MONTH(B1078)</f>
        <v/>
      </c>
      <c r="E1078">
        <f>TEXT(B1078,"MMM-YYYY")</f>
        <v/>
      </c>
      <c r="F1078">
        <f>Raw_Data!C1078</f>
        <v/>
      </c>
      <c r="G1078">
        <f>Raw_Data!D1078</f>
        <v/>
      </c>
      <c r="H1078">
        <f>Raw_Data!E1078</f>
        <v/>
      </c>
      <c r="I1078">
        <f>Raw_Data!F1078</f>
        <v/>
      </c>
      <c r="J1078">
        <f>Raw_Data!G1078</f>
        <v/>
      </c>
      <c r="K1078">
        <f>Raw_Data!H1078</f>
        <v/>
      </c>
      <c r="L1078" s="30">
        <f>Raw_Data!I1078</f>
        <v/>
      </c>
      <c r="M1078" s="31">
        <f>Raw_Data!J1078</f>
        <v/>
      </c>
      <c r="N1078" s="17">
        <f>K1078*L1078</f>
        <v/>
      </c>
      <c r="O1078" s="17">
        <f>N1078*(1-M1078)</f>
        <v/>
      </c>
      <c r="P1078" s="17">
        <f>Raw_Data!L1078</f>
        <v/>
      </c>
      <c r="Q1078" s="17">
        <f>O1078-P1078</f>
        <v/>
      </c>
      <c r="R1078" s="31">
        <f>IF(O1078=0,0,Q1078/O1078)</f>
        <v/>
      </c>
      <c r="S1078">
        <f>XLOOKUP(F1078,Lookups!$B$7:$B$11,Lookups!$C$7:$C$11,"Unknown")</f>
        <v/>
      </c>
      <c r="T1078" s="31">
        <f>XLOOKUP(G1078,Lookups!$E$7:$E$11,Lookups!$F$7:$F$11,0)</f>
        <v/>
      </c>
      <c r="U1078" s="32">
        <f>R1078-T1078</f>
        <v/>
      </c>
      <c r="V1078">
        <f>XLOOKUP(I1078,Lookups!$H$7:$H$10,Lookups!$I$7:$I$10,"")</f>
        <v/>
      </c>
      <c r="W1078">
        <f>IF(O1078&gt;=50000,"HIGH VALUE","")</f>
        <v/>
      </c>
      <c r="X1078">
        <f>IF(Q1078&lt;0,"LOSS","")</f>
        <v/>
      </c>
      <c r="Y1078">
        <f>IFS(M1078&gt;=0.15,"Deep Discount",M1078&gt;=0.1,"Moderate",TRUE,"Standard")</f>
        <v/>
      </c>
    </row>
    <row r="1079">
      <c r="A1079">
        <f>Raw_Data!A1079</f>
        <v/>
      </c>
      <c r="B1079" s="29">
        <f>Raw_Data!B1079</f>
        <v/>
      </c>
      <c r="C1079">
        <f>YEAR(B1079)</f>
        <v/>
      </c>
      <c r="D1079">
        <f>MONTH(B1079)</f>
        <v/>
      </c>
      <c r="E1079">
        <f>TEXT(B1079,"MMM-YYYY")</f>
        <v/>
      </c>
      <c r="F1079">
        <f>Raw_Data!C1079</f>
        <v/>
      </c>
      <c r="G1079">
        <f>Raw_Data!D1079</f>
        <v/>
      </c>
      <c r="H1079">
        <f>Raw_Data!E1079</f>
        <v/>
      </c>
      <c r="I1079">
        <f>Raw_Data!F1079</f>
        <v/>
      </c>
      <c r="J1079">
        <f>Raw_Data!G1079</f>
        <v/>
      </c>
      <c r="K1079">
        <f>Raw_Data!H1079</f>
        <v/>
      </c>
      <c r="L1079" s="30">
        <f>Raw_Data!I1079</f>
        <v/>
      </c>
      <c r="M1079" s="31">
        <f>Raw_Data!J1079</f>
        <v/>
      </c>
      <c r="N1079" s="17">
        <f>K1079*L1079</f>
        <v/>
      </c>
      <c r="O1079" s="17">
        <f>N1079*(1-M1079)</f>
        <v/>
      </c>
      <c r="P1079" s="17">
        <f>Raw_Data!L1079</f>
        <v/>
      </c>
      <c r="Q1079" s="17">
        <f>O1079-P1079</f>
        <v/>
      </c>
      <c r="R1079" s="31">
        <f>IF(O1079=0,0,Q1079/O1079)</f>
        <v/>
      </c>
      <c r="S1079">
        <f>XLOOKUP(F1079,Lookups!$B$7:$B$11,Lookups!$C$7:$C$11,"Unknown")</f>
        <v/>
      </c>
      <c r="T1079" s="31">
        <f>XLOOKUP(G1079,Lookups!$E$7:$E$11,Lookups!$F$7:$F$11,0)</f>
        <v/>
      </c>
      <c r="U1079" s="32">
        <f>R1079-T1079</f>
        <v/>
      </c>
      <c r="V1079">
        <f>XLOOKUP(I1079,Lookups!$H$7:$H$10,Lookups!$I$7:$I$10,"")</f>
        <v/>
      </c>
      <c r="W1079">
        <f>IF(O1079&gt;=50000,"HIGH VALUE","")</f>
        <v/>
      </c>
      <c r="X1079">
        <f>IF(Q1079&lt;0,"LOSS","")</f>
        <v/>
      </c>
      <c r="Y1079">
        <f>IFS(M1079&gt;=0.15,"Deep Discount",M1079&gt;=0.1,"Moderate",TRUE,"Standard")</f>
        <v/>
      </c>
    </row>
    <row r="1080">
      <c r="A1080">
        <f>Raw_Data!A1080</f>
        <v/>
      </c>
      <c r="B1080" s="29">
        <f>Raw_Data!B1080</f>
        <v/>
      </c>
      <c r="C1080">
        <f>YEAR(B1080)</f>
        <v/>
      </c>
      <c r="D1080">
        <f>MONTH(B1080)</f>
        <v/>
      </c>
      <c r="E1080">
        <f>TEXT(B1080,"MMM-YYYY")</f>
        <v/>
      </c>
      <c r="F1080">
        <f>Raw_Data!C1080</f>
        <v/>
      </c>
      <c r="G1080">
        <f>Raw_Data!D1080</f>
        <v/>
      </c>
      <c r="H1080">
        <f>Raw_Data!E1080</f>
        <v/>
      </c>
      <c r="I1080">
        <f>Raw_Data!F1080</f>
        <v/>
      </c>
      <c r="J1080">
        <f>Raw_Data!G1080</f>
        <v/>
      </c>
      <c r="K1080">
        <f>Raw_Data!H1080</f>
        <v/>
      </c>
      <c r="L1080" s="30">
        <f>Raw_Data!I1080</f>
        <v/>
      </c>
      <c r="M1080" s="31">
        <f>Raw_Data!J1080</f>
        <v/>
      </c>
      <c r="N1080" s="17">
        <f>K1080*L1080</f>
        <v/>
      </c>
      <c r="O1080" s="17">
        <f>N1080*(1-M1080)</f>
        <v/>
      </c>
      <c r="P1080" s="17">
        <f>Raw_Data!L1080</f>
        <v/>
      </c>
      <c r="Q1080" s="17">
        <f>O1080-P1080</f>
        <v/>
      </c>
      <c r="R1080" s="31">
        <f>IF(O1080=0,0,Q1080/O1080)</f>
        <v/>
      </c>
      <c r="S1080">
        <f>XLOOKUP(F1080,Lookups!$B$7:$B$11,Lookups!$C$7:$C$11,"Unknown")</f>
        <v/>
      </c>
      <c r="T1080" s="31">
        <f>XLOOKUP(G1080,Lookups!$E$7:$E$11,Lookups!$F$7:$F$11,0)</f>
        <v/>
      </c>
      <c r="U1080" s="32">
        <f>R1080-T1080</f>
        <v/>
      </c>
      <c r="V1080">
        <f>XLOOKUP(I1080,Lookups!$H$7:$H$10,Lookups!$I$7:$I$10,"")</f>
        <v/>
      </c>
      <c r="W1080">
        <f>IF(O1080&gt;=50000,"HIGH VALUE","")</f>
        <v/>
      </c>
      <c r="X1080">
        <f>IF(Q1080&lt;0,"LOSS","")</f>
        <v/>
      </c>
      <c r="Y1080">
        <f>IFS(M1080&gt;=0.15,"Deep Discount",M1080&gt;=0.1,"Moderate",TRUE,"Standard")</f>
        <v/>
      </c>
    </row>
    <row r="1081">
      <c r="A1081">
        <f>Raw_Data!A1081</f>
        <v/>
      </c>
      <c r="B1081" s="29">
        <f>Raw_Data!B1081</f>
        <v/>
      </c>
      <c r="C1081">
        <f>YEAR(B1081)</f>
        <v/>
      </c>
      <c r="D1081">
        <f>MONTH(B1081)</f>
        <v/>
      </c>
      <c r="E1081">
        <f>TEXT(B1081,"MMM-YYYY")</f>
        <v/>
      </c>
      <c r="F1081">
        <f>Raw_Data!C1081</f>
        <v/>
      </c>
      <c r="G1081">
        <f>Raw_Data!D1081</f>
        <v/>
      </c>
      <c r="H1081">
        <f>Raw_Data!E1081</f>
        <v/>
      </c>
      <c r="I1081">
        <f>Raw_Data!F1081</f>
        <v/>
      </c>
      <c r="J1081">
        <f>Raw_Data!G1081</f>
        <v/>
      </c>
      <c r="K1081">
        <f>Raw_Data!H1081</f>
        <v/>
      </c>
      <c r="L1081" s="30">
        <f>Raw_Data!I1081</f>
        <v/>
      </c>
      <c r="M1081" s="31">
        <f>Raw_Data!J1081</f>
        <v/>
      </c>
      <c r="N1081" s="17">
        <f>K1081*L1081</f>
        <v/>
      </c>
      <c r="O1081" s="17">
        <f>N1081*(1-M1081)</f>
        <v/>
      </c>
      <c r="P1081" s="17">
        <f>Raw_Data!L1081</f>
        <v/>
      </c>
      <c r="Q1081" s="17">
        <f>O1081-P1081</f>
        <v/>
      </c>
      <c r="R1081" s="31">
        <f>IF(O1081=0,0,Q1081/O1081)</f>
        <v/>
      </c>
      <c r="S1081">
        <f>XLOOKUP(F1081,Lookups!$B$7:$B$11,Lookups!$C$7:$C$11,"Unknown")</f>
        <v/>
      </c>
      <c r="T1081" s="31">
        <f>XLOOKUP(G1081,Lookups!$E$7:$E$11,Lookups!$F$7:$F$11,0)</f>
        <v/>
      </c>
      <c r="U1081" s="32">
        <f>R1081-T1081</f>
        <v/>
      </c>
      <c r="V1081">
        <f>XLOOKUP(I1081,Lookups!$H$7:$H$10,Lookups!$I$7:$I$10,"")</f>
        <v/>
      </c>
      <c r="W1081">
        <f>IF(O1081&gt;=50000,"HIGH VALUE","")</f>
        <v/>
      </c>
      <c r="X1081">
        <f>IF(Q1081&lt;0,"LOSS","")</f>
        <v/>
      </c>
      <c r="Y1081">
        <f>IFS(M1081&gt;=0.15,"Deep Discount",M1081&gt;=0.1,"Moderate",TRUE,"Standard")</f>
        <v/>
      </c>
    </row>
    <row r="1082">
      <c r="A1082">
        <f>Raw_Data!A1082</f>
        <v/>
      </c>
      <c r="B1082" s="29">
        <f>Raw_Data!B1082</f>
        <v/>
      </c>
      <c r="C1082">
        <f>YEAR(B1082)</f>
        <v/>
      </c>
      <c r="D1082">
        <f>MONTH(B1082)</f>
        <v/>
      </c>
      <c r="E1082">
        <f>TEXT(B1082,"MMM-YYYY")</f>
        <v/>
      </c>
      <c r="F1082">
        <f>Raw_Data!C1082</f>
        <v/>
      </c>
      <c r="G1082">
        <f>Raw_Data!D1082</f>
        <v/>
      </c>
      <c r="H1082">
        <f>Raw_Data!E1082</f>
        <v/>
      </c>
      <c r="I1082">
        <f>Raw_Data!F1082</f>
        <v/>
      </c>
      <c r="J1082">
        <f>Raw_Data!G1082</f>
        <v/>
      </c>
      <c r="K1082">
        <f>Raw_Data!H1082</f>
        <v/>
      </c>
      <c r="L1082" s="30">
        <f>Raw_Data!I1082</f>
        <v/>
      </c>
      <c r="M1082" s="31">
        <f>Raw_Data!J1082</f>
        <v/>
      </c>
      <c r="N1082" s="17">
        <f>K1082*L1082</f>
        <v/>
      </c>
      <c r="O1082" s="17">
        <f>N1082*(1-M1082)</f>
        <v/>
      </c>
      <c r="P1082" s="17">
        <f>Raw_Data!L1082</f>
        <v/>
      </c>
      <c r="Q1082" s="17">
        <f>O1082-P1082</f>
        <v/>
      </c>
      <c r="R1082" s="31">
        <f>IF(O1082=0,0,Q1082/O1082)</f>
        <v/>
      </c>
      <c r="S1082">
        <f>XLOOKUP(F1082,Lookups!$B$7:$B$11,Lookups!$C$7:$C$11,"Unknown")</f>
        <v/>
      </c>
      <c r="T1082" s="31">
        <f>XLOOKUP(G1082,Lookups!$E$7:$E$11,Lookups!$F$7:$F$11,0)</f>
        <v/>
      </c>
      <c r="U1082" s="32">
        <f>R1082-T1082</f>
        <v/>
      </c>
      <c r="V1082">
        <f>XLOOKUP(I1082,Lookups!$H$7:$H$10,Lookups!$I$7:$I$10,"")</f>
        <v/>
      </c>
      <c r="W1082">
        <f>IF(O1082&gt;=50000,"HIGH VALUE","")</f>
        <v/>
      </c>
      <c r="X1082">
        <f>IF(Q1082&lt;0,"LOSS","")</f>
        <v/>
      </c>
      <c r="Y1082">
        <f>IFS(M1082&gt;=0.15,"Deep Discount",M1082&gt;=0.1,"Moderate",TRUE,"Standard")</f>
        <v/>
      </c>
    </row>
    <row r="1083">
      <c r="A1083">
        <f>Raw_Data!A1083</f>
        <v/>
      </c>
      <c r="B1083" s="29">
        <f>Raw_Data!B1083</f>
        <v/>
      </c>
      <c r="C1083">
        <f>YEAR(B1083)</f>
        <v/>
      </c>
      <c r="D1083">
        <f>MONTH(B1083)</f>
        <v/>
      </c>
      <c r="E1083">
        <f>TEXT(B1083,"MMM-YYYY")</f>
        <v/>
      </c>
      <c r="F1083">
        <f>Raw_Data!C1083</f>
        <v/>
      </c>
      <c r="G1083">
        <f>Raw_Data!D1083</f>
        <v/>
      </c>
      <c r="H1083">
        <f>Raw_Data!E1083</f>
        <v/>
      </c>
      <c r="I1083">
        <f>Raw_Data!F1083</f>
        <v/>
      </c>
      <c r="J1083">
        <f>Raw_Data!G1083</f>
        <v/>
      </c>
      <c r="K1083">
        <f>Raw_Data!H1083</f>
        <v/>
      </c>
      <c r="L1083" s="30">
        <f>Raw_Data!I1083</f>
        <v/>
      </c>
      <c r="M1083" s="31">
        <f>Raw_Data!J1083</f>
        <v/>
      </c>
      <c r="N1083" s="17">
        <f>K1083*L1083</f>
        <v/>
      </c>
      <c r="O1083" s="17">
        <f>N1083*(1-M1083)</f>
        <v/>
      </c>
      <c r="P1083" s="17">
        <f>Raw_Data!L1083</f>
        <v/>
      </c>
      <c r="Q1083" s="17">
        <f>O1083-P1083</f>
        <v/>
      </c>
      <c r="R1083" s="31">
        <f>IF(O1083=0,0,Q1083/O1083)</f>
        <v/>
      </c>
      <c r="S1083">
        <f>XLOOKUP(F1083,Lookups!$B$7:$B$11,Lookups!$C$7:$C$11,"Unknown")</f>
        <v/>
      </c>
      <c r="T1083" s="31">
        <f>XLOOKUP(G1083,Lookups!$E$7:$E$11,Lookups!$F$7:$F$11,0)</f>
        <v/>
      </c>
      <c r="U1083" s="32">
        <f>R1083-T1083</f>
        <v/>
      </c>
      <c r="V1083">
        <f>XLOOKUP(I1083,Lookups!$H$7:$H$10,Lookups!$I$7:$I$10,"")</f>
        <v/>
      </c>
      <c r="W1083">
        <f>IF(O1083&gt;=50000,"HIGH VALUE","")</f>
        <v/>
      </c>
      <c r="X1083">
        <f>IF(Q1083&lt;0,"LOSS","")</f>
        <v/>
      </c>
      <c r="Y1083">
        <f>IFS(M1083&gt;=0.15,"Deep Discount",M1083&gt;=0.1,"Moderate",TRUE,"Standard")</f>
        <v/>
      </c>
    </row>
    <row r="1084">
      <c r="A1084">
        <f>Raw_Data!A1084</f>
        <v/>
      </c>
      <c r="B1084" s="29">
        <f>Raw_Data!B1084</f>
        <v/>
      </c>
      <c r="C1084">
        <f>YEAR(B1084)</f>
        <v/>
      </c>
      <c r="D1084">
        <f>MONTH(B1084)</f>
        <v/>
      </c>
      <c r="E1084">
        <f>TEXT(B1084,"MMM-YYYY")</f>
        <v/>
      </c>
      <c r="F1084">
        <f>Raw_Data!C1084</f>
        <v/>
      </c>
      <c r="G1084">
        <f>Raw_Data!D1084</f>
        <v/>
      </c>
      <c r="H1084">
        <f>Raw_Data!E1084</f>
        <v/>
      </c>
      <c r="I1084">
        <f>Raw_Data!F1084</f>
        <v/>
      </c>
      <c r="J1084">
        <f>Raw_Data!G1084</f>
        <v/>
      </c>
      <c r="K1084">
        <f>Raw_Data!H1084</f>
        <v/>
      </c>
      <c r="L1084" s="30">
        <f>Raw_Data!I1084</f>
        <v/>
      </c>
      <c r="M1084" s="31">
        <f>Raw_Data!J1084</f>
        <v/>
      </c>
      <c r="N1084" s="17">
        <f>K1084*L1084</f>
        <v/>
      </c>
      <c r="O1084" s="17">
        <f>N1084*(1-M1084)</f>
        <v/>
      </c>
      <c r="P1084" s="17">
        <f>Raw_Data!L1084</f>
        <v/>
      </c>
      <c r="Q1084" s="17">
        <f>O1084-P1084</f>
        <v/>
      </c>
      <c r="R1084" s="31">
        <f>IF(O1084=0,0,Q1084/O1084)</f>
        <v/>
      </c>
      <c r="S1084">
        <f>XLOOKUP(F1084,Lookups!$B$7:$B$11,Lookups!$C$7:$C$11,"Unknown")</f>
        <v/>
      </c>
      <c r="T1084" s="31">
        <f>XLOOKUP(G1084,Lookups!$E$7:$E$11,Lookups!$F$7:$F$11,0)</f>
        <v/>
      </c>
      <c r="U1084" s="32">
        <f>R1084-T1084</f>
        <v/>
      </c>
      <c r="V1084">
        <f>XLOOKUP(I1084,Lookups!$H$7:$H$10,Lookups!$I$7:$I$10,"")</f>
        <v/>
      </c>
      <c r="W1084">
        <f>IF(O1084&gt;=50000,"HIGH VALUE","")</f>
        <v/>
      </c>
      <c r="X1084">
        <f>IF(Q1084&lt;0,"LOSS","")</f>
        <v/>
      </c>
      <c r="Y1084">
        <f>IFS(M1084&gt;=0.15,"Deep Discount",M1084&gt;=0.1,"Moderate",TRUE,"Standard")</f>
        <v/>
      </c>
    </row>
    <row r="1085">
      <c r="A1085">
        <f>Raw_Data!A1085</f>
        <v/>
      </c>
      <c r="B1085" s="29">
        <f>Raw_Data!B1085</f>
        <v/>
      </c>
      <c r="C1085">
        <f>YEAR(B1085)</f>
        <v/>
      </c>
      <c r="D1085">
        <f>MONTH(B1085)</f>
        <v/>
      </c>
      <c r="E1085">
        <f>TEXT(B1085,"MMM-YYYY")</f>
        <v/>
      </c>
      <c r="F1085">
        <f>Raw_Data!C1085</f>
        <v/>
      </c>
      <c r="G1085">
        <f>Raw_Data!D1085</f>
        <v/>
      </c>
      <c r="H1085">
        <f>Raw_Data!E1085</f>
        <v/>
      </c>
      <c r="I1085">
        <f>Raw_Data!F1085</f>
        <v/>
      </c>
      <c r="J1085">
        <f>Raw_Data!G1085</f>
        <v/>
      </c>
      <c r="K1085">
        <f>Raw_Data!H1085</f>
        <v/>
      </c>
      <c r="L1085" s="30">
        <f>Raw_Data!I1085</f>
        <v/>
      </c>
      <c r="M1085" s="31">
        <f>Raw_Data!J1085</f>
        <v/>
      </c>
      <c r="N1085" s="17">
        <f>K1085*L1085</f>
        <v/>
      </c>
      <c r="O1085" s="17">
        <f>N1085*(1-M1085)</f>
        <v/>
      </c>
      <c r="P1085" s="17">
        <f>Raw_Data!L1085</f>
        <v/>
      </c>
      <c r="Q1085" s="17">
        <f>O1085-P1085</f>
        <v/>
      </c>
      <c r="R1085" s="31">
        <f>IF(O1085=0,0,Q1085/O1085)</f>
        <v/>
      </c>
      <c r="S1085">
        <f>XLOOKUP(F1085,Lookups!$B$7:$B$11,Lookups!$C$7:$C$11,"Unknown")</f>
        <v/>
      </c>
      <c r="T1085" s="31">
        <f>XLOOKUP(G1085,Lookups!$E$7:$E$11,Lookups!$F$7:$F$11,0)</f>
        <v/>
      </c>
      <c r="U1085" s="32">
        <f>R1085-T1085</f>
        <v/>
      </c>
      <c r="V1085">
        <f>XLOOKUP(I1085,Lookups!$H$7:$H$10,Lookups!$I$7:$I$10,"")</f>
        <v/>
      </c>
      <c r="W1085">
        <f>IF(O1085&gt;=50000,"HIGH VALUE","")</f>
        <v/>
      </c>
      <c r="X1085">
        <f>IF(Q1085&lt;0,"LOSS","")</f>
        <v/>
      </c>
      <c r="Y1085">
        <f>IFS(M1085&gt;=0.15,"Deep Discount",M1085&gt;=0.1,"Moderate",TRUE,"Standard")</f>
        <v/>
      </c>
    </row>
    <row r="1086">
      <c r="A1086">
        <f>Raw_Data!A1086</f>
        <v/>
      </c>
      <c r="B1086" s="29">
        <f>Raw_Data!B1086</f>
        <v/>
      </c>
      <c r="C1086">
        <f>YEAR(B1086)</f>
        <v/>
      </c>
      <c r="D1086">
        <f>MONTH(B1086)</f>
        <v/>
      </c>
      <c r="E1086">
        <f>TEXT(B1086,"MMM-YYYY")</f>
        <v/>
      </c>
      <c r="F1086">
        <f>Raw_Data!C1086</f>
        <v/>
      </c>
      <c r="G1086">
        <f>Raw_Data!D1086</f>
        <v/>
      </c>
      <c r="H1086">
        <f>Raw_Data!E1086</f>
        <v/>
      </c>
      <c r="I1086">
        <f>Raw_Data!F1086</f>
        <v/>
      </c>
      <c r="J1086">
        <f>Raw_Data!G1086</f>
        <v/>
      </c>
      <c r="K1086">
        <f>Raw_Data!H1086</f>
        <v/>
      </c>
      <c r="L1086" s="30">
        <f>Raw_Data!I1086</f>
        <v/>
      </c>
      <c r="M1086" s="31">
        <f>Raw_Data!J1086</f>
        <v/>
      </c>
      <c r="N1086" s="17">
        <f>K1086*L1086</f>
        <v/>
      </c>
      <c r="O1086" s="17">
        <f>N1086*(1-M1086)</f>
        <v/>
      </c>
      <c r="P1086" s="17">
        <f>Raw_Data!L1086</f>
        <v/>
      </c>
      <c r="Q1086" s="17">
        <f>O1086-P1086</f>
        <v/>
      </c>
      <c r="R1086" s="31">
        <f>IF(O1086=0,0,Q1086/O1086)</f>
        <v/>
      </c>
      <c r="S1086">
        <f>XLOOKUP(F1086,Lookups!$B$7:$B$11,Lookups!$C$7:$C$11,"Unknown")</f>
        <v/>
      </c>
      <c r="T1086" s="31">
        <f>XLOOKUP(G1086,Lookups!$E$7:$E$11,Lookups!$F$7:$F$11,0)</f>
        <v/>
      </c>
      <c r="U1086" s="32">
        <f>R1086-T1086</f>
        <v/>
      </c>
      <c r="V1086">
        <f>XLOOKUP(I1086,Lookups!$H$7:$H$10,Lookups!$I$7:$I$10,"")</f>
        <v/>
      </c>
      <c r="W1086">
        <f>IF(O1086&gt;=50000,"HIGH VALUE","")</f>
        <v/>
      </c>
      <c r="X1086">
        <f>IF(Q1086&lt;0,"LOSS","")</f>
        <v/>
      </c>
      <c r="Y1086">
        <f>IFS(M1086&gt;=0.15,"Deep Discount",M1086&gt;=0.1,"Moderate",TRUE,"Standard")</f>
        <v/>
      </c>
    </row>
    <row r="1087">
      <c r="A1087">
        <f>Raw_Data!A1087</f>
        <v/>
      </c>
      <c r="B1087" s="29">
        <f>Raw_Data!B1087</f>
        <v/>
      </c>
      <c r="C1087">
        <f>YEAR(B1087)</f>
        <v/>
      </c>
      <c r="D1087">
        <f>MONTH(B1087)</f>
        <v/>
      </c>
      <c r="E1087">
        <f>TEXT(B1087,"MMM-YYYY")</f>
        <v/>
      </c>
      <c r="F1087">
        <f>Raw_Data!C1087</f>
        <v/>
      </c>
      <c r="G1087">
        <f>Raw_Data!D1087</f>
        <v/>
      </c>
      <c r="H1087">
        <f>Raw_Data!E1087</f>
        <v/>
      </c>
      <c r="I1087">
        <f>Raw_Data!F1087</f>
        <v/>
      </c>
      <c r="J1087">
        <f>Raw_Data!G1087</f>
        <v/>
      </c>
      <c r="K1087">
        <f>Raw_Data!H1087</f>
        <v/>
      </c>
      <c r="L1087" s="30">
        <f>Raw_Data!I1087</f>
        <v/>
      </c>
      <c r="M1087" s="31">
        <f>Raw_Data!J1087</f>
        <v/>
      </c>
      <c r="N1087" s="17">
        <f>K1087*L1087</f>
        <v/>
      </c>
      <c r="O1087" s="17">
        <f>N1087*(1-M1087)</f>
        <v/>
      </c>
      <c r="P1087" s="17">
        <f>Raw_Data!L1087</f>
        <v/>
      </c>
      <c r="Q1087" s="17">
        <f>O1087-P1087</f>
        <v/>
      </c>
      <c r="R1087" s="31">
        <f>IF(O1087=0,0,Q1087/O1087)</f>
        <v/>
      </c>
      <c r="S1087">
        <f>XLOOKUP(F1087,Lookups!$B$7:$B$11,Lookups!$C$7:$C$11,"Unknown")</f>
        <v/>
      </c>
      <c r="T1087" s="31">
        <f>XLOOKUP(G1087,Lookups!$E$7:$E$11,Lookups!$F$7:$F$11,0)</f>
        <v/>
      </c>
      <c r="U1087" s="32">
        <f>R1087-T1087</f>
        <v/>
      </c>
      <c r="V1087">
        <f>XLOOKUP(I1087,Lookups!$H$7:$H$10,Lookups!$I$7:$I$10,"")</f>
        <v/>
      </c>
      <c r="W1087">
        <f>IF(O1087&gt;=50000,"HIGH VALUE","")</f>
        <v/>
      </c>
      <c r="X1087">
        <f>IF(Q1087&lt;0,"LOSS","")</f>
        <v/>
      </c>
      <c r="Y1087">
        <f>IFS(M1087&gt;=0.15,"Deep Discount",M1087&gt;=0.1,"Moderate",TRUE,"Standard")</f>
        <v/>
      </c>
    </row>
    <row r="1088">
      <c r="A1088">
        <f>Raw_Data!A1088</f>
        <v/>
      </c>
      <c r="B1088" s="29">
        <f>Raw_Data!B1088</f>
        <v/>
      </c>
      <c r="C1088">
        <f>YEAR(B1088)</f>
        <v/>
      </c>
      <c r="D1088">
        <f>MONTH(B1088)</f>
        <v/>
      </c>
      <c r="E1088">
        <f>TEXT(B1088,"MMM-YYYY")</f>
        <v/>
      </c>
      <c r="F1088">
        <f>Raw_Data!C1088</f>
        <v/>
      </c>
      <c r="G1088">
        <f>Raw_Data!D1088</f>
        <v/>
      </c>
      <c r="H1088">
        <f>Raw_Data!E1088</f>
        <v/>
      </c>
      <c r="I1088">
        <f>Raw_Data!F1088</f>
        <v/>
      </c>
      <c r="J1088">
        <f>Raw_Data!G1088</f>
        <v/>
      </c>
      <c r="K1088">
        <f>Raw_Data!H1088</f>
        <v/>
      </c>
      <c r="L1088" s="30">
        <f>Raw_Data!I1088</f>
        <v/>
      </c>
      <c r="M1088" s="31">
        <f>Raw_Data!J1088</f>
        <v/>
      </c>
      <c r="N1088" s="17">
        <f>K1088*L1088</f>
        <v/>
      </c>
      <c r="O1088" s="17">
        <f>N1088*(1-M1088)</f>
        <v/>
      </c>
      <c r="P1088" s="17">
        <f>Raw_Data!L1088</f>
        <v/>
      </c>
      <c r="Q1088" s="17">
        <f>O1088-P1088</f>
        <v/>
      </c>
      <c r="R1088" s="31">
        <f>IF(O1088=0,0,Q1088/O1088)</f>
        <v/>
      </c>
      <c r="S1088">
        <f>XLOOKUP(F1088,Lookups!$B$7:$B$11,Lookups!$C$7:$C$11,"Unknown")</f>
        <v/>
      </c>
      <c r="T1088" s="31">
        <f>XLOOKUP(G1088,Lookups!$E$7:$E$11,Lookups!$F$7:$F$11,0)</f>
        <v/>
      </c>
      <c r="U1088" s="32">
        <f>R1088-T1088</f>
        <v/>
      </c>
      <c r="V1088">
        <f>XLOOKUP(I1088,Lookups!$H$7:$H$10,Lookups!$I$7:$I$10,"")</f>
        <v/>
      </c>
      <c r="W1088">
        <f>IF(O1088&gt;=50000,"HIGH VALUE","")</f>
        <v/>
      </c>
      <c r="X1088">
        <f>IF(Q1088&lt;0,"LOSS","")</f>
        <v/>
      </c>
      <c r="Y1088">
        <f>IFS(M1088&gt;=0.15,"Deep Discount",M1088&gt;=0.1,"Moderate",TRUE,"Standard")</f>
        <v/>
      </c>
    </row>
    <row r="1089">
      <c r="A1089">
        <f>Raw_Data!A1089</f>
        <v/>
      </c>
      <c r="B1089" s="29">
        <f>Raw_Data!B1089</f>
        <v/>
      </c>
      <c r="C1089">
        <f>YEAR(B1089)</f>
        <v/>
      </c>
      <c r="D1089">
        <f>MONTH(B1089)</f>
        <v/>
      </c>
      <c r="E1089">
        <f>TEXT(B1089,"MMM-YYYY")</f>
        <v/>
      </c>
      <c r="F1089">
        <f>Raw_Data!C1089</f>
        <v/>
      </c>
      <c r="G1089">
        <f>Raw_Data!D1089</f>
        <v/>
      </c>
      <c r="H1089">
        <f>Raw_Data!E1089</f>
        <v/>
      </c>
      <c r="I1089">
        <f>Raw_Data!F1089</f>
        <v/>
      </c>
      <c r="J1089">
        <f>Raw_Data!G1089</f>
        <v/>
      </c>
      <c r="K1089">
        <f>Raw_Data!H1089</f>
        <v/>
      </c>
      <c r="L1089" s="30">
        <f>Raw_Data!I1089</f>
        <v/>
      </c>
      <c r="M1089" s="31">
        <f>Raw_Data!J1089</f>
        <v/>
      </c>
      <c r="N1089" s="17">
        <f>K1089*L1089</f>
        <v/>
      </c>
      <c r="O1089" s="17">
        <f>N1089*(1-M1089)</f>
        <v/>
      </c>
      <c r="P1089" s="17">
        <f>Raw_Data!L1089</f>
        <v/>
      </c>
      <c r="Q1089" s="17">
        <f>O1089-P1089</f>
        <v/>
      </c>
      <c r="R1089" s="31">
        <f>IF(O1089=0,0,Q1089/O1089)</f>
        <v/>
      </c>
      <c r="S1089">
        <f>XLOOKUP(F1089,Lookups!$B$7:$B$11,Lookups!$C$7:$C$11,"Unknown")</f>
        <v/>
      </c>
      <c r="T1089" s="31">
        <f>XLOOKUP(G1089,Lookups!$E$7:$E$11,Lookups!$F$7:$F$11,0)</f>
        <v/>
      </c>
      <c r="U1089" s="32">
        <f>R1089-T1089</f>
        <v/>
      </c>
      <c r="V1089">
        <f>XLOOKUP(I1089,Lookups!$H$7:$H$10,Lookups!$I$7:$I$10,"")</f>
        <v/>
      </c>
      <c r="W1089">
        <f>IF(O1089&gt;=50000,"HIGH VALUE","")</f>
        <v/>
      </c>
      <c r="X1089">
        <f>IF(Q1089&lt;0,"LOSS","")</f>
        <v/>
      </c>
      <c r="Y1089">
        <f>IFS(M1089&gt;=0.15,"Deep Discount",M1089&gt;=0.1,"Moderate",TRUE,"Standard")</f>
        <v/>
      </c>
    </row>
    <row r="1090">
      <c r="A1090">
        <f>Raw_Data!A1090</f>
        <v/>
      </c>
      <c r="B1090" s="29">
        <f>Raw_Data!B1090</f>
        <v/>
      </c>
      <c r="C1090">
        <f>YEAR(B1090)</f>
        <v/>
      </c>
      <c r="D1090">
        <f>MONTH(B1090)</f>
        <v/>
      </c>
      <c r="E1090">
        <f>TEXT(B1090,"MMM-YYYY")</f>
        <v/>
      </c>
      <c r="F1090">
        <f>Raw_Data!C1090</f>
        <v/>
      </c>
      <c r="G1090">
        <f>Raw_Data!D1090</f>
        <v/>
      </c>
      <c r="H1090">
        <f>Raw_Data!E1090</f>
        <v/>
      </c>
      <c r="I1090">
        <f>Raw_Data!F1090</f>
        <v/>
      </c>
      <c r="J1090">
        <f>Raw_Data!G1090</f>
        <v/>
      </c>
      <c r="K1090">
        <f>Raw_Data!H1090</f>
        <v/>
      </c>
      <c r="L1090" s="30">
        <f>Raw_Data!I1090</f>
        <v/>
      </c>
      <c r="M1090" s="31">
        <f>Raw_Data!J1090</f>
        <v/>
      </c>
      <c r="N1090" s="17">
        <f>K1090*L1090</f>
        <v/>
      </c>
      <c r="O1090" s="17">
        <f>N1090*(1-M1090)</f>
        <v/>
      </c>
      <c r="P1090" s="17">
        <f>Raw_Data!L1090</f>
        <v/>
      </c>
      <c r="Q1090" s="17">
        <f>O1090-P1090</f>
        <v/>
      </c>
      <c r="R1090" s="31">
        <f>IF(O1090=0,0,Q1090/O1090)</f>
        <v/>
      </c>
      <c r="S1090">
        <f>XLOOKUP(F1090,Lookups!$B$7:$B$11,Lookups!$C$7:$C$11,"Unknown")</f>
        <v/>
      </c>
      <c r="T1090" s="31">
        <f>XLOOKUP(G1090,Lookups!$E$7:$E$11,Lookups!$F$7:$F$11,0)</f>
        <v/>
      </c>
      <c r="U1090" s="32">
        <f>R1090-T1090</f>
        <v/>
      </c>
      <c r="V1090">
        <f>XLOOKUP(I1090,Lookups!$H$7:$H$10,Lookups!$I$7:$I$10,"")</f>
        <v/>
      </c>
      <c r="W1090">
        <f>IF(O1090&gt;=50000,"HIGH VALUE","")</f>
        <v/>
      </c>
      <c r="X1090">
        <f>IF(Q1090&lt;0,"LOSS","")</f>
        <v/>
      </c>
      <c r="Y1090">
        <f>IFS(M1090&gt;=0.15,"Deep Discount",M1090&gt;=0.1,"Moderate",TRUE,"Standard")</f>
        <v/>
      </c>
    </row>
    <row r="1091">
      <c r="A1091">
        <f>Raw_Data!A1091</f>
        <v/>
      </c>
      <c r="B1091" s="29">
        <f>Raw_Data!B1091</f>
        <v/>
      </c>
      <c r="C1091">
        <f>YEAR(B1091)</f>
        <v/>
      </c>
      <c r="D1091">
        <f>MONTH(B1091)</f>
        <v/>
      </c>
      <c r="E1091">
        <f>TEXT(B1091,"MMM-YYYY")</f>
        <v/>
      </c>
      <c r="F1091">
        <f>Raw_Data!C1091</f>
        <v/>
      </c>
      <c r="G1091">
        <f>Raw_Data!D1091</f>
        <v/>
      </c>
      <c r="H1091">
        <f>Raw_Data!E1091</f>
        <v/>
      </c>
      <c r="I1091">
        <f>Raw_Data!F1091</f>
        <v/>
      </c>
      <c r="J1091">
        <f>Raw_Data!G1091</f>
        <v/>
      </c>
      <c r="K1091">
        <f>Raw_Data!H1091</f>
        <v/>
      </c>
      <c r="L1091" s="30">
        <f>Raw_Data!I1091</f>
        <v/>
      </c>
      <c r="M1091" s="31">
        <f>Raw_Data!J1091</f>
        <v/>
      </c>
      <c r="N1091" s="17">
        <f>K1091*L1091</f>
        <v/>
      </c>
      <c r="O1091" s="17">
        <f>N1091*(1-M1091)</f>
        <v/>
      </c>
      <c r="P1091" s="17">
        <f>Raw_Data!L1091</f>
        <v/>
      </c>
      <c r="Q1091" s="17">
        <f>O1091-P1091</f>
        <v/>
      </c>
      <c r="R1091" s="31">
        <f>IF(O1091=0,0,Q1091/O1091)</f>
        <v/>
      </c>
      <c r="S1091">
        <f>XLOOKUP(F1091,Lookups!$B$7:$B$11,Lookups!$C$7:$C$11,"Unknown")</f>
        <v/>
      </c>
      <c r="T1091" s="31">
        <f>XLOOKUP(G1091,Lookups!$E$7:$E$11,Lookups!$F$7:$F$11,0)</f>
        <v/>
      </c>
      <c r="U1091" s="32">
        <f>R1091-T1091</f>
        <v/>
      </c>
      <c r="V1091">
        <f>XLOOKUP(I1091,Lookups!$H$7:$H$10,Lookups!$I$7:$I$10,"")</f>
        <v/>
      </c>
      <c r="W1091">
        <f>IF(O1091&gt;=50000,"HIGH VALUE","")</f>
        <v/>
      </c>
      <c r="X1091">
        <f>IF(Q1091&lt;0,"LOSS","")</f>
        <v/>
      </c>
      <c r="Y1091">
        <f>IFS(M1091&gt;=0.15,"Deep Discount",M1091&gt;=0.1,"Moderate",TRUE,"Standard")</f>
        <v/>
      </c>
    </row>
    <row r="1092">
      <c r="A1092">
        <f>Raw_Data!A1092</f>
        <v/>
      </c>
      <c r="B1092" s="29">
        <f>Raw_Data!B1092</f>
        <v/>
      </c>
      <c r="C1092">
        <f>YEAR(B1092)</f>
        <v/>
      </c>
      <c r="D1092">
        <f>MONTH(B1092)</f>
        <v/>
      </c>
      <c r="E1092">
        <f>TEXT(B1092,"MMM-YYYY")</f>
        <v/>
      </c>
      <c r="F1092">
        <f>Raw_Data!C1092</f>
        <v/>
      </c>
      <c r="G1092">
        <f>Raw_Data!D1092</f>
        <v/>
      </c>
      <c r="H1092">
        <f>Raw_Data!E1092</f>
        <v/>
      </c>
      <c r="I1092">
        <f>Raw_Data!F1092</f>
        <v/>
      </c>
      <c r="J1092">
        <f>Raw_Data!G1092</f>
        <v/>
      </c>
      <c r="K1092">
        <f>Raw_Data!H1092</f>
        <v/>
      </c>
      <c r="L1092" s="30">
        <f>Raw_Data!I1092</f>
        <v/>
      </c>
      <c r="M1092" s="31">
        <f>Raw_Data!J1092</f>
        <v/>
      </c>
      <c r="N1092" s="17">
        <f>K1092*L1092</f>
        <v/>
      </c>
      <c r="O1092" s="17">
        <f>N1092*(1-M1092)</f>
        <v/>
      </c>
      <c r="P1092" s="17">
        <f>Raw_Data!L1092</f>
        <v/>
      </c>
      <c r="Q1092" s="17">
        <f>O1092-P1092</f>
        <v/>
      </c>
      <c r="R1092" s="31">
        <f>IF(O1092=0,0,Q1092/O1092)</f>
        <v/>
      </c>
      <c r="S1092">
        <f>XLOOKUP(F1092,Lookups!$B$7:$B$11,Lookups!$C$7:$C$11,"Unknown")</f>
        <v/>
      </c>
      <c r="T1092" s="31">
        <f>XLOOKUP(G1092,Lookups!$E$7:$E$11,Lookups!$F$7:$F$11,0)</f>
        <v/>
      </c>
      <c r="U1092" s="32">
        <f>R1092-T1092</f>
        <v/>
      </c>
      <c r="V1092">
        <f>XLOOKUP(I1092,Lookups!$H$7:$H$10,Lookups!$I$7:$I$10,"")</f>
        <v/>
      </c>
      <c r="W1092">
        <f>IF(O1092&gt;=50000,"HIGH VALUE","")</f>
        <v/>
      </c>
      <c r="X1092">
        <f>IF(Q1092&lt;0,"LOSS","")</f>
        <v/>
      </c>
      <c r="Y1092">
        <f>IFS(M1092&gt;=0.15,"Deep Discount",M1092&gt;=0.1,"Moderate",TRUE,"Standard")</f>
        <v/>
      </c>
    </row>
    <row r="1093">
      <c r="A1093">
        <f>Raw_Data!A1093</f>
        <v/>
      </c>
      <c r="B1093" s="29">
        <f>Raw_Data!B1093</f>
        <v/>
      </c>
      <c r="C1093">
        <f>YEAR(B1093)</f>
        <v/>
      </c>
      <c r="D1093">
        <f>MONTH(B1093)</f>
        <v/>
      </c>
      <c r="E1093">
        <f>TEXT(B1093,"MMM-YYYY")</f>
        <v/>
      </c>
      <c r="F1093">
        <f>Raw_Data!C1093</f>
        <v/>
      </c>
      <c r="G1093">
        <f>Raw_Data!D1093</f>
        <v/>
      </c>
      <c r="H1093">
        <f>Raw_Data!E1093</f>
        <v/>
      </c>
      <c r="I1093">
        <f>Raw_Data!F1093</f>
        <v/>
      </c>
      <c r="J1093">
        <f>Raw_Data!G1093</f>
        <v/>
      </c>
      <c r="K1093">
        <f>Raw_Data!H1093</f>
        <v/>
      </c>
      <c r="L1093" s="30">
        <f>Raw_Data!I1093</f>
        <v/>
      </c>
      <c r="M1093" s="31">
        <f>Raw_Data!J1093</f>
        <v/>
      </c>
      <c r="N1093" s="17">
        <f>K1093*L1093</f>
        <v/>
      </c>
      <c r="O1093" s="17">
        <f>N1093*(1-M1093)</f>
        <v/>
      </c>
      <c r="P1093" s="17">
        <f>Raw_Data!L1093</f>
        <v/>
      </c>
      <c r="Q1093" s="17">
        <f>O1093-P1093</f>
        <v/>
      </c>
      <c r="R1093" s="31">
        <f>IF(O1093=0,0,Q1093/O1093)</f>
        <v/>
      </c>
      <c r="S1093">
        <f>XLOOKUP(F1093,Lookups!$B$7:$B$11,Lookups!$C$7:$C$11,"Unknown")</f>
        <v/>
      </c>
      <c r="T1093" s="31">
        <f>XLOOKUP(G1093,Lookups!$E$7:$E$11,Lookups!$F$7:$F$11,0)</f>
        <v/>
      </c>
      <c r="U1093" s="32">
        <f>R1093-T1093</f>
        <v/>
      </c>
      <c r="V1093">
        <f>XLOOKUP(I1093,Lookups!$H$7:$H$10,Lookups!$I$7:$I$10,"")</f>
        <v/>
      </c>
      <c r="W1093">
        <f>IF(O1093&gt;=50000,"HIGH VALUE","")</f>
        <v/>
      </c>
      <c r="X1093">
        <f>IF(Q1093&lt;0,"LOSS","")</f>
        <v/>
      </c>
      <c r="Y1093">
        <f>IFS(M1093&gt;=0.15,"Deep Discount",M1093&gt;=0.1,"Moderate",TRUE,"Standard")</f>
        <v/>
      </c>
    </row>
    <row r="1094">
      <c r="A1094">
        <f>Raw_Data!A1094</f>
        <v/>
      </c>
      <c r="B1094" s="29">
        <f>Raw_Data!B1094</f>
        <v/>
      </c>
      <c r="C1094">
        <f>YEAR(B1094)</f>
        <v/>
      </c>
      <c r="D1094">
        <f>MONTH(B1094)</f>
        <v/>
      </c>
      <c r="E1094">
        <f>TEXT(B1094,"MMM-YYYY")</f>
        <v/>
      </c>
      <c r="F1094">
        <f>Raw_Data!C1094</f>
        <v/>
      </c>
      <c r="G1094">
        <f>Raw_Data!D1094</f>
        <v/>
      </c>
      <c r="H1094">
        <f>Raw_Data!E1094</f>
        <v/>
      </c>
      <c r="I1094">
        <f>Raw_Data!F1094</f>
        <v/>
      </c>
      <c r="J1094">
        <f>Raw_Data!G1094</f>
        <v/>
      </c>
      <c r="K1094">
        <f>Raw_Data!H1094</f>
        <v/>
      </c>
      <c r="L1094" s="30">
        <f>Raw_Data!I1094</f>
        <v/>
      </c>
      <c r="M1094" s="31">
        <f>Raw_Data!J1094</f>
        <v/>
      </c>
      <c r="N1094" s="17">
        <f>K1094*L1094</f>
        <v/>
      </c>
      <c r="O1094" s="17">
        <f>N1094*(1-M1094)</f>
        <v/>
      </c>
      <c r="P1094" s="17">
        <f>Raw_Data!L1094</f>
        <v/>
      </c>
      <c r="Q1094" s="17">
        <f>O1094-P1094</f>
        <v/>
      </c>
      <c r="R1094" s="31">
        <f>IF(O1094=0,0,Q1094/O1094)</f>
        <v/>
      </c>
      <c r="S1094">
        <f>XLOOKUP(F1094,Lookups!$B$7:$B$11,Lookups!$C$7:$C$11,"Unknown")</f>
        <v/>
      </c>
      <c r="T1094" s="31">
        <f>XLOOKUP(G1094,Lookups!$E$7:$E$11,Lookups!$F$7:$F$11,0)</f>
        <v/>
      </c>
      <c r="U1094" s="32">
        <f>R1094-T1094</f>
        <v/>
      </c>
      <c r="V1094">
        <f>XLOOKUP(I1094,Lookups!$H$7:$H$10,Lookups!$I$7:$I$10,"")</f>
        <v/>
      </c>
      <c r="W1094">
        <f>IF(O1094&gt;=50000,"HIGH VALUE","")</f>
        <v/>
      </c>
      <c r="X1094">
        <f>IF(Q1094&lt;0,"LOSS","")</f>
        <v/>
      </c>
      <c r="Y1094">
        <f>IFS(M1094&gt;=0.15,"Deep Discount",M1094&gt;=0.1,"Moderate",TRUE,"Standard")</f>
        <v/>
      </c>
    </row>
    <row r="1095">
      <c r="A1095">
        <f>Raw_Data!A1095</f>
        <v/>
      </c>
      <c r="B1095" s="29">
        <f>Raw_Data!B1095</f>
        <v/>
      </c>
      <c r="C1095">
        <f>YEAR(B1095)</f>
        <v/>
      </c>
      <c r="D1095">
        <f>MONTH(B1095)</f>
        <v/>
      </c>
      <c r="E1095">
        <f>TEXT(B1095,"MMM-YYYY")</f>
        <v/>
      </c>
      <c r="F1095">
        <f>Raw_Data!C1095</f>
        <v/>
      </c>
      <c r="G1095">
        <f>Raw_Data!D1095</f>
        <v/>
      </c>
      <c r="H1095">
        <f>Raw_Data!E1095</f>
        <v/>
      </c>
      <c r="I1095">
        <f>Raw_Data!F1095</f>
        <v/>
      </c>
      <c r="J1095">
        <f>Raw_Data!G1095</f>
        <v/>
      </c>
      <c r="K1095">
        <f>Raw_Data!H1095</f>
        <v/>
      </c>
      <c r="L1095" s="30">
        <f>Raw_Data!I1095</f>
        <v/>
      </c>
      <c r="M1095" s="31">
        <f>Raw_Data!J1095</f>
        <v/>
      </c>
      <c r="N1095" s="17">
        <f>K1095*L1095</f>
        <v/>
      </c>
      <c r="O1095" s="17">
        <f>N1095*(1-M1095)</f>
        <v/>
      </c>
      <c r="P1095" s="17">
        <f>Raw_Data!L1095</f>
        <v/>
      </c>
      <c r="Q1095" s="17">
        <f>O1095-P1095</f>
        <v/>
      </c>
      <c r="R1095" s="31">
        <f>IF(O1095=0,0,Q1095/O1095)</f>
        <v/>
      </c>
      <c r="S1095">
        <f>XLOOKUP(F1095,Lookups!$B$7:$B$11,Lookups!$C$7:$C$11,"Unknown")</f>
        <v/>
      </c>
      <c r="T1095" s="31">
        <f>XLOOKUP(G1095,Lookups!$E$7:$E$11,Lookups!$F$7:$F$11,0)</f>
        <v/>
      </c>
      <c r="U1095" s="32">
        <f>R1095-T1095</f>
        <v/>
      </c>
      <c r="V1095">
        <f>XLOOKUP(I1095,Lookups!$H$7:$H$10,Lookups!$I$7:$I$10,"")</f>
        <v/>
      </c>
      <c r="W1095">
        <f>IF(O1095&gt;=50000,"HIGH VALUE","")</f>
        <v/>
      </c>
      <c r="X1095">
        <f>IF(Q1095&lt;0,"LOSS","")</f>
        <v/>
      </c>
      <c r="Y1095">
        <f>IFS(M1095&gt;=0.15,"Deep Discount",M1095&gt;=0.1,"Moderate",TRUE,"Standard")</f>
        <v/>
      </c>
    </row>
    <row r="1096">
      <c r="A1096">
        <f>Raw_Data!A1096</f>
        <v/>
      </c>
      <c r="B1096" s="29">
        <f>Raw_Data!B1096</f>
        <v/>
      </c>
      <c r="C1096">
        <f>YEAR(B1096)</f>
        <v/>
      </c>
      <c r="D1096">
        <f>MONTH(B1096)</f>
        <v/>
      </c>
      <c r="E1096">
        <f>TEXT(B1096,"MMM-YYYY")</f>
        <v/>
      </c>
      <c r="F1096">
        <f>Raw_Data!C1096</f>
        <v/>
      </c>
      <c r="G1096">
        <f>Raw_Data!D1096</f>
        <v/>
      </c>
      <c r="H1096">
        <f>Raw_Data!E1096</f>
        <v/>
      </c>
      <c r="I1096">
        <f>Raw_Data!F1096</f>
        <v/>
      </c>
      <c r="J1096">
        <f>Raw_Data!G1096</f>
        <v/>
      </c>
      <c r="K1096">
        <f>Raw_Data!H1096</f>
        <v/>
      </c>
      <c r="L1096" s="30">
        <f>Raw_Data!I1096</f>
        <v/>
      </c>
      <c r="M1096" s="31">
        <f>Raw_Data!J1096</f>
        <v/>
      </c>
      <c r="N1096" s="17">
        <f>K1096*L1096</f>
        <v/>
      </c>
      <c r="O1096" s="17">
        <f>N1096*(1-M1096)</f>
        <v/>
      </c>
      <c r="P1096" s="17">
        <f>Raw_Data!L1096</f>
        <v/>
      </c>
      <c r="Q1096" s="17">
        <f>O1096-P1096</f>
        <v/>
      </c>
      <c r="R1096" s="31">
        <f>IF(O1096=0,0,Q1096/O1096)</f>
        <v/>
      </c>
      <c r="S1096">
        <f>XLOOKUP(F1096,Lookups!$B$7:$B$11,Lookups!$C$7:$C$11,"Unknown")</f>
        <v/>
      </c>
      <c r="T1096" s="31">
        <f>XLOOKUP(G1096,Lookups!$E$7:$E$11,Lookups!$F$7:$F$11,0)</f>
        <v/>
      </c>
      <c r="U1096" s="32">
        <f>R1096-T1096</f>
        <v/>
      </c>
      <c r="V1096">
        <f>XLOOKUP(I1096,Lookups!$H$7:$H$10,Lookups!$I$7:$I$10,"")</f>
        <v/>
      </c>
      <c r="W1096">
        <f>IF(O1096&gt;=50000,"HIGH VALUE","")</f>
        <v/>
      </c>
      <c r="X1096">
        <f>IF(Q1096&lt;0,"LOSS","")</f>
        <v/>
      </c>
      <c r="Y1096">
        <f>IFS(M1096&gt;=0.15,"Deep Discount",M1096&gt;=0.1,"Moderate",TRUE,"Standard")</f>
        <v/>
      </c>
    </row>
    <row r="1097">
      <c r="A1097">
        <f>Raw_Data!A1097</f>
        <v/>
      </c>
      <c r="B1097" s="29">
        <f>Raw_Data!B1097</f>
        <v/>
      </c>
      <c r="C1097">
        <f>YEAR(B1097)</f>
        <v/>
      </c>
      <c r="D1097">
        <f>MONTH(B1097)</f>
        <v/>
      </c>
      <c r="E1097">
        <f>TEXT(B1097,"MMM-YYYY")</f>
        <v/>
      </c>
      <c r="F1097">
        <f>Raw_Data!C1097</f>
        <v/>
      </c>
      <c r="G1097">
        <f>Raw_Data!D1097</f>
        <v/>
      </c>
      <c r="H1097">
        <f>Raw_Data!E1097</f>
        <v/>
      </c>
      <c r="I1097">
        <f>Raw_Data!F1097</f>
        <v/>
      </c>
      <c r="J1097">
        <f>Raw_Data!G1097</f>
        <v/>
      </c>
      <c r="K1097">
        <f>Raw_Data!H1097</f>
        <v/>
      </c>
      <c r="L1097" s="30">
        <f>Raw_Data!I1097</f>
        <v/>
      </c>
      <c r="M1097" s="31">
        <f>Raw_Data!J1097</f>
        <v/>
      </c>
      <c r="N1097" s="17">
        <f>K1097*L1097</f>
        <v/>
      </c>
      <c r="O1097" s="17">
        <f>N1097*(1-M1097)</f>
        <v/>
      </c>
      <c r="P1097" s="17">
        <f>Raw_Data!L1097</f>
        <v/>
      </c>
      <c r="Q1097" s="17">
        <f>O1097-P1097</f>
        <v/>
      </c>
      <c r="R1097" s="31">
        <f>IF(O1097=0,0,Q1097/O1097)</f>
        <v/>
      </c>
      <c r="S1097">
        <f>XLOOKUP(F1097,Lookups!$B$7:$B$11,Lookups!$C$7:$C$11,"Unknown")</f>
        <v/>
      </c>
      <c r="T1097" s="31">
        <f>XLOOKUP(G1097,Lookups!$E$7:$E$11,Lookups!$F$7:$F$11,0)</f>
        <v/>
      </c>
      <c r="U1097" s="32">
        <f>R1097-T1097</f>
        <v/>
      </c>
      <c r="V1097">
        <f>XLOOKUP(I1097,Lookups!$H$7:$H$10,Lookups!$I$7:$I$10,"")</f>
        <v/>
      </c>
      <c r="W1097">
        <f>IF(O1097&gt;=50000,"HIGH VALUE","")</f>
        <v/>
      </c>
      <c r="X1097">
        <f>IF(Q1097&lt;0,"LOSS","")</f>
        <v/>
      </c>
      <c r="Y1097">
        <f>IFS(M1097&gt;=0.15,"Deep Discount",M1097&gt;=0.1,"Moderate",TRUE,"Standard")</f>
        <v/>
      </c>
    </row>
    <row r="1098">
      <c r="A1098">
        <f>Raw_Data!A1098</f>
        <v/>
      </c>
      <c r="B1098" s="29">
        <f>Raw_Data!B1098</f>
        <v/>
      </c>
      <c r="C1098">
        <f>YEAR(B1098)</f>
        <v/>
      </c>
      <c r="D1098">
        <f>MONTH(B1098)</f>
        <v/>
      </c>
      <c r="E1098">
        <f>TEXT(B1098,"MMM-YYYY")</f>
        <v/>
      </c>
      <c r="F1098">
        <f>Raw_Data!C1098</f>
        <v/>
      </c>
      <c r="G1098">
        <f>Raw_Data!D1098</f>
        <v/>
      </c>
      <c r="H1098">
        <f>Raw_Data!E1098</f>
        <v/>
      </c>
      <c r="I1098">
        <f>Raw_Data!F1098</f>
        <v/>
      </c>
      <c r="J1098">
        <f>Raw_Data!G1098</f>
        <v/>
      </c>
      <c r="K1098">
        <f>Raw_Data!H1098</f>
        <v/>
      </c>
      <c r="L1098" s="30">
        <f>Raw_Data!I1098</f>
        <v/>
      </c>
      <c r="M1098" s="31">
        <f>Raw_Data!J1098</f>
        <v/>
      </c>
      <c r="N1098" s="17">
        <f>K1098*L1098</f>
        <v/>
      </c>
      <c r="O1098" s="17">
        <f>N1098*(1-M1098)</f>
        <v/>
      </c>
      <c r="P1098" s="17">
        <f>Raw_Data!L1098</f>
        <v/>
      </c>
      <c r="Q1098" s="17">
        <f>O1098-P1098</f>
        <v/>
      </c>
      <c r="R1098" s="31">
        <f>IF(O1098=0,0,Q1098/O1098)</f>
        <v/>
      </c>
      <c r="S1098">
        <f>XLOOKUP(F1098,Lookups!$B$7:$B$11,Lookups!$C$7:$C$11,"Unknown")</f>
        <v/>
      </c>
      <c r="T1098" s="31">
        <f>XLOOKUP(G1098,Lookups!$E$7:$E$11,Lookups!$F$7:$F$11,0)</f>
        <v/>
      </c>
      <c r="U1098" s="32">
        <f>R1098-T1098</f>
        <v/>
      </c>
      <c r="V1098">
        <f>XLOOKUP(I1098,Lookups!$H$7:$H$10,Lookups!$I$7:$I$10,"")</f>
        <v/>
      </c>
      <c r="W1098">
        <f>IF(O1098&gt;=50000,"HIGH VALUE","")</f>
        <v/>
      </c>
      <c r="X1098">
        <f>IF(Q1098&lt;0,"LOSS","")</f>
        <v/>
      </c>
      <c r="Y1098">
        <f>IFS(M1098&gt;=0.15,"Deep Discount",M1098&gt;=0.1,"Moderate",TRUE,"Standard")</f>
        <v/>
      </c>
    </row>
    <row r="1099">
      <c r="A1099">
        <f>Raw_Data!A1099</f>
        <v/>
      </c>
      <c r="B1099" s="29">
        <f>Raw_Data!B1099</f>
        <v/>
      </c>
      <c r="C1099">
        <f>YEAR(B1099)</f>
        <v/>
      </c>
      <c r="D1099">
        <f>MONTH(B1099)</f>
        <v/>
      </c>
      <c r="E1099">
        <f>TEXT(B1099,"MMM-YYYY")</f>
        <v/>
      </c>
      <c r="F1099">
        <f>Raw_Data!C1099</f>
        <v/>
      </c>
      <c r="G1099">
        <f>Raw_Data!D1099</f>
        <v/>
      </c>
      <c r="H1099">
        <f>Raw_Data!E1099</f>
        <v/>
      </c>
      <c r="I1099">
        <f>Raw_Data!F1099</f>
        <v/>
      </c>
      <c r="J1099">
        <f>Raw_Data!G1099</f>
        <v/>
      </c>
      <c r="K1099">
        <f>Raw_Data!H1099</f>
        <v/>
      </c>
      <c r="L1099" s="30">
        <f>Raw_Data!I1099</f>
        <v/>
      </c>
      <c r="M1099" s="31">
        <f>Raw_Data!J1099</f>
        <v/>
      </c>
      <c r="N1099" s="17">
        <f>K1099*L1099</f>
        <v/>
      </c>
      <c r="O1099" s="17">
        <f>N1099*(1-M1099)</f>
        <v/>
      </c>
      <c r="P1099" s="17">
        <f>Raw_Data!L1099</f>
        <v/>
      </c>
      <c r="Q1099" s="17">
        <f>O1099-P1099</f>
        <v/>
      </c>
      <c r="R1099" s="31">
        <f>IF(O1099=0,0,Q1099/O1099)</f>
        <v/>
      </c>
      <c r="S1099">
        <f>XLOOKUP(F1099,Lookups!$B$7:$B$11,Lookups!$C$7:$C$11,"Unknown")</f>
        <v/>
      </c>
      <c r="T1099" s="31">
        <f>XLOOKUP(G1099,Lookups!$E$7:$E$11,Lookups!$F$7:$F$11,0)</f>
        <v/>
      </c>
      <c r="U1099" s="32">
        <f>R1099-T1099</f>
        <v/>
      </c>
      <c r="V1099">
        <f>XLOOKUP(I1099,Lookups!$H$7:$H$10,Lookups!$I$7:$I$10,"")</f>
        <v/>
      </c>
      <c r="W1099">
        <f>IF(O1099&gt;=50000,"HIGH VALUE","")</f>
        <v/>
      </c>
      <c r="X1099">
        <f>IF(Q1099&lt;0,"LOSS","")</f>
        <v/>
      </c>
      <c r="Y1099">
        <f>IFS(M1099&gt;=0.15,"Deep Discount",M1099&gt;=0.1,"Moderate",TRUE,"Standard")</f>
        <v/>
      </c>
    </row>
    <row r="1100">
      <c r="A1100">
        <f>Raw_Data!A1100</f>
        <v/>
      </c>
      <c r="B1100" s="29">
        <f>Raw_Data!B1100</f>
        <v/>
      </c>
      <c r="C1100">
        <f>YEAR(B1100)</f>
        <v/>
      </c>
      <c r="D1100">
        <f>MONTH(B1100)</f>
        <v/>
      </c>
      <c r="E1100">
        <f>TEXT(B1100,"MMM-YYYY")</f>
        <v/>
      </c>
      <c r="F1100">
        <f>Raw_Data!C1100</f>
        <v/>
      </c>
      <c r="G1100">
        <f>Raw_Data!D1100</f>
        <v/>
      </c>
      <c r="H1100">
        <f>Raw_Data!E1100</f>
        <v/>
      </c>
      <c r="I1100">
        <f>Raw_Data!F1100</f>
        <v/>
      </c>
      <c r="J1100">
        <f>Raw_Data!G1100</f>
        <v/>
      </c>
      <c r="K1100">
        <f>Raw_Data!H1100</f>
        <v/>
      </c>
      <c r="L1100" s="30">
        <f>Raw_Data!I1100</f>
        <v/>
      </c>
      <c r="M1100" s="31">
        <f>Raw_Data!J1100</f>
        <v/>
      </c>
      <c r="N1100" s="17">
        <f>K1100*L1100</f>
        <v/>
      </c>
      <c r="O1100" s="17">
        <f>N1100*(1-M1100)</f>
        <v/>
      </c>
      <c r="P1100" s="17">
        <f>Raw_Data!L1100</f>
        <v/>
      </c>
      <c r="Q1100" s="17">
        <f>O1100-P1100</f>
        <v/>
      </c>
      <c r="R1100" s="31">
        <f>IF(O1100=0,0,Q1100/O1100)</f>
        <v/>
      </c>
      <c r="S1100">
        <f>XLOOKUP(F1100,Lookups!$B$7:$B$11,Lookups!$C$7:$C$11,"Unknown")</f>
        <v/>
      </c>
      <c r="T1100" s="31">
        <f>XLOOKUP(G1100,Lookups!$E$7:$E$11,Lookups!$F$7:$F$11,0)</f>
        <v/>
      </c>
      <c r="U1100" s="32">
        <f>R1100-T1100</f>
        <v/>
      </c>
      <c r="V1100">
        <f>XLOOKUP(I1100,Lookups!$H$7:$H$10,Lookups!$I$7:$I$10,"")</f>
        <v/>
      </c>
      <c r="W1100">
        <f>IF(O1100&gt;=50000,"HIGH VALUE","")</f>
        <v/>
      </c>
      <c r="X1100">
        <f>IF(Q1100&lt;0,"LOSS","")</f>
        <v/>
      </c>
      <c r="Y1100">
        <f>IFS(M1100&gt;=0.15,"Deep Discount",M1100&gt;=0.1,"Moderate",TRUE,"Standard")</f>
        <v/>
      </c>
    </row>
    <row r="1101">
      <c r="A1101">
        <f>Raw_Data!A1101</f>
        <v/>
      </c>
      <c r="B1101" s="29">
        <f>Raw_Data!B1101</f>
        <v/>
      </c>
      <c r="C1101">
        <f>YEAR(B1101)</f>
        <v/>
      </c>
      <c r="D1101">
        <f>MONTH(B1101)</f>
        <v/>
      </c>
      <c r="E1101">
        <f>TEXT(B1101,"MMM-YYYY")</f>
        <v/>
      </c>
      <c r="F1101">
        <f>Raw_Data!C1101</f>
        <v/>
      </c>
      <c r="G1101">
        <f>Raw_Data!D1101</f>
        <v/>
      </c>
      <c r="H1101">
        <f>Raw_Data!E1101</f>
        <v/>
      </c>
      <c r="I1101">
        <f>Raw_Data!F1101</f>
        <v/>
      </c>
      <c r="J1101">
        <f>Raw_Data!G1101</f>
        <v/>
      </c>
      <c r="K1101">
        <f>Raw_Data!H1101</f>
        <v/>
      </c>
      <c r="L1101" s="30">
        <f>Raw_Data!I1101</f>
        <v/>
      </c>
      <c r="M1101" s="31">
        <f>Raw_Data!J1101</f>
        <v/>
      </c>
      <c r="N1101" s="17">
        <f>K1101*L1101</f>
        <v/>
      </c>
      <c r="O1101" s="17">
        <f>N1101*(1-M1101)</f>
        <v/>
      </c>
      <c r="P1101" s="17">
        <f>Raw_Data!L1101</f>
        <v/>
      </c>
      <c r="Q1101" s="17">
        <f>O1101-P1101</f>
        <v/>
      </c>
      <c r="R1101" s="31">
        <f>IF(O1101=0,0,Q1101/O1101)</f>
        <v/>
      </c>
      <c r="S1101">
        <f>XLOOKUP(F1101,Lookups!$B$7:$B$11,Lookups!$C$7:$C$11,"Unknown")</f>
        <v/>
      </c>
      <c r="T1101" s="31">
        <f>XLOOKUP(G1101,Lookups!$E$7:$E$11,Lookups!$F$7:$F$11,0)</f>
        <v/>
      </c>
      <c r="U1101" s="32">
        <f>R1101-T1101</f>
        <v/>
      </c>
      <c r="V1101">
        <f>XLOOKUP(I1101,Lookups!$H$7:$H$10,Lookups!$I$7:$I$10,"")</f>
        <v/>
      </c>
      <c r="W1101">
        <f>IF(O1101&gt;=50000,"HIGH VALUE","")</f>
        <v/>
      </c>
      <c r="X1101">
        <f>IF(Q1101&lt;0,"LOSS","")</f>
        <v/>
      </c>
      <c r="Y1101">
        <f>IFS(M1101&gt;=0.15,"Deep Discount",M1101&gt;=0.1,"Moderate",TRUE,"Standard")</f>
        <v/>
      </c>
    </row>
    <row r="1102">
      <c r="A1102">
        <f>Raw_Data!A1102</f>
        <v/>
      </c>
      <c r="B1102" s="29">
        <f>Raw_Data!B1102</f>
        <v/>
      </c>
      <c r="C1102">
        <f>YEAR(B1102)</f>
        <v/>
      </c>
      <c r="D1102">
        <f>MONTH(B1102)</f>
        <v/>
      </c>
      <c r="E1102">
        <f>TEXT(B1102,"MMM-YYYY")</f>
        <v/>
      </c>
      <c r="F1102">
        <f>Raw_Data!C1102</f>
        <v/>
      </c>
      <c r="G1102">
        <f>Raw_Data!D1102</f>
        <v/>
      </c>
      <c r="H1102">
        <f>Raw_Data!E1102</f>
        <v/>
      </c>
      <c r="I1102">
        <f>Raw_Data!F1102</f>
        <v/>
      </c>
      <c r="J1102">
        <f>Raw_Data!G1102</f>
        <v/>
      </c>
      <c r="K1102">
        <f>Raw_Data!H1102</f>
        <v/>
      </c>
      <c r="L1102" s="30">
        <f>Raw_Data!I1102</f>
        <v/>
      </c>
      <c r="M1102" s="31">
        <f>Raw_Data!J1102</f>
        <v/>
      </c>
      <c r="N1102" s="17">
        <f>K1102*L1102</f>
        <v/>
      </c>
      <c r="O1102" s="17">
        <f>N1102*(1-M1102)</f>
        <v/>
      </c>
      <c r="P1102" s="17">
        <f>Raw_Data!L1102</f>
        <v/>
      </c>
      <c r="Q1102" s="17">
        <f>O1102-P1102</f>
        <v/>
      </c>
      <c r="R1102" s="31">
        <f>IF(O1102=0,0,Q1102/O1102)</f>
        <v/>
      </c>
      <c r="S1102">
        <f>XLOOKUP(F1102,Lookups!$B$7:$B$11,Lookups!$C$7:$C$11,"Unknown")</f>
        <v/>
      </c>
      <c r="T1102" s="31">
        <f>XLOOKUP(G1102,Lookups!$E$7:$E$11,Lookups!$F$7:$F$11,0)</f>
        <v/>
      </c>
      <c r="U1102" s="32">
        <f>R1102-T1102</f>
        <v/>
      </c>
      <c r="V1102">
        <f>XLOOKUP(I1102,Lookups!$H$7:$H$10,Lookups!$I$7:$I$10,"")</f>
        <v/>
      </c>
      <c r="W1102">
        <f>IF(O1102&gt;=50000,"HIGH VALUE","")</f>
        <v/>
      </c>
      <c r="X1102">
        <f>IF(Q1102&lt;0,"LOSS","")</f>
        <v/>
      </c>
      <c r="Y1102">
        <f>IFS(M1102&gt;=0.15,"Deep Discount",M1102&gt;=0.1,"Moderate",TRUE,"Standard")</f>
        <v/>
      </c>
    </row>
    <row r="1103">
      <c r="A1103">
        <f>Raw_Data!A1103</f>
        <v/>
      </c>
      <c r="B1103" s="29">
        <f>Raw_Data!B1103</f>
        <v/>
      </c>
      <c r="C1103">
        <f>YEAR(B1103)</f>
        <v/>
      </c>
      <c r="D1103">
        <f>MONTH(B1103)</f>
        <v/>
      </c>
      <c r="E1103">
        <f>TEXT(B1103,"MMM-YYYY")</f>
        <v/>
      </c>
      <c r="F1103">
        <f>Raw_Data!C1103</f>
        <v/>
      </c>
      <c r="G1103">
        <f>Raw_Data!D1103</f>
        <v/>
      </c>
      <c r="H1103">
        <f>Raw_Data!E1103</f>
        <v/>
      </c>
      <c r="I1103">
        <f>Raw_Data!F1103</f>
        <v/>
      </c>
      <c r="J1103">
        <f>Raw_Data!G1103</f>
        <v/>
      </c>
      <c r="K1103">
        <f>Raw_Data!H1103</f>
        <v/>
      </c>
      <c r="L1103" s="30">
        <f>Raw_Data!I1103</f>
        <v/>
      </c>
      <c r="M1103" s="31">
        <f>Raw_Data!J1103</f>
        <v/>
      </c>
      <c r="N1103" s="17">
        <f>K1103*L1103</f>
        <v/>
      </c>
      <c r="O1103" s="17">
        <f>N1103*(1-M1103)</f>
        <v/>
      </c>
      <c r="P1103" s="17">
        <f>Raw_Data!L1103</f>
        <v/>
      </c>
      <c r="Q1103" s="17">
        <f>O1103-P1103</f>
        <v/>
      </c>
      <c r="R1103" s="31">
        <f>IF(O1103=0,0,Q1103/O1103)</f>
        <v/>
      </c>
      <c r="S1103">
        <f>XLOOKUP(F1103,Lookups!$B$7:$B$11,Lookups!$C$7:$C$11,"Unknown")</f>
        <v/>
      </c>
      <c r="T1103" s="31">
        <f>XLOOKUP(G1103,Lookups!$E$7:$E$11,Lookups!$F$7:$F$11,0)</f>
        <v/>
      </c>
      <c r="U1103" s="32">
        <f>R1103-T1103</f>
        <v/>
      </c>
      <c r="V1103">
        <f>XLOOKUP(I1103,Lookups!$H$7:$H$10,Lookups!$I$7:$I$10,"")</f>
        <v/>
      </c>
      <c r="W1103">
        <f>IF(O1103&gt;=50000,"HIGH VALUE","")</f>
        <v/>
      </c>
      <c r="X1103">
        <f>IF(Q1103&lt;0,"LOSS","")</f>
        <v/>
      </c>
      <c r="Y1103">
        <f>IFS(M1103&gt;=0.15,"Deep Discount",M1103&gt;=0.1,"Moderate",TRUE,"Standard")</f>
        <v/>
      </c>
    </row>
    <row r="1104">
      <c r="A1104">
        <f>Raw_Data!A1104</f>
        <v/>
      </c>
      <c r="B1104" s="29">
        <f>Raw_Data!B1104</f>
        <v/>
      </c>
      <c r="C1104">
        <f>YEAR(B1104)</f>
        <v/>
      </c>
      <c r="D1104">
        <f>MONTH(B1104)</f>
        <v/>
      </c>
      <c r="E1104">
        <f>TEXT(B1104,"MMM-YYYY")</f>
        <v/>
      </c>
      <c r="F1104">
        <f>Raw_Data!C1104</f>
        <v/>
      </c>
      <c r="G1104">
        <f>Raw_Data!D1104</f>
        <v/>
      </c>
      <c r="H1104">
        <f>Raw_Data!E1104</f>
        <v/>
      </c>
      <c r="I1104">
        <f>Raw_Data!F1104</f>
        <v/>
      </c>
      <c r="J1104">
        <f>Raw_Data!G1104</f>
        <v/>
      </c>
      <c r="K1104">
        <f>Raw_Data!H1104</f>
        <v/>
      </c>
      <c r="L1104" s="30">
        <f>Raw_Data!I1104</f>
        <v/>
      </c>
      <c r="M1104" s="31">
        <f>Raw_Data!J1104</f>
        <v/>
      </c>
      <c r="N1104" s="17">
        <f>K1104*L1104</f>
        <v/>
      </c>
      <c r="O1104" s="17">
        <f>N1104*(1-M1104)</f>
        <v/>
      </c>
      <c r="P1104" s="17">
        <f>Raw_Data!L1104</f>
        <v/>
      </c>
      <c r="Q1104" s="17">
        <f>O1104-P1104</f>
        <v/>
      </c>
      <c r="R1104" s="31">
        <f>IF(O1104=0,0,Q1104/O1104)</f>
        <v/>
      </c>
      <c r="S1104">
        <f>XLOOKUP(F1104,Lookups!$B$7:$B$11,Lookups!$C$7:$C$11,"Unknown")</f>
        <v/>
      </c>
      <c r="T1104" s="31">
        <f>XLOOKUP(G1104,Lookups!$E$7:$E$11,Lookups!$F$7:$F$11,0)</f>
        <v/>
      </c>
      <c r="U1104" s="32">
        <f>R1104-T1104</f>
        <v/>
      </c>
      <c r="V1104">
        <f>XLOOKUP(I1104,Lookups!$H$7:$H$10,Lookups!$I$7:$I$10,"")</f>
        <v/>
      </c>
      <c r="W1104">
        <f>IF(O1104&gt;=50000,"HIGH VALUE","")</f>
        <v/>
      </c>
      <c r="X1104">
        <f>IF(Q1104&lt;0,"LOSS","")</f>
        <v/>
      </c>
      <c r="Y1104">
        <f>IFS(M1104&gt;=0.15,"Deep Discount",M1104&gt;=0.1,"Moderate",TRUE,"Standard")</f>
        <v/>
      </c>
    </row>
    <row r="1105">
      <c r="A1105">
        <f>Raw_Data!A1105</f>
        <v/>
      </c>
      <c r="B1105" s="29">
        <f>Raw_Data!B1105</f>
        <v/>
      </c>
      <c r="C1105">
        <f>YEAR(B1105)</f>
        <v/>
      </c>
      <c r="D1105">
        <f>MONTH(B1105)</f>
        <v/>
      </c>
      <c r="E1105">
        <f>TEXT(B1105,"MMM-YYYY")</f>
        <v/>
      </c>
      <c r="F1105">
        <f>Raw_Data!C1105</f>
        <v/>
      </c>
      <c r="G1105">
        <f>Raw_Data!D1105</f>
        <v/>
      </c>
      <c r="H1105">
        <f>Raw_Data!E1105</f>
        <v/>
      </c>
      <c r="I1105">
        <f>Raw_Data!F1105</f>
        <v/>
      </c>
      <c r="J1105">
        <f>Raw_Data!G1105</f>
        <v/>
      </c>
      <c r="K1105">
        <f>Raw_Data!H1105</f>
        <v/>
      </c>
      <c r="L1105" s="30">
        <f>Raw_Data!I1105</f>
        <v/>
      </c>
      <c r="M1105" s="31">
        <f>Raw_Data!J1105</f>
        <v/>
      </c>
      <c r="N1105" s="17">
        <f>K1105*L1105</f>
        <v/>
      </c>
      <c r="O1105" s="17">
        <f>N1105*(1-M1105)</f>
        <v/>
      </c>
      <c r="P1105" s="17">
        <f>Raw_Data!L1105</f>
        <v/>
      </c>
      <c r="Q1105" s="17">
        <f>O1105-P1105</f>
        <v/>
      </c>
      <c r="R1105" s="31">
        <f>IF(O1105=0,0,Q1105/O1105)</f>
        <v/>
      </c>
      <c r="S1105">
        <f>XLOOKUP(F1105,Lookups!$B$7:$B$11,Lookups!$C$7:$C$11,"Unknown")</f>
        <v/>
      </c>
      <c r="T1105" s="31">
        <f>XLOOKUP(G1105,Lookups!$E$7:$E$11,Lookups!$F$7:$F$11,0)</f>
        <v/>
      </c>
      <c r="U1105" s="32">
        <f>R1105-T1105</f>
        <v/>
      </c>
      <c r="V1105">
        <f>XLOOKUP(I1105,Lookups!$H$7:$H$10,Lookups!$I$7:$I$10,"")</f>
        <v/>
      </c>
      <c r="W1105">
        <f>IF(O1105&gt;=50000,"HIGH VALUE","")</f>
        <v/>
      </c>
      <c r="X1105">
        <f>IF(Q1105&lt;0,"LOSS","")</f>
        <v/>
      </c>
      <c r="Y1105">
        <f>IFS(M1105&gt;=0.15,"Deep Discount",M1105&gt;=0.1,"Moderate",TRUE,"Standard")</f>
        <v/>
      </c>
    </row>
    <row r="1106">
      <c r="A1106">
        <f>Raw_Data!A1106</f>
        <v/>
      </c>
      <c r="B1106" s="29">
        <f>Raw_Data!B1106</f>
        <v/>
      </c>
      <c r="C1106">
        <f>YEAR(B1106)</f>
        <v/>
      </c>
      <c r="D1106">
        <f>MONTH(B1106)</f>
        <v/>
      </c>
      <c r="E1106">
        <f>TEXT(B1106,"MMM-YYYY")</f>
        <v/>
      </c>
      <c r="F1106">
        <f>Raw_Data!C1106</f>
        <v/>
      </c>
      <c r="G1106">
        <f>Raw_Data!D1106</f>
        <v/>
      </c>
      <c r="H1106">
        <f>Raw_Data!E1106</f>
        <v/>
      </c>
      <c r="I1106">
        <f>Raw_Data!F1106</f>
        <v/>
      </c>
      <c r="J1106">
        <f>Raw_Data!G1106</f>
        <v/>
      </c>
      <c r="K1106">
        <f>Raw_Data!H1106</f>
        <v/>
      </c>
      <c r="L1106" s="30">
        <f>Raw_Data!I1106</f>
        <v/>
      </c>
      <c r="M1106" s="31">
        <f>Raw_Data!J1106</f>
        <v/>
      </c>
      <c r="N1106" s="17">
        <f>K1106*L1106</f>
        <v/>
      </c>
      <c r="O1106" s="17">
        <f>N1106*(1-M1106)</f>
        <v/>
      </c>
      <c r="P1106" s="17">
        <f>Raw_Data!L1106</f>
        <v/>
      </c>
      <c r="Q1106" s="17">
        <f>O1106-P1106</f>
        <v/>
      </c>
      <c r="R1106" s="31">
        <f>IF(O1106=0,0,Q1106/O1106)</f>
        <v/>
      </c>
      <c r="S1106">
        <f>XLOOKUP(F1106,Lookups!$B$7:$B$11,Lookups!$C$7:$C$11,"Unknown")</f>
        <v/>
      </c>
      <c r="T1106" s="31">
        <f>XLOOKUP(G1106,Lookups!$E$7:$E$11,Lookups!$F$7:$F$11,0)</f>
        <v/>
      </c>
      <c r="U1106" s="32">
        <f>R1106-T1106</f>
        <v/>
      </c>
      <c r="V1106">
        <f>XLOOKUP(I1106,Lookups!$H$7:$H$10,Lookups!$I$7:$I$10,"")</f>
        <v/>
      </c>
      <c r="W1106">
        <f>IF(O1106&gt;=50000,"HIGH VALUE","")</f>
        <v/>
      </c>
      <c r="X1106">
        <f>IF(Q1106&lt;0,"LOSS","")</f>
        <v/>
      </c>
      <c r="Y1106">
        <f>IFS(M1106&gt;=0.15,"Deep Discount",M1106&gt;=0.1,"Moderate",TRUE,"Standard")</f>
        <v/>
      </c>
    </row>
    <row r="1107">
      <c r="A1107">
        <f>Raw_Data!A1107</f>
        <v/>
      </c>
      <c r="B1107" s="29">
        <f>Raw_Data!B1107</f>
        <v/>
      </c>
      <c r="C1107">
        <f>YEAR(B1107)</f>
        <v/>
      </c>
      <c r="D1107">
        <f>MONTH(B1107)</f>
        <v/>
      </c>
      <c r="E1107">
        <f>TEXT(B1107,"MMM-YYYY")</f>
        <v/>
      </c>
      <c r="F1107">
        <f>Raw_Data!C1107</f>
        <v/>
      </c>
      <c r="G1107">
        <f>Raw_Data!D1107</f>
        <v/>
      </c>
      <c r="H1107">
        <f>Raw_Data!E1107</f>
        <v/>
      </c>
      <c r="I1107">
        <f>Raw_Data!F1107</f>
        <v/>
      </c>
      <c r="J1107">
        <f>Raw_Data!G1107</f>
        <v/>
      </c>
      <c r="K1107">
        <f>Raw_Data!H1107</f>
        <v/>
      </c>
      <c r="L1107" s="30">
        <f>Raw_Data!I1107</f>
        <v/>
      </c>
      <c r="M1107" s="31">
        <f>Raw_Data!J1107</f>
        <v/>
      </c>
      <c r="N1107" s="17">
        <f>K1107*L1107</f>
        <v/>
      </c>
      <c r="O1107" s="17">
        <f>N1107*(1-M1107)</f>
        <v/>
      </c>
      <c r="P1107" s="17">
        <f>Raw_Data!L1107</f>
        <v/>
      </c>
      <c r="Q1107" s="17">
        <f>O1107-P1107</f>
        <v/>
      </c>
      <c r="R1107" s="31">
        <f>IF(O1107=0,0,Q1107/O1107)</f>
        <v/>
      </c>
      <c r="S1107">
        <f>XLOOKUP(F1107,Lookups!$B$7:$B$11,Lookups!$C$7:$C$11,"Unknown")</f>
        <v/>
      </c>
      <c r="T1107" s="31">
        <f>XLOOKUP(G1107,Lookups!$E$7:$E$11,Lookups!$F$7:$F$11,0)</f>
        <v/>
      </c>
      <c r="U1107" s="32">
        <f>R1107-T1107</f>
        <v/>
      </c>
      <c r="V1107">
        <f>XLOOKUP(I1107,Lookups!$H$7:$H$10,Lookups!$I$7:$I$10,"")</f>
        <v/>
      </c>
      <c r="W1107">
        <f>IF(O1107&gt;=50000,"HIGH VALUE","")</f>
        <v/>
      </c>
      <c r="X1107">
        <f>IF(Q1107&lt;0,"LOSS","")</f>
        <v/>
      </c>
      <c r="Y1107">
        <f>IFS(M1107&gt;=0.15,"Deep Discount",M1107&gt;=0.1,"Moderate",TRUE,"Standard")</f>
        <v/>
      </c>
    </row>
    <row r="1108">
      <c r="A1108">
        <f>Raw_Data!A1108</f>
        <v/>
      </c>
      <c r="B1108" s="29">
        <f>Raw_Data!B1108</f>
        <v/>
      </c>
      <c r="C1108">
        <f>YEAR(B1108)</f>
        <v/>
      </c>
      <c r="D1108">
        <f>MONTH(B1108)</f>
        <v/>
      </c>
      <c r="E1108">
        <f>TEXT(B1108,"MMM-YYYY")</f>
        <v/>
      </c>
      <c r="F1108">
        <f>Raw_Data!C1108</f>
        <v/>
      </c>
      <c r="G1108">
        <f>Raw_Data!D1108</f>
        <v/>
      </c>
      <c r="H1108">
        <f>Raw_Data!E1108</f>
        <v/>
      </c>
      <c r="I1108">
        <f>Raw_Data!F1108</f>
        <v/>
      </c>
      <c r="J1108">
        <f>Raw_Data!G1108</f>
        <v/>
      </c>
      <c r="K1108">
        <f>Raw_Data!H1108</f>
        <v/>
      </c>
      <c r="L1108" s="30">
        <f>Raw_Data!I1108</f>
        <v/>
      </c>
      <c r="M1108" s="31">
        <f>Raw_Data!J1108</f>
        <v/>
      </c>
      <c r="N1108" s="17">
        <f>K1108*L1108</f>
        <v/>
      </c>
      <c r="O1108" s="17">
        <f>N1108*(1-M1108)</f>
        <v/>
      </c>
      <c r="P1108" s="17">
        <f>Raw_Data!L1108</f>
        <v/>
      </c>
      <c r="Q1108" s="17">
        <f>O1108-P1108</f>
        <v/>
      </c>
      <c r="R1108" s="31">
        <f>IF(O1108=0,0,Q1108/O1108)</f>
        <v/>
      </c>
      <c r="S1108">
        <f>XLOOKUP(F1108,Lookups!$B$7:$B$11,Lookups!$C$7:$C$11,"Unknown")</f>
        <v/>
      </c>
      <c r="T1108" s="31">
        <f>XLOOKUP(G1108,Lookups!$E$7:$E$11,Lookups!$F$7:$F$11,0)</f>
        <v/>
      </c>
      <c r="U1108" s="32">
        <f>R1108-T1108</f>
        <v/>
      </c>
      <c r="V1108">
        <f>XLOOKUP(I1108,Lookups!$H$7:$H$10,Lookups!$I$7:$I$10,"")</f>
        <v/>
      </c>
      <c r="W1108">
        <f>IF(O1108&gt;=50000,"HIGH VALUE","")</f>
        <v/>
      </c>
      <c r="X1108">
        <f>IF(Q1108&lt;0,"LOSS","")</f>
        <v/>
      </c>
      <c r="Y1108">
        <f>IFS(M1108&gt;=0.15,"Deep Discount",M1108&gt;=0.1,"Moderate",TRUE,"Standard")</f>
        <v/>
      </c>
    </row>
    <row r="1109">
      <c r="A1109">
        <f>Raw_Data!A1109</f>
        <v/>
      </c>
      <c r="B1109" s="29">
        <f>Raw_Data!B1109</f>
        <v/>
      </c>
      <c r="C1109">
        <f>YEAR(B1109)</f>
        <v/>
      </c>
      <c r="D1109">
        <f>MONTH(B1109)</f>
        <v/>
      </c>
      <c r="E1109">
        <f>TEXT(B1109,"MMM-YYYY")</f>
        <v/>
      </c>
      <c r="F1109">
        <f>Raw_Data!C1109</f>
        <v/>
      </c>
      <c r="G1109">
        <f>Raw_Data!D1109</f>
        <v/>
      </c>
      <c r="H1109">
        <f>Raw_Data!E1109</f>
        <v/>
      </c>
      <c r="I1109">
        <f>Raw_Data!F1109</f>
        <v/>
      </c>
      <c r="J1109">
        <f>Raw_Data!G1109</f>
        <v/>
      </c>
      <c r="K1109">
        <f>Raw_Data!H1109</f>
        <v/>
      </c>
      <c r="L1109" s="30">
        <f>Raw_Data!I1109</f>
        <v/>
      </c>
      <c r="M1109" s="31">
        <f>Raw_Data!J1109</f>
        <v/>
      </c>
      <c r="N1109" s="17">
        <f>K1109*L1109</f>
        <v/>
      </c>
      <c r="O1109" s="17">
        <f>N1109*(1-M1109)</f>
        <v/>
      </c>
      <c r="P1109" s="17">
        <f>Raw_Data!L1109</f>
        <v/>
      </c>
      <c r="Q1109" s="17">
        <f>O1109-P1109</f>
        <v/>
      </c>
      <c r="R1109" s="31">
        <f>IF(O1109=0,0,Q1109/O1109)</f>
        <v/>
      </c>
      <c r="S1109">
        <f>XLOOKUP(F1109,Lookups!$B$7:$B$11,Lookups!$C$7:$C$11,"Unknown")</f>
        <v/>
      </c>
      <c r="T1109" s="31">
        <f>XLOOKUP(G1109,Lookups!$E$7:$E$11,Lookups!$F$7:$F$11,0)</f>
        <v/>
      </c>
      <c r="U1109" s="32">
        <f>R1109-T1109</f>
        <v/>
      </c>
      <c r="V1109">
        <f>XLOOKUP(I1109,Lookups!$H$7:$H$10,Lookups!$I$7:$I$10,"")</f>
        <v/>
      </c>
      <c r="W1109">
        <f>IF(O1109&gt;=50000,"HIGH VALUE","")</f>
        <v/>
      </c>
      <c r="X1109">
        <f>IF(Q1109&lt;0,"LOSS","")</f>
        <v/>
      </c>
      <c r="Y1109">
        <f>IFS(M1109&gt;=0.15,"Deep Discount",M1109&gt;=0.1,"Moderate",TRUE,"Standard")</f>
        <v/>
      </c>
    </row>
    <row r="1110">
      <c r="A1110">
        <f>Raw_Data!A1110</f>
        <v/>
      </c>
      <c r="B1110" s="29">
        <f>Raw_Data!B1110</f>
        <v/>
      </c>
      <c r="C1110">
        <f>YEAR(B1110)</f>
        <v/>
      </c>
      <c r="D1110">
        <f>MONTH(B1110)</f>
        <v/>
      </c>
      <c r="E1110">
        <f>TEXT(B1110,"MMM-YYYY")</f>
        <v/>
      </c>
      <c r="F1110">
        <f>Raw_Data!C1110</f>
        <v/>
      </c>
      <c r="G1110">
        <f>Raw_Data!D1110</f>
        <v/>
      </c>
      <c r="H1110">
        <f>Raw_Data!E1110</f>
        <v/>
      </c>
      <c r="I1110">
        <f>Raw_Data!F1110</f>
        <v/>
      </c>
      <c r="J1110">
        <f>Raw_Data!G1110</f>
        <v/>
      </c>
      <c r="K1110">
        <f>Raw_Data!H1110</f>
        <v/>
      </c>
      <c r="L1110" s="30">
        <f>Raw_Data!I1110</f>
        <v/>
      </c>
      <c r="M1110" s="31">
        <f>Raw_Data!J1110</f>
        <v/>
      </c>
      <c r="N1110" s="17">
        <f>K1110*L1110</f>
        <v/>
      </c>
      <c r="O1110" s="17">
        <f>N1110*(1-M1110)</f>
        <v/>
      </c>
      <c r="P1110" s="17">
        <f>Raw_Data!L1110</f>
        <v/>
      </c>
      <c r="Q1110" s="17">
        <f>O1110-P1110</f>
        <v/>
      </c>
      <c r="R1110" s="31">
        <f>IF(O1110=0,0,Q1110/O1110)</f>
        <v/>
      </c>
      <c r="S1110">
        <f>XLOOKUP(F1110,Lookups!$B$7:$B$11,Lookups!$C$7:$C$11,"Unknown")</f>
        <v/>
      </c>
      <c r="T1110" s="31">
        <f>XLOOKUP(G1110,Lookups!$E$7:$E$11,Lookups!$F$7:$F$11,0)</f>
        <v/>
      </c>
      <c r="U1110" s="32">
        <f>R1110-T1110</f>
        <v/>
      </c>
      <c r="V1110">
        <f>XLOOKUP(I1110,Lookups!$H$7:$H$10,Lookups!$I$7:$I$10,"")</f>
        <v/>
      </c>
      <c r="W1110">
        <f>IF(O1110&gt;=50000,"HIGH VALUE","")</f>
        <v/>
      </c>
      <c r="X1110">
        <f>IF(Q1110&lt;0,"LOSS","")</f>
        <v/>
      </c>
      <c r="Y1110">
        <f>IFS(M1110&gt;=0.15,"Deep Discount",M1110&gt;=0.1,"Moderate",TRUE,"Standard")</f>
        <v/>
      </c>
    </row>
    <row r="1111">
      <c r="A1111">
        <f>Raw_Data!A1111</f>
        <v/>
      </c>
      <c r="B1111" s="29">
        <f>Raw_Data!B1111</f>
        <v/>
      </c>
      <c r="C1111">
        <f>YEAR(B1111)</f>
        <v/>
      </c>
      <c r="D1111">
        <f>MONTH(B1111)</f>
        <v/>
      </c>
      <c r="E1111">
        <f>TEXT(B1111,"MMM-YYYY")</f>
        <v/>
      </c>
      <c r="F1111">
        <f>Raw_Data!C1111</f>
        <v/>
      </c>
      <c r="G1111">
        <f>Raw_Data!D1111</f>
        <v/>
      </c>
      <c r="H1111">
        <f>Raw_Data!E1111</f>
        <v/>
      </c>
      <c r="I1111">
        <f>Raw_Data!F1111</f>
        <v/>
      </c>
      <c r="J1111">
        <f>Raw_Data!G1111</f>
        <v/>
      </c>
      <c r="K1111">
        <f>Raw_Data!H1111</f>
        <v/>
      </c>
      <c r="L1111" s="30">
        <f>Raw_Data!I1111</f>
        <v/>
      </c>
      <c r="M1111" s="31">
        <f>Raw_Data!J1111</f>
        <v/>
      </c>
      <c r="N1111" s="17">
        <f>K1111*L1111</f>
        <v/>
      </c>
      <c r="O1111" s="17">
        <f>N1111*(1-M1111)</f>
        <v/>
      </c>
      <c r="P1111" s="17">
        <f>Raw_Data!L1111</f>
        <v/>
      </c>
      <c r="Q1111" s="17">
        <f>O1111-P1111</f>
        <v/>
      </c>
      <c r="R1111" s="31">
        <f>IF(O1111=0,0,Q1111/O1111)</f>
        <v/>
      </c>
      <c r="S1111">
        <f>XLOOKUP(F1111,Lookups!$B$7:$B$11,Lookups!$C$7:$C$11,"Unknown")</f>
        <v/>
      </c>
      <c r="T1111" s="31">
        <f>XLOOKUP(G1111,Lookups!$E$7:$E$11,Lookups!$F$7:$F$11,0)</f>
        <v/>
      </c>
      <c r="U1111" s="32">
        <f>R1111-T1111</f>
        <v/>
      </c>
      <c r="V1111">
        <f>XLOOKUP(I1111,Lookups!$H$7:$H$10,Lookups!$I$7:$I$10,"")</f>
        <v/>
      </c>
      <c r="W1111">
        <f>IF(O1111&gt;=50000,"HIGH VALUE","")</f>
        <v/>
      </c>
      <c r="X1111">
        <f>IF(Q1111&lt;0,"LOSS","")</f>
        <v/>
      </c>
      <c r="Y1111">
        <f>IFS(M1111&gt;=0.15,"Deep Discount",M1111&gt;=0.1,"Moderate",TRUE,"Standard")</f>
        <v/>
      </c>
    </row>
    <row r="1112">
      <c r="A1112">
        <f>Raw_Data!A1112</f>
        <v/>
      </c>
      <c r="B1112" s="29">
        <f>Raw_Data!B1112</f>
        <v/>
      </c>
      <c r="C1112">
        <f>YEAR(B1112)</f>
        <v/>
      </c>
      <c r="D1112">
        <f>MONTH(B1112)</f>
        <v/>
      </c>
      <c r="E1112">
        <f>TEXT(B1112,"MMM-YYYY")</f>
        <v/>
      </c>
      <c r="F1112">
        <f>Raw_Data!C1112</f>
        <v/>
      </c>
      <c r="G1112">
        <f>Raw_Data!D1112</f>
        <v/>
      </c>
      <c r="H1112">
        <f>Raw_Data!E1112</f>
        <v/>
      </c>
      <c r="I1112">
        <f>Raw_Data!F1112</f>
        <v/>
      </c>
      <c r="J1112">
        <f>Raw_Data!G1112</f>
        <v/>
      </c>
      <c r="K1112">
        <f>Raw_Data!H1112</f>
        <v/>
      </c>
      <c r="L1112" s="30">
        <f>Raw_Data!I1112</f>
        <v/>
      </c>
      <c r="M1112" s="31">
        <f>Raw_Data!J1112</f>
        <v/>
      </c>
      <c r="N1112" s="17">
        <f>K1112*L1112</f>
        <v/>
      </c>
      <c r="O1112" s="17">
        <f>N1112*(1-M1112)</f>
        <v/>
      </c>
      <c r="P1112" s="17">
        <f>Raw_Data!L1112</f>
        <v/>
      </c>
      <c r="Q1112" s="17">
        <f>O1112-P1112</f>
        <v/>
      </c>
      <c r="R1112" s="31">
        <f>IF(O1112=0,0,Q1112/O1112)</f>
        <v/>
      </c>
      <c r="S1112">
        <f>XLOOKUP(F1112,Lookups!$B$7:$B$11,Lookups!$C$7:$C$11,"Unknown")</f>
        <v/>
      </c>
      <c r="T1112" s="31">
        <f>XLOOKUP(G1112,Lookups!$E$7:$E$11,Lookups!$F$7:$F$11,0)</f>
        <v/>
      </c>
      <c r="U1112" s="32">
        <f>R1112-T1112</f>
        <v/>
      </c>
      <c r="V1112">
        <f>XLOOKUP(I1112,Lookups!$H$7:$H$10,Lookups!$I$7:$I$10,"")</f>
        <v/>
      </c>
      <c r="W1112">
        <f>IF(O1112&gt;=50000,"HIGH VALUE","")</f>
        <v/>
      </c>
      <c r="X1112">
        <f>IF(Q1112&lt;0,"LOSS","")</f>
        <v/>
      </c>
      <c r="Y1112">
        <f>IFS(M1112&gt;=0.15,"Deep Discount",M1112&gt;=0.1,"Moderate",TRUE,"Standard")</f>
        <v/>
      </c>
    </row>
    <row r="1113">
      <c r="A1113">
        <f>Raw_Data!A1113</f>
        <v/>
      </c>
      <c r="B1113" s="29">
        <f>Raw_Data!B1113</f>
        <v/>
      </c>
      <c r="C1113">
        <f>YEAR(B1113)</f>
        <v/>
      </c>
      <c r="D1113">
        <f>MONTH(B1113)</f>
        <v/>
      </c>
      <c r="E1113">
        <f>TEXT(B1113,"MMM-YYYY")</f>
        <v/>
      </c>
      <c r="F1113">
        <f>Raw_Data!C1113</f>
        <v/>
      </c>
      <c r="G1113">
        <f>Raw_Data!D1113</f>
        <v/>
      </c>
      <c r="H1113">
        <f>Raw_Data!E1113</f>
        <v/>
      </c>
      <c r="I1113">
        <f>Raw_Data!F1113</f>
        <v/>
      </c>
      <c r="J1113">
        <f>Raw_Data!G1113</f>
        <v/>
      </c>
      <c r="K1113">
        <f>Raw_Data!H1113</f>
        <v/>
      </c>
      <c r="L1113" s="30">
        <f>Raw_Data!I1113</f>
        <v/>
      </c>
      <c r="M1113" s="31">
        <f>Raw_Data!J1113</f>
        <v/>
      </c>
      <c r="N1113" s="17">
        <f>K1113*L1113</f>
        <v/>
      </c>
      <c r="O1113" s="17">
        <f>N1113*(1-M1113)</f>
        <v/>
      </c>
      <c r="P1113" s="17">
        <f>Raw_Data!L1113</f>
        <v/>
      </c>
      <c r="Q1113" s="17">
        <f>O1113-P1113</f>
        <v/>
      </c>
      <c r="R1113" s="31">
        <f>IF(O1113=0,0,Q1113/O1113)</f>
        <v/>
      </c>
      <c r="S1113">
        <f>XLOOKUP(F1113,Lookups!$B$7:$B$11,Lookups!$C$7:$C$11,"Unknown")</f>
        <v/>
      </c>
      <c r="T1113" s="31">
        <f>XLOOKUP(G1113,Lookups!$E$7:$E$11,Lookups!$F$7:$F$11,0)</f>
        <v/>
      </c>
      <c r="U1113" s="32">
        <f>R1113-T1113</f>
        <v/>
      </c>
      <c r="V1113">
        <f>XLOOKUP(I1113,Lookups!$H$7:$H$10,Lookups!$I$7:$I$10,"")</f>
        <v/>
      </c>
      <c r="W1113">
        <f>IF(O1113&gt;=50000,"HIGH VALUE","")</f>
        <v/>
      </c>
      <c r="X1113">
        <f>IF(Q1113&lt;0,"LOSS","")</f>
        <v/>
      </c>
      <c r="Y1113">
        <f>IFS(M1113&gt;=0.15,"Deep Discount",M1113&gt;=0.1,"Moderate",TRUE,"Standard")</f>
        <v/>
      </c>
    </row>
    <row r="1114">
      <c r="A1114">
        <f>Raw_Data!A1114</f>
        <v/>
      </c>
      <c r="B1114" s="29">
        <f>Raw_Data!B1114</f>
        <v/>
      </c>
      <c r="C1114">
        <f>YEAR(B1114)</f>
        <v/>
      </c>
      <c r="D1114">
        <f>MONTH(B1114)</f>
        <v/>
      </c>
      <c r="E1114">
        <f>TEXT(B1114,"MMM-YYYY")</f>
        <v/>
      </c>
      <c r="F1114">
        <f>Raw_Data!C1114</f>
        <v/>
      </c>
      <c r="G1114">
        <f>Raw_Data!D1114</f>
        <v/>
      </c>
      <c r="H1114">
        <f>Raw_Data!E1114</f>
        <v/>
      </c>
      <c r="I1114">
        <f>Raw_Data!F1114</f>
        <v/>
      </c>
      <c r="J1114">
        <f>Raw_Data!G1114</f>
        <v/>
      </c>
      <c r="K1114">
        <f>Raw_Data!H1114</f>
        <v/>
      </c>
      <c r="L1114" s="30">
        <f>Raw_Data!I1114</f>
        <v/>
      </c>
      <c r="M1114" s="31">
        <f>Raw_Data!J1114</f>
        <v/>
      </c>
      <c r="N1114" s="17">
        <f>K1114*L1114</f>
        <v/>
      </c>
      <c r="O1114" s="17">
        <f>N1114*(1-M1114)</f>
        <v/>
      </c>
      <c r="P1114" s="17">
        <f>Raw_Data!L1114</f>
        <v/>
      </c>
      <c r="Q1114" s="17">
        <f>O1114-P1114</f>
        <v/>
      </c>
      <c r="R1114" s="31">
        <f>IF(O1114=0,0,Q1114/O1114)</f>
        <v/>
      </c>
      <c r="S1114">
        <f>XLOOKUP(F1114,Lookups!$B$7:$B$11,Lookups!$C$7:$C$11,"Unknown")</f>
        <v/>
      </c>
      <c r="T1114" s="31">
        <f>XLOOKUP(G1114,Lookups!$E$7:$E$11,Lookups!$F$7:$F$11,0)</f>
        <v/>
      </c>
      <c r="U1114" s="32">
        <f>R1114-T1114</f>
        <v/>
      </c>
      <c r="V1114">
        <f>XLOOKUP(I1114,Lookups!$H$7:$H$10,Lookups!$I$7:$I$10,"")</f>
        <v/>
      </c>
      <c r="W1114">
        <f>IF(O1114&gt;=50000,"HIGH VALUE","")</f>
        <v/>
      </c>
      <c r="X1114">
        <f>IF(Q1114&lt;0,"LOSS","")</f>
        <v/>
      </c>
      <c r="Y1114">
        <f>IFS(M1114&gt;=0.15,"Deep Discount",M1114&gt;=0.1,"Moderate",TRUE,"Standard")</f>
        <v/>
      </c>
    </row>
    <row r="1115">
      <c r="A1115">
        <f>Raw_Data!A1115</f>
        <v/>
      </c>
      <c r="B1115" s="29">
        <f>Raw_Data!B1115</f>
        <v/>
      </c>
      <c r="C1115">
        <f>YEAR(B1115)</f>
        <v/>
      </c>
      <c r="D1115">
        <f>MONTH(B1115)</f>
        <v/>
      </c>
      <c r="E1115">
        <f>TEXT(B1115,"MMM-YYYY")</f>
        <v/>
      </c>
      <c r="F1115">
        <f>Raw_Data!C1115</f>
        <v/>
      </c>
      <c r="G1115">
        <f>Raw_Data!D1115</f>
        <v/>
      </c>
      <c r="H1115">
        <f>Raw_Data!E1115</f>
        <v/>
      </c>
      <c r="I1115">
        <f>Raw_Data!F1115</f>
        <v/>
      </c>
      <c r="J1115">
        <f>Raw_Data!G1115</f>
        <v/>
      </c>
      <c r="K1115">
        <f>Raw_Data!H1115</f>
        <v/>
      </c>
      <c r="L1115" s="30">
        <f>Raw_Data!I1115</f>
        <v/>
      </c>
      <c r="M1115" s="31">
        <f>Raw_Data!J1115</f>
        <v/>
      </c>
      <c r="N1115" s="17">
        <f>K1115*L1115</f>
        <v/>
      </c>
      <c r="O1115" s="17">
        <f>N1115*(1-M1115)</f>
        <v/>
      </c>
      <c r="P1115" s="17">
        <f>Raw_Data!L1115</f>
        <v/>
      </c>
      <c r="Q1115" s="17">
        <f>O1115-P1115</f>
        <v/>
      </c>
      <c r="R1115" s="31">
        <f>IF(O1115=0,0,Q1115/O1115)</f>
        <v/>
      </c>
      <c r="S1115">
        <f>XLOOKUP(F1115,Lookups!$B$7:$B$11,Lookups!$C$7:$C$11,"Unknown")</f>
        <v/>
      </c>
      <c r="T1115" s="31">
        <f>XLOOKUP(G1115,Lookups!$E$7:$E$11,Lookups!$F$7:$F$11,0)</f>
        <v/>
      </c>
      <c r="U1115" s="32">
        <f>R1115-T1115</f>
        <v/>
      </c>
      <c r="V1115">
        <f>XLOOKUP(I1115,Lookups!$H$7:$H$10,Lookups!$I$7:$I$10,"")</f>
        <v/>
      </c>
      <c r="W1115">
        <f>IF(O1115&gt;=50000,"HIGH VALUE","")</f>
        <v/>
      </c>
      <c r="X1115">
        <f>IF(Q1115&lt;0,"LOSS","")</f>
        <v/>
      </c>
      <c r="Y1115">
        <f>IFS(M1115&gt;=0.15,"Deep Discount",M1115&gt;=0.1,"Moderate",TRUE,"Standard")</f>
        <v/>
      </c>
    </row>
    <row r="1116">
      <c r="A1116">
        <f>Raw_Data!A1116</f>
        <v/>
      </c>
      <c r="B1116" s="29">
        <f>Raw_Data!B1116</f>
        <v/>
      </c>
      <c r="C1116">
        <f>YEAR(B1116)</f>
        <v/>
      </c>
      <c r="D1116">
        <f>MONTH(B1116)</f>
        <v/>
      </c>
      <c r="E1116">
        <f>TEXT(B1116,"MMM-YYYY")</f>
        <v/>
      </c>
      <c r="F1116">
        <f>Raw_Data!C1116</f>
        <v/>
      </c>
      <c r="G1116">
        <f>Raw_Data!D1116</f>
        <v/>
      </c>
      <c r="H1116">
        <f>Raw_Data!E1116</f>
        <v/>
      </c>
      <c r="I1116">
        <f>Raw_Data!F1116</f>
        <v/>
      </c>
      <c r="J1116">
        <f>Raw_Data!G1116</f>
        <v/>
      </c>
      <c r="K1116">
        <f>Raw_Data!H1116</f>
        <v/>
      </c>
      <c r="L1116" s="30">
        <f>Raw_Data!I1116</f>
        <v/>
      </c>
      <c r="M1116" s="31">
        <f>Raw_Data!J1116</f>
        <v/>
      </c>
      <c r="N1116" s="17">
        <f>K1116*L1116</f>
        <v/>
      </c>
      <c r="O1116" s="17">
        <f>N1116*(1-M1116)</f>
        <v/>
      </c>
      <c r="P1116" s="17">
        <f>Raw_Data!L1116</f>
        <v/>
      </c>
      <c r="Q1116" s="17">
        <f>O1116-P1116</f>
        <v/>
      </c>
      <c r="R1116" s="31">
        <f>IF(O1116=0,0,Q1116/O1116)</f>
        <v/>
      </c>
      <c r="S1116">
        <f>XLOOKUP(F1116,Lookups!$B$7:$B$11,Lookups!$C$7:$C$11,"Unknown")</f>
        <v/>
      </c>
      <c r="T1116" s="31">
        <f>XLOOKUP(G1116,Lookups!$E$7:$E$11,Lookups!$F$7:$F$11,0)</f>
        <v/>
      </c>
      <c r="U1116" s="32">
        <f>R1116-T1116</f>
        <v/>
      </c>
      <c r="V1116">
        <f>XLOOKUP(I1116,Lookups!$H$7:$H$10,Lookups!$I$7:$I$10,"")</f>
        <v/>
      </c>
      <c r="W1116">
        <f>IF(O1116&gt;=50000,"HIGH VALUE","")</f>
        <v/>
      </c>
      <c r="X1116">
        <f>IF(Q1116&lt;0,"LOSS","")</f>
        <v/>
      </c>
      <c r="Y1116">
        <f>IFS(M1116&gt;=0.15,"Deep Discount",M1116&gt;=0.1,"Moderate",TRUE,"Standard")</f>
        <v/>
      </c>
    </row>
    <row r="1117">
      <c r="A1117">
        <f>Raw_Data!A1117</f>
        <v/>
      </c>
      <c r="B1117" s="29">
        <f>Raw_Data!B1117</f>
        <v/>
      </c>
      <c r="C1117">
        <f>YEAR(B1117)</f>
        <v/>
      </c>
      <c r="D1117">
        <f>MONTH(B1117)</f>
        <v/>
      </c>
      <c r="E1117">
        <f>TEXT(B1117,"MMM-YYYY")</f>
        <v/>
      </c>
      <c r="F1117">
        <f>Raw_Data!C1117</f>
        <v/>
      </c>
      <c r="G1117">
        <f>Raw_Data!D1117</f>
        <v/>
      </c>
      <c r="H1117">
        <f>Raw_Data!E1117</f>
        <v/>
      </c>
      <c r="I1117">
        <f>Raw_Data!F1117</f>
        <v/>
      </c>
      <c r="J1117">
        <f>Raw_Data!G1117</f>
        <v/>
      </c>
      <c r="K1117">
        <f>Raw_Data!H1117</f>
        <v/>
      </c>
      <c r="L1117" s="30">
        <f>Raw_Data!I1117</f>
        <v/>
      </c>
      <c r="M1117" s="31">
        <f>Raw_Data!J1117</f>
        <v/>
      </c>
      <c r="N1117" s="17">
        <f>K1117*L1117</f>
        <v/>
      </c>
      <c r="O1117" s="17">
        <f>N1117*(1-M1117)</f>
        <v/>
      </c>
      <c r="P1117" s="17">
        <f>Raw_Data!L1117</f>
        <v/>
      </c>
      <c r="Q1117" s="17">
        <f>O1117-P1117</f>
        <v/>
      </c>
      <c r="R1117" s="31">
        <f>IF(O1117=0,0,Q1117/O1117)</f>
        <v/>
      </c>
      <c r="S1117">
        <f>XLOOKUP(F1117,Lookups!$B$7:$B$11,Lookups!$C$7:$C$11,"Unknown")</f>
        <v/>
      </c>
      <c r="T1117" s="31">
        <f>XLOOKUP(G1117,Lookups!$E$7:$E$11,Lookups!$F$7:$F$11,0)</f>
        <v/>
      </c>
      <c r="U1117" s="32">
        <f>R1117-T1117</f>
        <v/>
      </c>
      <c r="V1117">
        <f>XLOOKUP(I1117,Lookups!$H$7:$H$10,Lookups!$I$7:$I$10,"")</f>
        <v/>
      </c>
      <c r="W1117">
        <f>IF(O1117&gt;=50000,"HIGH VALUE","")</f>
        <v/>
      </c>
      <c r="X1117">
        <f>IF(Q1117&lt;0,"LOSS","")</f>
        <v/>
      </c>
      <c r="Y1117">
        <f>IFS(M1117&gt;=0.15,"Deep Discount",M1117&gt;=0.1,"Moderate",TRUE,"Standard")</f>
        <v/>
      </c>
    </row>
    <row r="1118">
      <c r="A1118">
        <f>Raw_Data!A1118</f>
        <v/>
      </c>
      <c r="B1118" s="29">
        <f>Raw_Data!B1118</f>
        <v/>
      </c>
      <c r="C1118">
        <f>YEAR(B1118)</f>
        <v/>
      </c>
      <c r="D1118">
        <f>MONTH(B1118)</f>
        <v/>
      </c>
      <c r="E1118">
        <f>TEXT(B1118,"MMM-YYYY")</f>
        <v/>
      </c>
      <c r="F1118">
        <f>Raw_Data!C1118</f>
        <v/>
      </c>
      <c r="G1118">
        <f>Raw_Data!D1118</f>
        <v/>
      </c>
      <c r="H1118">
        <f>Raw_Data!E1118</f>
        <v/>
      </c>
      <c r="I1118">
        <f>Raw_Data!F1118</f>
        <v/>
      </c>
      <c r="J1118">
        <f>Raw_Data!G1118</f>
        <v/>
      </c>
      <c r="K1118">
        <f>Raw_Data!H1118</f>
        <v/>
      </c>
      <c r="L1118" s="30">
        <f>Raw_Data!I1118</f>
        <v/>
      </c>
      <c r="M1118" s="31">
        <f>Raw_Data!J1118</f>
        <v/>
      </c>
      <c r="N1118" s="17">
        <f>K1118*L1118</f>
        <v/>
      </c>
      <c r="O1118" s="17">
        <f>N1118*(1-M1118)</f>
        <v/>
      </c>
      <c r="P1118" s="17">
        <f>Raw_Data!L1118</f>
        <v/>
      </c>
      <c r="Q1118" s="17">
        <f>O1118-P1118</f>
        <v/>
      </c>
      <c r="R1118" s="31">
        <f>IF(O1118=0,0,Q1118/O1118)</f>
        <v/>
      </c>
      <c r="S1118">
        <f>XLOOKUP(F1118,Lookups!$B$7:$B$11,Lookups!$C$7:$C$11,"Unknown")</f>
        <v/>
      </c>
      <c r="T1118" s="31">
        <f>XLOOKUP(G1118,Lookups!$E$7:$E$11,Lookups!$F$7:$F$11,0)</f>
        <v/>
      </c>
      <c r="U1118" s="32">
        <f>R1118-T1118</f>
        <v/>
      </c>
      <c r="V1118">
        <f>XLOOKUP(I1118,Lookups!$H$7:$H$10,Lookups!$I$7:$I$10,"")</f>
        <v/>
      </c>
      <c r="W1118">
        <f>IF(O1118&gt;=50000,"HIGH VALUE","")</f>
        <v/>
      </c>
      <c r="X1118">
        <f>IF(Q1118&lt;0,"LOSS","")</f>
        <v/>
      </c>
      <c r="Y1118">
        <f>IFS(M1118&gt;=0.15,"Deep Discount",M1118&gt;=0.1,"Moderate",TRUE,"Standard")</f>
        <v/>
      </c>
    </row>
    <row r="1119">
      <c r="A1119">
        <f>Raw_Data!A1119</f>
        <v/>
      </c>
      <c r="B1119" s="29">
        <f>Raw_Data!B1119</f>
        <v/>
      </c>
      <c r="C1119">
        <f>YEAR(B1119)</f>
        <v/>
      </c>
      <c r="D1119">
        <f>MONTH(B1119)</f>
        <v/>
      </c>
      <c r="E1119">
        <f>TEXT(B1119,"MMM-YYYY")</f>
        <v/>
      </c>
      <c r="F1119">
        <f>Raw_Data!C1119</f>
        <v/>
      </c>
      <c r="G1119">
        <f>Raw_Data!D1119</f>
        <v/>
      </c>
      <c r="H1119">
        <f>Raw_Data!E1119</f>
        <v/>
      </c>
      <c r="I1119">
        <f>Raw_Data!F1119</f>
        <v/>
      </c>
      <c r="J1119">
        <f>Raw_Data!G1119</f>
        <v/>
      </c>
      <c r="K1119">
        <f>Raw_Data!H1119</f>
        <v/>
      </c>
      <c r="L1119" s="30">
        <f>Raw_Data!I1119</f>
        <v/>
      </c>
      <c r="M1119" s="31">
        <f>Raw_Data!J1119</f>
        <v/>
      </c>
      <c r="N1119" s="17">
        <f>K1119*L1119</f>
        <v/>
      </c>
      <c r="O1119" s="17">
        <f>N1119*(1-M1119)</f>
        <v/>
      </c>
      <c r="P1119" s="17">
        <f>Raw_Data!L1119</f>
        <v/>
      </c>
      <c r="Q1119" s="17">
        <f>O1119-P1119</f>
        <v/>
      </c>
      <c r="R1119" s="31">
        <f>IF(O1119=0,0,Q1119/O1119)</f>
        <v/>
      </c>
      <c r="S1119">
        <f>XLOOKUP(F1119,Lookups!$B$7:$B$11,Lookups!$C$7:$C$11,"Unknown")</f>
        <v/>
      </c>
      <c r="T1119" s="31">
        <f>XLOOKUP(G1119,Lookups!$E$7:$E$11,Lookups!$F$7:$F$11,0)</f>
        <v/>
      </c>
      <c r="U1119" s="32">
        <f>R1119-T1119</f>
        <v/>
      </c>
      <c r="V1119">
        <f>XLOOKUP(I1119,Lookups!$H$7:$H$10,Lookups!$I$7:$I$10,"")</f>
        <v/>
      </c>
      <c r="W1119">
        <f>IF(O1119&gt;=50000,"HIGH VALUE","")</f>
        <v/>
      </c>
      <c r="X1119">
        <f>IF(Q1119&lt;0,"LOSS","")</f>
        <v/>
      </c>
      <c r="Y1119">
        <f>IFS(M1119&gt;=0.15,"Deep Discount",M1119&gt;=0.1,"Moderate",TRUE,"Standard")</f>
        <v/>
      </c>
    </row>
    <row r="1120">
      <c r="A1120">
        <f>Raw_Data!A1120</f>
        <v/>
      </c>
      <c r="B1120" s="29">
        <f>Raw_Data!B1120</f>
        <v/>
      </c>
      <c r="C1120">
        <f>YEAR(B1120)</f>
        <v/>
      </c>
      <c r="D1120">
        <f>MONTH(B1120)</f>
        <v/>
      </c>
      <c r="E1120">
        <f>TEXT(B1120,"MMM-YYYY")</f>
        <v/>
      </c>
      <c r="F1120">
        <f>Raw_Data!C1120</f>
        <v/>
      </c>
      <c r="G1120">
        <f>Raw_Data!D1120</f>
        <v/>
      </c>
      <c r="H1120">
        <f>Raw_Data!E1120</f>
        <v/>
      </c>
      <c r="I1120">
        <f>Raw_Data!F1120</f>
        <v/>
      </c>
      <c r="J1120">
        <f>Raw_Data!G1120</f>
        <v/>
      </c>
      <c r="K1120">
        <f>Raw_Data!H1120</f>
        <v/>
      </c>
      <c r="L1120" s="30">
        <f>Raw_Data!I1120</f>
        <v/>
      </c>
      <c r="M1120" s="31">
        <f>Raw_Data!J1120</f>
        <v/>
      </c>
      <c r="N1120" s="17">
        <f>K1120*L1120</f>
        <v/>
      </c>
      <c r="O1120" s="17">
        <f>N1120*(1-M1120)</f>
        <v/>
      </c>
      <c r="P1120" s="17">
        <f>Raw_Data!L1120</f>
        <v/>
      </c>
      <c r="Q1120" s="17">
        <f>O1120-P1120</f>
        <v/>
      </c>
      <c r="R1120" s="31">
        <f>IF(O1120=0,0,Q1120/O1120)</f>
        <v/>
      </c>
      <c r="S1120">
        <f>XLOOKUP(F1120,Lookups!$B$7:$B$11,Lookups!$C$7:$C$11,"Unknown")</f>
        <v/>
      </c>
      <c r="T1120" s="31">
        <f>XLOOKUP(G1120,Lookups!$E$7:$E$11,Lookups!$F$7:$F$11,0)</f>
        <v/>
      </c>
      <c r="U1120" s="32">
        <f>R1120-T1120</f>
        <v/>
      </c>
      <c r="V1120">
        <f>XLOOKUP(I1120,Lookups!$H$7:$H$10,Lookups!$I$7:$I$10,"")</f>
        <v/>
      </c>
      <c r="W1120">
        <f>IF(O1120&gt;=50000,"HIGH VALUE","")</f>
        <v/>
      </c>
      <c r="X1120">
        <f>IF(Q1120&lt;0,"LOSS","")</f>
        <v/>
      </c>
      <c r="Y1120">
        <f>IFS(M1120&gt;=0.15,"Deep Discount",M1120&gt;=0.1,"Moderate",TRUE,"Standard")</f>
        <v/>
      </c>
    </row>
    <row r="1121">
      <c r="A1121">
        <f>Raw_Data!A1121</f>
        <v/>
      </c>
      <c r="B1121" s="29">
        <f>Raw_Data!B1121</f>
        <v/>
      </c>
      <c r="C1121">
        <f>YEAR(B1121)</f>
        <v/>
      </c>
      <c r="D1121">
        <f>MONTH(B1121)</f>
        <v/>
      </c>
      <c r="E1121">
        <f>TEXT(B1121,"MMM-YYYY")</f>
        <v/>
      </c>
      <c r="F1121">
        <f>Raw_Data!C1121</f>
        <v/>
      </c>
      <c r="G1121">
        <f>Raw_Data!D1121</f>
        <v/>
      </c>
      <c r="H1121">
        <f>Raw_Data!E1121</f>
        <v/>
      </c>
      <c r="I1121">
        <f>Raw_Data!F1121</f>
        <v/>
      </c>
      <c r="J1121">
        <f>Raw_Data!G1121</f>
        <v/>
      </c>
      <c r="K1121">
        <f>Raw_Data!H1121</f>
        <v/>
      </c>
      <c r="L1121" s="30">
        <f>Raw_Data!I1121</f>
        <v/>
      </c>
      <c r="M1121" s="31">
        <f>Raw_Data!J1121</f>
        <v/>
      </c>
      <c r="N1121" s="17">
        <f>K1121*L1121</f>
        <v/>
      </c>
      <c r="O1121" s="17">
        <f>N1121*(1-M1121)</f>
        <v/>
      </c>
      <c r="P1121" s="17">
        <f>Raw_Data!L1121</f>
        <v/>
      </c>
      <c r="Q1121" s="17">
        <f>O1121-P1121</f>
        <v/>
      </c>
      <c r="R1121" s="31">
        <f>IF(O1121=0,0,Q1121/O1121)</f>
        <v/>
      </c>
      <c r="S1121">
        <f>XLOOKUP(F1121,Lookups!$B$7:$B$11,Lookups!$C$7:$C$11,"Unknown")</f>
        <v/>
      </c>
      <c r="T1121" s="31">
        <f>XLOOKUP(G1121,Lookups!$E$7:$E$11,Lookups!$F$7:$F$11,0)</f>
        <v/>
      </c>
      <c r="U1121" s="32">
        <f>R1121-T1121</f>
        <v/>
      </c>
      <c r="V1121">
        <f>XLOOKUP(I1121,Lookups!$H$7:$H$10,Lookups!$I$7:$I$10,"")</f>
        <v/>
      </c>
      <c r="W1121">
        <f>IF(O1121&gt;=50000,"HIGH VALUE","")</f>
        <v/>
      </c>
      <c r="X1121">
        <f>IF(Q1121&lt;0,"LOSS","")</f>
        <v/>
      </c>
      <c r="Y1121">
        <f>IFS(M1121&gt;=0.15,"Deep Discount",M1121&gt;=0.1,"Moderate",TRUE,"Standard")</f>
        <v/>
      </c>
    </row>
    <row r="1122">
      <c r="A1122">
        <f>Raw_Data!A1122</f>
        <v/>
      </c>
      <c r="B1122" s="29">
        <f>Raw_Data!B1122</f>
        <v/>
      </c>
      <c r="C1122">
        <f>YEAR(B1122)</f>
        <v/>
      </c>
      <c r="D1122">
        <f>MONTH(B1122)</f>
        <v/>
      </c>
      <c r="E1122">
        <f>TEXT(B1122,"MMM-YYYY")</f>
        <v/>
      </c>
      <c r="F1122">
        <f>Raw_Data!C1122</f>
        <v/>
      </c>
      <c r="G1122">
        <f>Raw_Data!D1122</f>
        <v/>
      </c>
      <c r="H1122">
        <f>Raw_Data!E1122</f>
        <v/>
      </c>
      <c r="I1122">
        <f>Raw_Data!F1122</f>
        <v/>
      </c>
      <c r="J1122">
        <f>Raw_Data!G1122</f>
        <v/>
      </c>
      <c r="K1122">
        <f>Raw_Data!H1122</f>
        <v/>
      </c>
      <c r="L1122" s="30">
        <f>Raw_Data!I1122</f>
        <v/>
      </c>
      <c r="M1122" s="31">
        <f>Raw_Data!J1122</f>
        <v/>
      </c>
      <c r="N1122" s="17">
        <f>K1122*L1122</f>
        <v/>
      </c>
      <c r="O1122" s="17">
        <f>N1122*(1-M1122)</f>
        <v/>
      </c>
      <c r="P1122" s="17">
        <f>Raw_Data!L1122</f>
        <v/>
      </c>
      <c r="Q1122" s="17">
        <f>O1122-P1122</f>
        <v/>
      </c>
      <c r="R1122" s="31">
        <f>IF(O1122=0,0,Q1122/O1122)</f>
        <v/>
      </c>
      <c r="S1122">
        <f>XLOOKUP(F1122,Lookups!$B$7:$B$11,Lookups!$C$7:$C$11,"Unknown")</f>
        <v/>
      </c>
      <c r="T1122" s="31">
        <f>XLOOKUP(G1122,Lookups!$E$7:$E$11,Lookups!$F$7:$F$11,0)</f>
        <v/>
      </c>
      <c r="U1122" s="32">
        <f>R1122-T1122</f>
        <v/>
      </c>
      <c r="V1122">
        <f>XLOOKUP(I1122,Lookups!$H$7:$H$10,Lookups!$I$7:$I$10,"")</f>
        <v/>
      </c>
      <c r="W1122">
        <f>IF(O1122&gt;=50000,"HIGH VALUE","")</f>
        <v/>
      </c>
      <c r="X1122">
        <f>IF(Q1122&lt;0,"LOSS","")</f>
        <v/>
      </c>
      <c r="Y1122">
        <f>IFS(M1122&gt;=0.15,"Deep Discount",M1122&gt;=0.1,"Moderate",TRUE,"Standard")</f>
        <v/>
      </c>
    </row>
    <row r="1123">
      <c r="A1123">
        <f>Raw_Data!A1123</f>
        <v/>
      </c>
      <c r="B1123" s="29">
        <f>Raw_Data!B1123</f>
        <v/>
      </c>
      <c r="C1123">
        <f>YEAR(B1123)</f>
        <v/>
      </c>
      <c r="D1123">
        <f>MONTH(B1123)</f>
        <v/>
      </c>
      <c r="E1123">
        <f>TEXT(B1123,"MMM-YYYY")</f>
        <v/>
      </c>
      <c r="F1123">
        <f>Raw_Data!C1123</f>
        <v/>
      </c>
      <c r="G1123">
        <f>Raw_Data!D1123</f>
        <v/>
      </c>
      <c r="H1123">
        <f>Raw_Data!E1123</f>
        <v/>
      </c>
      <c r="I1123">
        <f>Raw_Data!F1123</f>
        <v/>
      </c>
      <c r="J1123">
        <f>Raw_Data!G1123</f>
        <v/>
      </c>
      <c r="K1123">
        <f>Raw_Data!H1123</f>
        <v/>
      </c>
      <c r="L1123" s="30">
        <f>Raw_Data!I1123</f>
        <v/>
      </c>
      <c r="M1123" s="31">
        <f>Raw_Data!J1123</f>
        <v/>
      </c>
      <c r="N1123" s="17">
        <f>K1123*L1123</f>
        <v/>
      </c>
      <c r="O1123" s="17">
        <f>N1123*(1-M1123)</f>
        <v/>
      </c>
      <c r="P1123" s="17">
        <f>Raw_Data!L1123</f>
        <v/>
      </c>
      <c r="Q1123" s="17">
        <f>O1123-P1123</f>
        <v/>
      </c>
      <c r="R1123" s="31">
        <f>IF(O1123=0,0,Q1123/O1123)</f>
        <v/>
      </c>
      <c r="S1123">
        <f>XLOOKUP(F1123,Lookups!$B$7:$B$11,Lookups!$C$7:$C$11,"Unknown")</f>
        <v/>
      </c>
      <c r="T1123" s="31">
        <f>XLOOKUP(G1123,Lookups!$E$7:$E$11,Lookups!$F$7:$F$11,0)</f>
        <v/>
      </c>
      <c r="U1123" s="32">
        <f>R1123-T1123</f>
        <v/>
      </c>
      <c r="V1123">
        <f>XLOOKUP(I1123,Lookups!$H$7:$H$10,Lookups!$I$7:$I$10,"")</f>
        <v/>
      </c>
      <c r="W1123">
        <f>IF(O1123&gt;=50000,"HIGH VALUE","")</f>
        <v/>
      </c>
      <c r="X1123">
        <f>IF(Q1123&lt;0,"LOSS","")</f>
        <v/>
      </c>
      <c r="Y1123">
        <f>IFS(M1123&gt;=0.15,"Deep Discount",M1123&gt;=0.1,"Moderate",TRUE,"Standard")</f>
        <v/>
      </c>
    </row>
    <row r="1124">
      <c r="A1124">
        <f>Raw_Data!A1124</f>
        <v/>
      </c>
      <c r="B1124" s="29">
        <f>Raw_Data!B1124</f>
        <v/>
      </c>
      <c r="C1124">
        <f>YEAR(B1124)</f>
        <v/>
      </c>
      <c r="D1124">
        <f>MONTH(B1124)</f>
        <v/>
      </c>
      <c r="E1124">
        <f>TEXT(B1124,"MMM-YYYY")</f>
        <v/>
      </c>
      <c r="F1124">
        <f>Raw_Data!C1124</f>
        <v/>
      </c>
      <c r="G1124">
        <f>Raw_Data!D1124</f>
        <v/>
      </c>
      <c r="H1124">
        <f>Raw_Data!E1124</f>
        <v/>
      </c>
      <c r="I1124">
        <f>Raw_Data!F1124</f>
        <v/>
      </c>
      <c r="J1124">
        <f>Raw_Data!G1124</f>
        <v/>
      </c>
      <c r="K1124">
        <f>Raw_Data!H1124</f>
        <v/>
      </c>
      <c r="L1124" s="30">
        <f>Raw_Data!I1124</f>
        <v/>
      </c>
      <c r="M1124" s="31">
        <f>Raw_Data!J1124</f>
        <v/>
      </c>
      <c r="N1124" s="17">
        <f>K1124*L1124</f>
        <v/>
      </c>
      <c r="O1124" s="17">
        <f>N1124*(1-M1124)</f>
        <v/>
      </c>
      <c r="P1124" s="17">
        <f>Raw_Data!L1124</f>
        <v/>
      </c>
      <c r="Q1124" s="17">
        <f>O1124-P1124</f>
        <v/>
      </c>
      <c r="R1124" s="31">
        <f>IF(O1124=0,0,Q1124/O1124)</f>
        <v/>
      </c>
      <c r="S1124">
        <f>XLOOKUP(F1124,Lookups!$B$7:$B$11,Lookups!$C$7:$C$11,"Unknown")</f>
        <v/>
      </c>
      <c r="T1124" s="31">
        <f>XLOOKUP(G1124,Lookups!$E$7:$E$11,Lookups!$F$7:$F$11,0)</f>
        <v/>
      </c>
      <c r="U1124" s="32">
        <f>R1124-T1124</f>
        <v/>
      </c>
      <c r="V1124">
        <f>XLOOKUP(I1124,Lookups!$H$7:$H$10,Lookups!$I$7:$I$10,"")</f>
        <v/>
      </c>
      <c r="W1124">
        <f>IF(O1124&gt;=50000,"HIGH VALUE","")</f>
        <v/>
      </c>
      <c r="X1124">
        <f>IF(Q1124&lt;0,"LOSS","")</f>
        <v/>
      </c>
      <c r="Y1124">
        <f>IFS(M1124&gt;=0.15,"Deep Discount",M1124&gt;=0.1,"Moderate",TRUE,"Standard")</f>
        <v/>
      </c>
    </row>
    <row r="1125">
      <c r="A1125">
        <f>Raw_Data!A1125</f>
        <v/>
      </c>
      <c r="B1125" s="29">
        <f>Raw_Data!B1125</f>
        <v/>
      </c>
      <c r="C1125">
        <f>YEAR(B1125)</f>
        <v/>
      </c>
      <c r="D1125">
        <f>MONTH(B1125)</f>
        <v/>
      </c>
      <c r="E1125">
        <f>TEXT(B1125,"MMM-YYYY")</f>
        <v/>
      </c>
      <c r="F1125">
        <f>Raw_Data!C1125</f>
        <v/>
      </c>
      <c r="G1125">
        <f>Raw_Data!D1125</f>
        <v/>
      </c>
      <c r="H1125">
        <f>Raw_Data!E1125</f>
        <v/>
      </c>
      <c r="I1125">
        <f>Raw_Data!F1125</f>
        <v/>
      </c>
      <c r="J1125">
        <f>Raw_Data!G1125</f>
        <v/>
      </c>
      <c r="K1125">
        <f>Raw_Data!H1125</f>
        <v/>
      </c>
      <c r="L1125" s="30">
        <f>Raw_Data!I1125</f>
        <v/>
      </c>
      <c r="M1125" s="31">
        <f>Raw_Data!J1125</f>
        <v/>
      </c>
      <c r="N1125" s="17">
        <f>K1125*L1125</f>
        <v/>
      </c>
      <c r="O1125" s="17">
        <f>N1125*(1-M1125)</f>
        <v/>
      </c>
      <c r="P1125" s="17">
        <f>Raw_Data!L1125</f>
        <v/>
      </c>
      <c r="Q1125" s="17">
        <f>O1125-P1125</f>
        <v/>
      </c>
      <c r="R1125" s="31">
        <f>IF(O1125=0,0,Q1125/O1125)</f>
        <v/>
      </c>
      <c r="S1125">
        <f>XLOOKUP(F1125,Lookups!$B$7:$B$11,Lookups!$C$7:$C$11,"Unknown")</f>
        <v/>
      </c>
      <c r="T1125" s="31">
        <f>XLOOKUP(G1125,Lookups!$E$7:$E$11,Lookups!$F$7:$F$11,0)</f>
        <v/>
      </c>
      <c r="U1125" s="32">
        <f>R1125-T1125</f>
        <v/>
      </c>
      <c r="V1125">
        <f>XLOOKUP(I1125,Lookups!$H$7:$H$10,Lookups!$I$7:$I$10,"")</f>
        <v/>
      </c>
      <c r="W1125">
        <f>IF(O1125&gt;=50000,"HIGH VALUE","")</f>
        <v/>
      </c>
      <c r="X1125">
        <f>IF(Q1125&lt;0,"LOSS","")</f>
        <v/>
      </c>
      <c r="Y1125">
        <f>IFS(M1125&gt;=0.15,"Deep Discount",M1125&gt;=0.1,"Moderate",TRUE,"Standard")</f>
        <v/>
      </c>
    </row>
    <row r="1126">
      <c r="A1126">
        <f>Raw_Data!A1126</f>
        <v/>
      </c>
      <c r="B1126" s="29">
        <f>Raw_Data!B1126</f>
        <v/>
      </c>
      <c r="C1126">
        <f>YEAR(B1126)</f>
        <v/>
      </c>
      <c r="D1126">
        <f>MONTH(B1126)</f>
        <v/>
      </c>
      <c r="E1126">
        <f>TEXT(B1126,"MMM-YYYY")</f>
        <v/>
      </c>
      <c r="F1126">
        <f>Raw_Data!C1126</f>
        <v/>
      </c>
      <c r="G1126">
        <f>Raw_Data!D1126</f>
        <v/>
      </c>
      <c r="H1126">
        <f>Raw_Data!E1126</f>
        <v/>
      </c>
      <c r="I1126">
        <f>Raw_Data!F1126</f>
        <v/>
      </c>
      <c r="J1126">
        <f>Raw_Data!G1126</f>
        <v/>
      </c>
      <c r="K1126">
        <f>Raw_Data!H1126</f>
        <v/>
      </c>
      <c r="L1126" s="30">
        <f>Raw_Data!I1126</f>
        <v/>
      </c>
      <c r="M1126" s="31">
        <f>Raw_Data!J1126</f>
        <v/>
      </c>
      <c r="N1126" s="17">
        <f>K1126*L1126</f>
        <v/>
      </c>
      <c r="O1126" s="17">
        <f>N1126*(1-M1126)</f>
        <v/>
      </c>
      <c r="P1126" s="17">
        <f>Raw_Data!L1126</f>
        <v/>
      </c>
      <c r="Q1126" s="17">
        <f>O1126-P1126</f>
        <v/>
      </c>
      <c r="R1126" s="31">
        <f>IF(O1126=0,0,Q1126/O1126)</f>
        <v/>
      </c>
      <c r="S1126">
        <f>XLOOKUP(F1126,Lookups!$B$7:$B$11,Lookups!$C$7:$C$11,"Unknown")</f>
        <v/>
      </c>
      <c r="T1126" s="31">
        <f>XLOOKUP(G1126,Lookups!$E$7:$E$11,Lookups!$F$7:$F$11,0)</f>
        <v/>
      </c>
      <c r="U1126" s="32">
        <f>R1126-T1126</f>
        <v/>
      </c>
      <c r="V1126">
        <f>XLOOKUP(I1126,Lookups!$H$7:$H$10,Lookups!$I$7:$I$10,"")</f>
        <v/>
      </c>
      <c r="W1126">
        <f>IF(O1126&gt;=50000,"HIGH VALUE","")</f>
        <v/>
      </c>
      <c r="X1126">
        <f>IF(Q1126&lt;0,"LOSS","")</f>
        <v/>
      </c>
      <c r="Y1126">
        <f>IFS(M1126&gt;=0.15,"Deep Discount",M1126&gt;=0.1,"Moderate",TRUE,"Standard")</f>
        <v/>
      </c>
    </row>
    <row r="1127">
      <c r="A1127">
        <f>Raw_Data!A1127</f>
        <v/>
      </c>
      <c r="B1127" s="29">
        <f>Raw_Data!B1127</f>
        <v/>
      </c>
      <c r="C1127">
        <f>YEAR(B1127)</f>
        <v/>
      </c>
      <c r="D1127">
        <f>MONTH(B1127)</f>
        <v/>
      </c>
      <c r="E1127">
        <f>TEXT(B1127,"MMM-YYYY")</f>
        <v/>
      </c>
      <c r="F1127">
        <f>Raw_Data!C1127</f>
        <v/>
      </c>
      <c r="G1127">
        <f>Raw_Data!D1127</f>
        <v/>
      </c>
      <c r="H1127">
        <f>Raw_Data!E1127</f>
        <v/>
      </c>
      <c r="I1127">
        <f>Raw_Data!F1127</f>
        <v/>
      </c>
      <c r="J1127">
        <f>Raw_Data!G1127</f>
        <v/>
      </c>
      <c r="K1127">
        <f>Raw_Data!H1127</f>
        <v/>
      </c>
      <c r="L1127" s="30">
        <f>Raw_Data!I1127</f>
        <v/>
      </c>
      <c r="M1127" s="31">
        <f>Raw_Data!J1127</f>
        <v/>
      </c>
      <c r="N1127" s="17">
        <f>K1127*L1127</f>
        <v/>
      </c>
      <c r="O1127" s="17">
        <f>N1127*(1-M1127)</f>
        <v/>
      </c>
      <c r="P1127" s="17">
        <f>Raw_Data!L1127</f>
        <v/>
      </c>
      <c r="Q1127" s="17">
        <f>O1127-P1127</f>
        <v/>
      </c>
      <c r="R1127" s="31">
        <f>IF(O1127=0,0,Q1127/O1127)</f>
        <v/>
      </c>
      <c r="S1127">
        <f>XLOOKUP(F1127,Lookups!$B$7:$B$11,Lookups!$C$7:$C$11,"Unknown")</f>
        <v/>
      </c>
      <c r="T1127" s="31">
        <f>XLOOKUP(G1127,Lookups!$E$7:$E$11,Lookups!$F$7:$F$11,0)</f>
        <v/>
      </c>
      <c r="U1127" s="32">
        <f>R1127-T1127</f>
        <v/>
      </c>
      <c r="V1127">
        <f>XLOOKUP(I1127,Lookups!$H$7:$H$10,Lookups!$I$7:$I$10,"")</f>
        <v/>
      </c>
      <c r="W1127">
        <f>IF(O1127&gt;=50000,"HIGH VALUE","")</f>
        <v/>
      </c>
      <c r="X1127">
        <f>IF(Q1127&lt;0,"LOSS","")</f>
        <v/>
      </c>
      <c r="Y1127">
        <f>IFS(M1127&gt;=0.15,"Deep Discount",M1127&gt;=0.1,"Moderate",TRUE,"Standard")</f>
        <v/>
      </c>
    </row>
    <row r="1128">
      <c r="A1128">
        <f>Raw_Data!A1128</f>
        <v/>
      </c>
      <c r="B1128" s="29">
        <f>Raw_Data!B1128</f>
        <v/>
      </c>
      <c r="C1128">
        <f>YEAR(B1128)</f>
        <v/>
      </c>
      <c r="D1128">
        <f>MONTH(B1128)</f>
        <v/>
      </c>
      <c r="E1128">
        <f>TEXT(B1128,"MMM-YYYY")</f>
        <v/>
      </c>
      <c r="F1128">
        <f>Raw_Data!C1128</f>
        <v/>
      </c>
      <c r="G1128">
        <f>Raw_Data!D1128</f>
        <v/>
      </c>
      <c r="H1128">
        <f>Raw_Data!E1128</f>
        <v/>
      </c>
      <c r="I1128">
        <f>Raw_Data!F1128</f>
        <v/>
      </c>
      <c r="J1128">
        <f>Raw_Data!G1128</f>
        <v/>
      </c>
      <c r="K1128">
        <f>Raw_Data!H1128</f>
        <v/>
      </c>
      <c r="L1128" s="30">
        <f>Raw_Data!I1128</f>
        <v/>
      </c>
      <c r="M1128" s="31">
        <f>Raw_Data!J1128</f>
        <v/>
      </c>
      <c r="N1128" s="17">
        <f>K1128*L1128</f>
        <v/>
      </c>
      <c r="O1128" s="17">
        <f>N1128*(1-M1128)</f>
        <v/>
      </c>
      <c r="P1128" s="17">
        <f>Raw_Data!L1128</f>
        <v/>
      </c>
      <c r="Q1128" s="17">
        <f>O1128-P1128</f>
        <v/>
      </c>
      <c r="R1128" s="31">
        <f>IF(O1128=0,0,Q1128/O1128)</f>
        <v/>
      </c>
      <c r="S1128">
        <f>XLOOKUP(F1128,Lookups!$B$7:$B$11,Lookups!$C$7:$C$11,"Unknown")</f>
        <v/>
      </c>
      <c r="T1128" s="31">
        <f>XLOOKUP(G1128,Lookups!$E$7:$E$11,Lookups!$F$7:$F$11,0)</f>
        <v/>
      </c>
      <c r="U1128" s="32">
        <f>R1128-T1128</f>
        <v/>
      </c>
      <c r="V1128">
        <f>XLOOKUP(I1128,Lookups!$H$7:$H$10,Lookups!$I$7:$I$10,"")</f>
        <v/>
      </c>
      <c r="W1128">
        <f>IF(O1128&gt;=50000,"HIGH VALUE","")</f>
        <v/>
      </c>
      <c r="X1128">
        <f>IF(Q1128&lt;0,"LOSS","")</f>
        <v/>
      </c>
      <c r="Y1128">
        <f>IFS(M1128&gt;=0.15,"Deep Discount",M1128&gt;=0.1,"Moderate",TRUE,"Standard")</f>
        <v/>
      </c>
    </row>
    <row r="1129">
      <c r="A1129">
        <f>Raw_Data!A1129</f>
        <v/>
      </c>
      <c r="B1129" s="29">
        <f>Raw_Data!B1129</f>
        <v/>
      </c>
      <c r="C1129">
        <f>YEAR(B1129)</f>
        <v/>
      </c>
      <c r="D1129">
        <f>MONTH(B1129)</f>
        <v/>
      </c>
      <c r="E1129">
        <f>TEXT(B1129,"MMM-YYYY")</f>
        <v/>
      </c>
      <c r="F1129">
        <f>Raw_Data!C1129</f>
        <v/>
      </c>
      <c r="G1129">
        <f>Raw_Data!D1129</f>
        <v/>
      </c>
      <c r="H1129">
        <f>Raw_Data!E1129</f>
        <v/>
      </c>
      <c r="I1129">
        <f>Raw_Data!F1129</f>
        <v/>
      </c>
      <c r="J1129">
        <f>Raw_Data!G1129</f>
        <v/>
      </c>
      <c r="K1129">
        <f>Raw_Data!H1129</f>
        <v/>
      </c>
      <c r="L1129" s="30">
        <f>Raw_Data!I1129</f>
        <v/>
      </c>
      <c r="M1129" s="31">
        <f>Raw_Data!J1129</f>
        <v/>
      </c>
      <c r="N1129" s="17">
        <f>K1129*L1129</f>
        <v/>
      </c>
      <c r="O1129" s="17">
        <f>N1129*(1-M1129)</f>
        <v/>
      </c>
      <c r="P1129" s="17">
        <f>Raw_Data!L1129</f>
        <v/>
      </c>
      <c r="Q1129" s="17">
        <f>O1129-P1129</f>
        <v/>
      </c>
      <c r="R1129" s="31">
        <f>IF(O1129=0,0,Q1129/O1129)</f>
        <v/>
      </c>
      <c r="S1129">
        <f>XLOOKUP(F1129,Lookups!$B$7:$B$11,Lookups!$C$7:$C$11,"Unknown")</f>
        <v/>
      </c>
      <c r="T1129" s="31">
        <f>XLOOKUP(G1129,Lookups!$E$7:$E$11,Lookups!$F$7:$F$11,0)</f>
        <v/>
      </c>
      <c r="U1129" s="32">
        <f>R1129-T1129</f>
        <v/>
      </c>
      <c r="V1129">
        <f>XLOOKUP(I1129,Lookups!$H$7:$H$10,Lookups!$I$7:$I$10,"")</f>
        <v/>
      </c>
      <c r="W1129">
        <f>IF(O1129&gt;=50000,"HIGH VALUE","")</f>
        <v/>
      </c>
      <c r="X1129">
        <f>IF(Q1129&lt;0,"LOSS","")</f>
        <v/>
      </c>
      <c r="Y1129">
        <f>IFS(M1129&gt;=0.15,"Deep Discount",M1129&gt;=0.1,"Moderate",TRUE,"Standard")</f>
        <v/>
      </c>
    </row>
    <row r="1130">
      <c r="A1130">
        <f>Raw_Data!A1130</f>
        <v/>
      </c>
      <c r="B1130" s="29">
        <f>Raw_Data!B1130</f>
        <v/>
      </c>
      <c r="C1130">
        <f>YEAR(B1130)</f>
        <v/>
      </c>
      <c r="D1130">
        <f>MONTH(B1130)</f>
        <v/>
      </c>
      <c r="E1130">
        <f>TEXT(B1130,"MMM-YYYY")</f>
        <v/>
      </c>
      <c r="F1130">
        <f>Raw_Data!C1130</f>
        <v/>
      </c>
      <c r="G1130">
        <f>Raw_Data!D1130</f>
        <v/>
      </c>
      <c r="H1130">
        <f>Raw_Data!E1130</f>
        <v/>
      </c>
      <c r="I1130">
        <f>Raw_Data!F1130</f>
        <v/>
      </c>
      <c r="J1130">
        <f>Raw_Data!G1130</f>
        <v/>
      </c>
      <c r="K1130">
        <f>Raw_Data!H1130</f>
        <v/>
      </c>
      <c r="L1130" s="30">
        <f>Raw_Data!I1130</f>
        <v/>
      </c>
      <c r="M1130" s="31">
        <f>Raw_Data!J1130</f>
        <v/>
      </c>
      <c r="N1130" s="17">
        <f>K1130*L1130</f>
        <v/>
      </c>
      <c r="O1130" s="17">
        <f>N1130*(1-M1130)</f>
        <v/>
      </c>
      <c r="P1130" s="17">
        <f>Raw_Data!L1130</f>
        <v/>
      </c>
      <c r="Q1130" s="17">
        <f>O1130-P1130</f>
        <v/>
      </c>
      <c r="R1130" s="31">
        <f>IF(O1130=0,0,Q1130/O1130)</f>
        <v/>
      </c>
      <c r="S1130">
        <f>XLOOKUP(F1130,Lookups!$B$7:$B$11,Lookups!$C$7:$C$11,"Unknown")</f>
        <v/>
      </c>
      <c r="T1130" s="31">
        <f>XLOOKUP(G1130,Lookups!$E$7:$E$11,Lookups!$F$7:$F$11,0)</f>
        <v/>
      </c>
      <c r="U1130" s="32">
        <f>R1130-T1130</f>
        <v/>
      </c>
      <c r="V1130">
        <f>XLOOKUP(I1130,Lookups!$H$7:$H$10,Lookups!$I$7:$I$10,"")</f>
        <v/>
      </c>
      <c r="W1130">
        <f>IF(O1130&gt;=50000,"HIGH VALUE","")</f>
        <v/>
      </c>
      <c r="X1130">
        <f>IF(Q1130&lt;0,"LOSS","")</f>
        <v/>
      </c>
      <c r="Y1130">
        <f>IFS(M1130&gt;=0.15,"Deep Discount",M1130&gt;=0.1,"Moderate",TRUE,"Standard")</f>
        <v/>
      </c>
    </row>
    <row r="1131">
      <c r="A1131">
        <f>Raw_Data!A1131</f>
        <v/>
      </c>
      <c r="B1131" s="29">
        <f>Raw_Data!B1131</f>
        <v/>
      </c>
      <c r="C1131">
        <f>YEAR(B1131)</f>
        <v/>
      </c>
      <c r="D1131">
        <f>MONTH(B1131)</f>
        <v/>
      </c>
      <c r="E1131">
        <f>TEXT(B1131,"MMM-YYYY")</f>
        <v/>
      </c>
      <c r="F1131">
        <f>Raw_Data!C1131</f>
        <v/>
      </c>
      <c r="G1131">
        <f>Raw_Data!D1131</f>
        <v/>
      </c>
      <c r="H1131">
        <f>Raw_Data!E1131</f>
        <v/>
      </c>
      <c r="I1131">
        <f>Raw_Data!F1131</f>
        <v/>
      </c>
      <c r="J1131">
        <f>Raw_Data!G1131</f>
        <v/>
      </c>
      <c r="K1131">
        <f>Raw_Data!H1131</f>
        <v/>
      </c>
      <c r="L1131" s="30">
        <f>Raw_Data!I1131</f>
        <v/>
      </c>
      <c r="M1131" s="31">
        <f>Raw_Data!J1131</f>
        <v/>
      </c>
      <c r="N1131" s="17">
        <f>K1131*L1131</f>
        <v/>
      </c>
      <c r="O1131" s="17">
        <f>N1131*(1-M1131)</f>
        <v/>
      </c>
      <c r="P1131" s="17">
        <f>Raw_Data!L1131</f>
        <v/>
      </c>
      <c r="Q1131" s="17">
        <f>O1131-P1131</f>
        <v/>
      </c>
      <c r="R1131" s="31">
        <f>IF(O1131=0,0,Q1131/O1131)</f>
        <v/>
      </c>
      <c r="S1131">
        <f>XLOOKUP(F1131,Lookups!$B$7:$B$11,Lookups!$C$7:$C$11,"Unknown")</f>
        <v/>
      </c>
      <c r="T1131" s="31">
        <f>XLOOKUP(G1131,Lookups!$E$7:$E$11,Lookups!$F$7:$F$11,0)</f>
        <v/>
      </c>
      <c r="U1131" s="32">
        <f>R1131-T1131</f>
        <v/>
      </c>
      <c r="V1131">
        <f>XLOOKUP(I1131,Lookups!$H$7:$H$10,Lookups!$I$7:$I$10,"")</f>
        <v/>
      </c>
      <c r="W1131">
        <f>IF(O1131&gt;=50000,"HIGH VALUE","")</f>
        <v/>
      </c>
      <c r="X1131">
        <f>IF(Q1131&lt;0,"LOSS","")</f>
        <v/>
      </c>
      <c r="Y1131">
        <f>IFS(M1131&gt;=0.15,"Deep Discount",M1131&gt;=0.1,"Moderate",TRUE,"Standard")</f>
        <v/>
      </c>
    </row>
    <row r="1132">
      <c r="A1132">
        <f>Raw_Data!A1132</f>
        <v/>
      </c>
      <c r="B1132" s="29">
        <f>Raw_Data!B1132</f>
        <v/>
      </c>
      <c r="C1132">
        <f>YEAR(B1132)</f>
        <v/>
      </c>
      <c r="D1132">
        <f>MONTH(B1132)</f>
        <v/>
      </c>
      <c r="E1132">
        <f>TEXT(B1132,"MMM-YYYY")</f>
        <v/>
      </c>
      <c r="F1132">
        <f>Raw_Data!C1132</f>
        <v/>
      </c>
      <c r="G1132">
        <f>Raw_Data!D1132</f>
        <v/>
      </c>
      <c r="H1132">
        <f>Raw_Data!E1132</f>
        <v/>
      </c>
      <c r="I1132">
        <f>Raw_Data!F1132</f>
        <v/>
      </c>
      <c r="J1132">
        <f>Raw_Data!G1132</f>
        <v/>
      </c>
      <c r="K1132">
        <f>Raw_Data!H1132</f>
        <v/>
      </c>
      <c r="L1132" s="30">
        <f>Raw_Data!I1132</f>
        <v/>
      </c>
      <c r="M1132" s="31">
        <f>Raw_Data!J1132</f>
        <v/>
      </c>
      <c r="N1132" s="17">
        <f>K1132*L1132</f>
        <v/>
      </c>
      <c r="O1132" s="17">
        <f>N1132*(1-M1132)</f>
        <v/>
      </c>
      <c r="P1132" s="17">
        <f>Raw_Data!L1132</f>
        <v/>
      </c>
      <c r="Q1132" s="17">
        <f>O1132-P1132</f>
        <v/>
      </c>
      <c r="R1132" s="31">
        <f>IF(O1132=0,0,Q1132/O1132)</f>
        <v/>
      </c>
      <c r="S1132">
        <f>XLOOKUP(F1132,Lookups!$B$7:$B$11,Lookups!$C$7:$C$11,"Unknown")</f>
        <v/>
      </c>
      <c r="T1132" s="31">
        <f>XLOOKUP(G1132,Lookups!$E$7:$E$11,Lookups!$F$7:$F$11,0)</f>
        <v/>
      </c>
      <c r="U1132" s="32">
        <f>R1132-T1132</f>
        <v/>
      </c>
      <c r="V1132">
        <f>XLOOKUP(I1132,Lookups!$H$7:$H$10,Lookups!$I$7:$I$10,"")</f>
        <v/>
      </c>
      <c r="W1132">
        <f>IF(O1132&gt;=50000,"HIGH VALUE","")</f>
        <v/>
      </c>
      <c r="X1132">
        <f>IF(Q1132&lt;0,"LOSS","")</f>
        <v/>
      </c>
      <c r="Y1132">
        <f>IFS(M1132&gt;=0.15,"Deep Discount",M1132&gt;=0.1,"Moderate",TRUE,"Standard")</f>
        <v/>
      </c>
    </row>
    <row r="1133">
      <c r="A1133">
        <f>Raw_Data!A1133</f>
        <v/>
      </c>
      <c r="B1133" s="29">
        <f>Raw_Data!B1133</f>
        <v/>
      </c>
      <c r="C1133">
        <f>YEAR(B1133)</f>
        <v/>
      </c>
      <c r="D1133">
        <f>MONTH(B1133)</f>
        <v/>
      </c>
      <c r="E1133">
        <f>TEXT(B1133,"MMM-YYYY")</f>
        <v/>
      </c>
      <c r="F1133">
        <f>Raw_Data!C1133</f>
        <v/>
      </c>
      <c r="G1133">
        <f>Raw_Data!D1133</f>
        <v/>
      </c>
      <c r="H1133">
        <f>Raw_Data!E1133</f>
        <v/>
      </c>
      <c r="I1133">
        <f>Raw_Data!F1133</f>
        <v/>
      </c>
      <c r="J1133">
        <f>Raw_Data!G1133</f>
        <v/>
      </c>
      <c r="K1133">
        <f>Raw_Data!H1133</f>
        <v/>
      </c>
      <c r="L1133" s="30">
        <f>Raw_Data!I1133</f>
        <v/>
      </c>
      <c r="M1133" s="31">
        <f>Raw_Data!J1133</f>
        <v/>
      </c>
      <c r="N1133" s="17">
        <f>K1133*L1133</f>
        <v/>
      </c>
      <c r="O1133" s="17">
        <f>N1133*(1-M1133)</f>
        <v/>
      </c>
      <c r="P1133" s="17">
        <f>Raw_Data!L1133</f>
        <v/>
      </c>
      <c r="Q1133" s="17">
        <f>O1133-P1133</f>
        <v/>
      </c>
      <c r="R1133" s="31">
        <f>IF(O1133=0,0,Q1133/O1133)</f>
        <v/>
      </c>
      <c r="S1133">
        <f>XLOOKUP(F1133,Lookups!$B$7:$B$11,Lookups!$C$7:$C$11,"Unknown")</f>
        <v/>
      </c>
      <c r="T1133" s="31">
        <f>XLOOKUP(G1133,Lookups!$E$7:$E$11,Lookups!$F$7:$F$11,0)</f>
        <v/>
      </c>
      <c r="U1133" s="32">
        <f>R1133-T1133</f>
        <v/>
      </c>
      <c r="V1133">
        <f>XLOOKUP(I1133,Lookups!$H$7:$H$10,Lookups!$I$7:$I$10,"")</f>
        <v/>
      </c>
      <c r="W1133">
        <f>IF(O1133&gt;=50000,"HIGH VALUE","")</f>
        <v/>
      </c>
      <c r="X1133">
        <f>IF(Q1133&lt;0,"LOSS","")</f>
        <v/>
      </c>
      <c r="Y1133">
        <f>IFS(M1133&gt;=0.15,"Deep Discount",M1133&gt;=0.1,"Moderate",TRUE,"Standard")</f>
        <v/>
      </c>
    </row>
    <row r="1134">
      <c r="A1134">
        <f>Raw_Data!A1134</f>
        <v/>
      </c>
      <c r="B1134" s="29">
        <f>Raw_Data!B1134</f>
        <v/>
      </c>
      <c r="C1134">
        <f>YEAR(B1134)</f>
        <v/>
      </c>
      <c r="D1134">
        <f>MONTH(B1134)</f>
        <v/>
      </c>
      <c r="E1134">
        <f>TEXT(B1134,"MMM-YYYY")</f>
        <v/>
      </c>
      <c r="F1134">
        <f>Raw_Data!C1134</f>
        <v/>
      </c>
      <c r="G1134">
        <f>Raw_Data!D1134</f>
        <v/>
      </c>
      <c r="H1134">
        <f>Raw_Data!E1134</f>
        <v/>
      </c>
      <c r="I1134">
        <f>Raw_Data!F1134</f>
        <v/>
      </c>
      <c r="J1134">
        <f>Raw_Data!G1134</f>
        <v/>
      </c>
      <c r="K1134">
        <f>Raw_Data!H1134</f>
        <v/>
      </c>
      <c r="L1134" s="30">
        <f>Raw_Data!I1134</f>
        <v/>
      </c>
      <c r="M1134" s="31">
        <f>Raw_Data!J1134</f>
        <v/>
      </c>
      <c r="N1134" s="17">
        <f>K1134*L1134</f>
        <v/>
      </c>
      <c r="O1134" s="17">
        <f>N1134*(1-M1134)</f>
        <v/>
      </c>
      <c r="P1134" s="17">
        <f>Raw_Data!L1134</f>
        <v/>
      </c>
      <c r="Q1134" s="17">
        <f>O1134-P1134</f>
        <v/>
      </c>
      <c r="R1134" s="31">
        <f>IF(O1134=0,0,Q1134/O1134)</f>
        <v/>
      </c>
      <c r="S1134">
        <f>XLOOKUP(F1134,Lookups!$B$7:$B$11,Lookups!$C$7:$C$11,"Unknown")</f>
        <v/>
      </c>
      <c r="T1134" s="31">
        <f>XLOOKUP(G1134,Lookups!$E$7:$E$11,Lookups!$F$7:$F$11,0)</f>
        <v/>
      </c>
      <c r="U1134" s="32">
        <f>R1134-T1134</f>
        <v/>
      </c>
      <c r="V1134">
        <f>XLOOKUP(I1134,Lookups!$H$7:$H$10,Lookups!$I$7:$I$10,"")</f>
        <v/>
      </c>
      <c r="W1134">
        <f>IF(O1134&gt;=50000,"HIGH VALUE","")</f>
        <v/>
      </c>
      <c r="X1134">
        <f>IF(Q1134&lt;0,"LOSS","")</f>
        <v/>
      </c>
      <c r="Y1134">
        <f>IFS(M1134&gt;=0.15,"Deep Discount",M1134&gt;=0.1,"Moderate",TRUE,"Standard")</f>
        <v/>
      </c>
    </row>
    <row r="1135">
      <c r="A1135">
        <f>Raw_Data!A1135</f>
        <v/>
      </c>
      <c r="B1135" s="29">
        <f>Raw_Data!B1135</f>
        <v/>
      </c>
      <c r="C1135">
        <f>YEAR(B1135)</f>
        <v/>
      </c>
      <c r="D1135">
        <f>MONTH(B1135)</f>
        <v/>
      </c>
      <c r="E1135">
        <f>TEXT(B1135,"MMM-YYYY")</f>
        <v/>
      </c>
      <c r="F1135">
        <f>Raw_Data!C1135</f>
        <v/>
      </c>
      <c r="G1135">
        <f>Raw_Data!D1135</f>
        <v/>
      </c>
      <c r="H1135">
        <f>Raw_Data!E1135</f>
        <v/>
      </c>
      <c r="I1135">
        <f>Raw_Data!F1135</f>
        <v/>
      </c>
      <c r="J1135">
        <f>Raw_Data!G1135</f>
        <v/>
      </c>
      <c r="K1135">
        <f>Raw_Data!H1135</f>
        <v/>
      </c>
      <c r="L1135" s="30">
        <f>Raw_Data!I1135</f>
        <v/>
      </c>
      <c r="M1135" s="31">
        <f>Raw_Data!J1135</f>
        <v/>
      </c>
      <c r="N1135" s="17">
        <f>K1135*L1135</f>
        <v/>
      </c>
      <c r="O1135" s="17">
        <f>N1135*(1-M1135)</f>
        <v/>
      </c>
      <c r="P1135" s="17">
        <f>Raw_Data!L1135</f>
        <v/>
      </c>
      <c r="Q1135" s="17">
        <f>O1135-P1135</f>
        <v/>
      </c>
      <c r="R1135" s="31">
        <f>IF(O1135=0,0,Q1135/O1135)</f>
        <v/>
      </c>
      <c r="S1135">
        <f>XLOOKUP(F1135,Lookups!$B$7:$B$11,Lookups!$C$7:$C$11,"Unknown")</f>
        <v/>
      </c>
      <c r="T1135" s="31">
        <f>XLOOKUP(G1135,Lookups!$E$7:$E$11,Lookups!$F$7:$F$11,0)</f>
        <v/>
      </c>
      <c r="U1135" s="32">
        <f>R1135-T1135</f>
        <v/>
      </c>
      <c r="V1135">
        <f>XLOOKUP(I1135,Lookups!$H$7:$H$10,Lookups!$I$7:$I$10,"")</f>
        <v/>
      </c>
      <c r="W1135">
        <f>IF(O1135&gt;=50000,"HIGH VALUE","")</f>
        <v/>
      </c>
      <c r="X1135">
        <f>IF(Q1135&lt;0,"LOSS","")</f>
        <v/>
      </c>
      <c r="Y1135">
        <f>IFS(M1135&gt;=0.15,"Deep Discount",M1135&gt;=0.1,"Moderate",TRUE,"Standard")</f>
        <v/>
      </c>
    </row>
    <row r="1136">
      <c r="A1136">
        <f>Raw_Data!A1136</f>
        <v/>
      </c>
      <c r="B1136" s="29">
        <f>Raw_Data!B1136</f>
        <v/>
      </c>
      <c r="C1136">
        <f>YEAR(B1136)</f>
        <v/>
      </c>
      <c r="D1136">
        <f>MONTH(B1136)</f>
        <v/>
      </c>
      <c r="E1136">
        <f>TEXT(B1136,"MMM-YYYY")</f>
        <v/>
      </c>
      <c r="F1136">
        <f>Raw_Data!C1136</f>
        <v/>
      </c>
      <c r="G1136">
        <f>Raw_Data!D1136</f>
        <v/>
      </c>
      <c r="H1136">
        <f>Raw_Data!E1136</f>
        <v/>
      </c>
      <c r="I1136">
        <f>Raw_Data!F1136</f>
        <v/>
      </c>
      <c r="J1136">
        <f>Raw_Data!G1136</f>
        <v/>
      </c>
      <c r="K1136">
        <f>Raw_Data!H1136</f>
        <v/>
      </c>
      <c r="L1136" s="30">
        <f>Raw_Data!I1136</f>
        <v/>
      </c>
      <c r="M1136" s="31">
        <f>Raw_Data!J1136</f>
        <v/>
      </c>
      <c r="N1136" s="17">
        <f>K1136*L1136</f>
        <v/>
      </c>
      <c r="O1136" s="17">
        <f>N1136*(1-M1136)</f>
        <v/>
      </c>
      <c r="P1136" s="17">
        <f>Raw_Data!L1136</f>
        <v/>
      </c>
      <c r="Q1136" s="17">
        <f>O1136-P1136</f>
        <v/>
      </c>
      <c r="R1136" s="31">
        <f>IF(O1136=0,0,Q1136/O1136)</f>
        <v/>
      </c>
      <c r="S1136">
        <f>XLOOKUP(F1136,Lookups!$B$7:$B$11,Lookups!$C$7:$C$11,"Unknown")</f>
        <v/>
      </c>
      <c r="T1136" s="31">
        <f>XLOOKUP(G1136,Lookups!$E$7:$E$11,Lookups!$F$7:$F$11,0)</f>
        <v/>
      </c>
      <c r="U1136" s="32">
        <f>R1136-T1136</f>
        <v/>
      </c>
      <c r="V1136">
        <f>XLOOKUP(I1136,Lookups!$H$7:$H$10,Lookups!$I$7:$I$10,"")</f>
        <v/>
      </c>
      <c r="W1136">
        <f>IF(O1136&gt;=50000,"HIGH VALUE","")</f>
        <v/>
      </c>
      <c r="X1136">
        <f>IF(Q1136&lt;0,"LOSS","")</f>
        <v/>
      </c>
      <c r="Y1136">
        <f>IFS(M1136&gt;=0.15,"Deep Discount",M1136&gt;=0.1,"Moderate",TRUE,"Standard")</f>
        <v/>
      </c>
    </row>
    <row r="1137">
      <c r="A1137">
        <f>Raw_Data!A1137</f>
        <v/>
      </c>
      <c r="B1137" s="29">
        <f>Raw_Data!B1137</f>
        <v/>
      </c>
      <c r="C1137">
        <f>YEAR(B1137)</f>
        <v/>
      </c>
      <c r="D1137">
        <f>MONTH(B1137)</f>
        <v/>
      </c>
      <c r="E1137">
        <f>TEXT(B1137,"MMM-YYYY")</f>
        <v/>
      </c>
      <c r="F1137">
        <f>Raw_Data!C1137</f>
        <v/>
      </c>
      <c r="G1137">
        <f>Raw_Data!D1137</f>
        <v/>
      </c>
      <c r="H1137">
        <f>Raw_Data!E1137</f>
        <v/>
      </c>
      <c r="I1137">
        <f>Raw_Data!F1137</f>
        <v/>
      </c>
      <c r="J1137">
        <f>Raw_Data!G1137</f>
        <v/>
      </c>
      <c r="K1137">
        <f>Raw_Data!H1137</f>
        <v/>
      </c>
      <c r="L1137" s="30">
        <f>Raw_Data!I1137</f>
        <v/>
      </c>
      <c r="M1137" s="31">
        <f>Raw_Data!J1137</f>
        <v/>
      </c>
      <c r="N1137" s="17">
        <f>K1137*L1137</f>
        <v/>
      </c>
      <c r="O1137" s="17">
        <f>N1137*(1-M1137)</f>
        <v/>
      </c>
      <c r="P1137" s="17">
        <f>Raw_Data!L1137</f>
        <v/>
      </c>
      <c r="Q1137" s="17">
        <f>O1137-P1137</f>
        <v/>
      </c>
      <c r="R1137" s="31">
        <f>IF(O1137=0,0,Q1137/O1137)</f>
        <v/>
      </c>
      <c r="S1137">
        <f>XLOOKUP(F1137,Lookups!$B$7:$B$11,Lookups!$C$7:$C$11,"Unknown")</f>
        <v/>
      </c>
      <c r="T1137" s="31">
        <f>XLOOKUP(G1137,Lookups!$E$7:$E$11,Lookups!$F$7:$F$11,0)</f>
        <v/>
      </c>
      <c r="U1137" s="32">
        <f>R1137-T1137</f>
        <v/>
      </c>
      <c r="V1137">
        <f>XLOOKUP(I1137,Lookups!$H$7:$H$10,Lookups!$I$7:$I$10,"")</f>
        <v/>
      </c>
      <c r="W1137">
        <f>IF(O1137&gt;=50000,"HIGH VALUE","")</f>
        <v/>
      </c>
      <c r="X1137">
        <f>IF(Q1137&lt;0,"LOSS","")</f>
        <v/>
      </c>
      <c r="Y1137">
        <f>IFS(M1137&gt;=0.15,"Deep Discount",M1137&gt;=0.1,"Moderate",TRUE,"Standard")</f>
        <v/>
      </c>
    </row>
    <row r="1138">
      <c r="A1138">
        <f>Raw_Data!A1138</f>
        <v/>
      </c>
      <c r="B1138" s="29">
        <f>Raw_Data!B1138</f>
        <v/>
      </c>
      <c r="C1138">
        <f>YEAR(B1138)</f>
        <v/>
      </c>
      <c r="D1138">
        <f>MONTH(B1138)</f>
        <v/>
      </c>
      <c r="E1138">
        <f>TEXT(B1138,"MMM-YYYY")</f>
        <v/>
      </c>
      <c r="F1138">
        <f>Raw_Data!C1138</f>
        <v/>
      </c>
      <c r="G1138">
        <f>Raw_Data!D1138</f>
        <v/>
      </c>
      <c r="H1138">
        <f>Raw_Data!E1138</f>
        <v/>
      </c>
      <c r="I1138">
        <f>Raw_Data!F1138</f>
        <v/>
      </c>
      <c r="J1138">
        <f>Raw_Data!G1138</f>
        <v/>
      </c>
      <c r="K1138">
        <f>Raw_Data!H1138</f>
        <v/>
      </c>
      <c r="L1138" s="30">
        <f>Raw_Data!I1138</f>
        <v/>
      </c>
      <c r="M1138" s="31">
        <f>Raw_Data!J1138</f>
        <v/>
      </c>
      <c r="N1138" s="17">
        <f>K1138*L1138</f>
        <v/>
      </c>
      <c r="O1138" s="17">
        <f>N1138*(1-M1138)</f>
        <v/>
      </c>
      <c r="P1138" s="17">
        <f>Raw_Data!L1138</f>
        <v/>
      </c>
      <c r="Q1138" s="17">
        <f>O1138-P1138</f>
        <v/>
      </c>
      <c r="R1138" s="31">
        <f>IF(O1138=0,0,Q1138/O1138)</f>
        <v/>
      </c>
      <c r="S1138">
        <f>XLOOKUP(F1138,Lookups!$B$7:$B$11,Lookups!$C$7:$C$11,"Unknown")</f>
        <v/>
      </c>
      <c r="T1138" s="31">
        <f>XLOOKUP(G1138,Lookups!$E$7:$E$11,Lookups!$F$7:$F$11,0)</f>
        <v/>
      </c>
      <c r="U1138" s="32">
        <f>R1138-T1138</f>
        <v/>
      </c>
      <c r="V1138">
        <f>XLOOKUP(I1138,Lookups!$H$7:$H$10,Lookups!$I$7:$I$10,"")</f>
        <v/>
      </c>
      <c r="W1138">
        <f>IF(O1138&gt;=50000,"HIGH VALUE","")</f>
        <v/>
      </c>
      <c r="X1138">
        <f>IF(Q1138&lt;0,"LOSS","")</f>
        <v/>
      </c>
      <c r="Y1138">
        <f>IFS(M1138&gt;=0.15,"Deep Discount",M1138&gt;=0.1,"Moderate",TRUE,"Standard")</f>
        <v/>
      </c>
    </row>
    <row r="1139">
      <c r="A1139">
        <f>Raw_Data!A1139</f>
        <v/>
      </c>
      <c r="B1139" s="29">
        <f>Raw_Data!B1139</f>
        <v/>
      </c>
      <c r="C1139">
        <f>YEAR(B1139)</f>
        <v/>
      </c>
      <c r="D1139">
        <f>MONTH(B1139)</f>
        <v/>
      </c>
      <c r="E1139">
        <f>TEXT(B1139,"MMM-YYYY")</f>
        <v/>
      </c>
      <c r="F1139">
        <f>Raw_Data!C1139</f>
        <v/>
      </c>
      <c r="G1139">
        <f>Raw_Data!D1139</f>
        <v/>
      </c>
      <c r="H1139">
        <f>Raw_Data!E1139</f>
        <v/>
      </c>
      <c r="I1139">
        <f>Raw_Data!F1139</f>
        <v/>
      </c>
      <c r="J1139">
        <f>Raw_Data!G1139</f>
        <v/>
      </c>
      <c r="K1139">
        <f>Raw_Data!H1139</f>
        <v/>
      </c>
      <c r="L1139" s="30">
        <f>Raw_Data!I1139</f>
        <v/>
      </c>
      <c r="M1139" s="31">
        <f>Raw_Data!J1139</f>
        <v/>
      </c>
      <c r="N1139" s="17">
        <f>K1139*L1139</f>
        <v/>
      </c>
      <c r="O1139" s="17">
        <f>N1139*(1-M1139)</f>
        <v/>
      </c>
      <c r="P1139" s="17">
        <f>Raw_Data!L1139</f>
        <v/>
      </c>
      <c r="Q1139" s="17">
        <f>O1139-P1139</f>
        <v/>
      </c>
      <c r="R1139" s="31">
        <f>IF(O1139=0,0,Q1139/O1139)</f>
        <v/>
      </c>
      <c r="S1139">
        <f>XLOOKUP(F1139,Lookups!$B$7:$B$11,Lookups!$C$7:$C$11,"Unknown")</f>
        <v/>
      </c>
      <c r="T1139" s="31">
        <f>XLOOKUP(G1139,Lookups!$E$7:$E$11,Lookups!$F$7:$F$11,0)</f>
        <v/>
      </c>
      <c r="U1139" s="32">
        <f>R1139-T1139</f>
        <v/>
      </c>
      <c r="V1139">
        <f>XLOOKUP(I1139,Lookups!$H$7:$H$10,Lookups!$I$7:$I$10,"")</f>
        <v/>
      </c>
      <c r="W1139">
        <f>IF(O1139&gt;=50000,"HIGH VALUE","")</f>
        <v/>
      </c>
      <c r="X1139">
        <f>IF(Q1139&lt;0,"LOSS","")</f>
        <v/>
      </c>
      <c r="Y1139">
        <f>IFS(M1139&gt;=0.15,"Deep Discount",M1139&gt;=0.1,"Moderate",TRUE,"Standard")</f>
        <v/>
      </c>
    </row>
    <row r="1140">
      <c r="A1140">
        <f>Raw_Data!A1140</f>
        <v/>
      </c>
      <c r="B1140" s="29">
        <f>Raw_Data!B1140</f>
        <v/>
      </c>
      <c r="C1140">
        <f>YEAR(B1140)</f>
        <v/>
      </c>
      <c r="D1140">
        <f>MONTH(B1140)</f>
        <v/>
      </c>
      <c r="E1140">
        <f>TEXT(B1140,"MMM-YYYY")</f>
        <v/>
      </c>
      <c r="F1140">
        <f>Raw_Data!C1140</f>
        <v/>
      </c>
      <c r="G1140">
        <f>Raw_Data!D1140</f>
        <v/>
      </c>
      <c r="H1140">
        <f>Raw_Data!E1140</f>
        <v/>
      </c>
      <c r="I1140">
        <f>Raw_Data!F1140</f>
        <v/>
      </c>
      <c r="J1140">
        <f>Raw_Data!G1140</f>
        <v/>
      </c>
      <c r="K1140">
        <f>Raw_Data!H1140</f>
        <v/>
      </c>
      <c r="L1140" s="30">
        <f>Raw_Data!I1140</f>
        <v/>
      </c>
      <c r="M1140" s="31">
        <f>Raw_Data!J1140</f>
        <v/>
      </c>
      <c r="N1140" s="17">
        <f>K1140*L1140</f>
        <v/>
      </c>
      <c r="O1140" s="17">
        <f>N1140*(1-M1140)</f>
        <v/>
      </c>
      <c r="P1140" s="17">
        <f>Raw_Data!L1140</f>
        <v/>
      </c>
      <c r="Q1140" s="17">
        <f>O1140-P1140</f>
        <v/>
      </c>
      <c r="R1140" s="31">
        <f>IF(O1140=0,0,Q1140/O1140)</f>
        <v/>
      </c>
      <c r="S1140">
        <f>XLOOKUP(F1140,Lookups!$B$7:$B$11,Lookups!$C$7:$C$11,"Unknown")</f>
        <v/>
      </c>
      <c r="T1140" s="31">
        <f>XLOOKUP(G1140,Lookups!$E$7:$E$11,Lookups!$F$7:$F$11,0)</f>
        <v/>
      </c>
      <c r="U1140" s="32">
        <f>R1140-T1140</f>
        <v/>
      </c>
      <c r="V1140">
        <f>XLOOKUP(I1140,Lookups!$H$7:$H$10,Lookups!$I$7:$I$10,"")</f>
        <v/>
      </c>
      <c r="W1140">
        <f>IF(O1140&gt;=50000,"HIGH VALUE","")</f>
        <v/>
      </c>
      <c r="X1140">
        <f>IF(Q1140&lt;0,"LOSS","")</f>
        <v/>
      </c>
      <c r="Y1140">
        <f>IFS(M1140&gt;=0.15,"Deep Discount",M1140&gt;=0.1,"Moderate",TRUE,"Standard")</f>
        <v/>
      </c>
    </row>
    <row r="1141">
      <c r="A1141">
        <f>Raw_Data!A1141</f>
        <v/>
      </c>
      <c r="B1141" s="29">
        <f>Raw_Data!B1141</f>
        <v/>
      </c>
      <c r="C1141">
        <f>YEAR(B1141)</f>
        <v/>
      </c>
      <c r="D1141">
        <f>MONTH(B1141)</f>
        <v/>
      </c>
      <c r="E1141">
        <f>TEXT(B1141,"MMM-YYYY")</f>
        <v/>
      </c>
      <c r="F1141">
        <f>Raw_Data!C1141</f>
        <v/>
      </c>
      <c r="G1141">
        <f>Raw_Data!D1141</f>
        <v/>
      </c>
      <c r="H1141">
        <f>Raw_Data!E1141</f>
        <v/>
      </c>
      <c r="I1141">
        <f>Raw_Data!F1141</f>
        <v/>
      </c>
      <c r="J1141">
        <f>Raw_Data!G1141</f>
        <v/>
      </c>
      <c r="K1141">
        <f>Raw_Data!H1141</f>
        <v/>
      </c>
      <c r="L1141" s="30">
        <f>Raw_Data!I1141</f>
        <v/>
      </c>
      <c r="M1141" s="31">
        <f>Raw_Data!J1141</f>
        <v/>
      </c>
      <c r="N1141" s="17">
        <f>K1141*L1141</f>
        <v/>
      </c>
      <c r="O1141" s="17">
        <f>N1141*(1-M1141)</f>
        <v/>
      </c>
      <c r="P1141" s="17">
        <f>Raw_Data!L1141</f>
        <v/>
      </c>
      <c r="Q1141" s="17">
        <f>O1141-P1141</f>
        <v/>
      </c>
      <c r="R1141" s="31">
        <f>IF(O1141=0,0,Q1141/O1141)</f>
        <v/>
      </c>
      <c r="S1141">
        <f>XLOOKUP(F1141,Lookups!$B$7:$B$11,Lookups!$C$7:$C$11,"Unknown")</f>
        <v/>
      </c>
      <c r="T1141" s="31">
        <f>XLOOKUP(G1141,Lookups!$E$7:$E$11,Lookups!$F$7:$F$11,0)</f>
        <v/>
      </c>
      <c r="U1141" s="32">
        <f>R1141-T1141</f>
        <v/>
      </c>
      <c r="V1141">
        <f>XLOOKUP(I1141,Lookups!$H$7:$H$10,Lookups!$I$7:$I$10,"")</f>
        <v/>
      </c>
      <c r="W1141">
        <f>IF(O1141&gt;=50000,"HIGH VALUE","")</f>
        <v/>
      </c>
      <c r="X1141">
        <f>IF(Q1141&lt;0,"LOSS","")</f>
        <v/>
      </c>
      <c r="Y1141">
        <f>IFS(M1141&gt;=0.15,"Deep Discount",M1141&gt;=0.1,"Moderate",TRUE,"Standard")</f>
        <v/>
      </c>
    </row>
    <row r="1142">
      <c r="A1142">
        <f>Raw_Data!A1142</f>
        <v/>
      </c>
      <c r="B1142" s="29">
        <f>Raw_Data!B1142</f>
        <v/>
      </c>
      <c r="C1142">
        <f>YEAR(B1142)</f>
        <v/>
      </c>
      <c r="D1142">
        <f>MONTH(B1142)</f>
        <v/>
      </c>
      <c r="E1142">
        <f>TEXT(B1142,"MMM-YYYY")</f>
        <v/>
      </c>
      <c r="F1142">
        <f>Raw_Data!C1142</f>
        <v/>
      </c>
      <c r="G1142">
        <f>Raw_Data!D1142</f>
        <v/>
      </c>
      <c r="H1142">
        <f>Raw_Data!E1142</f>
        <v/>
      </c>
      <c r="I1142">
        <f>Raw_Data!F1142</f>
        <v/>
      </c>
      <c r="J1142">
        <f>Raw_Data!G1142</f>
        <v/>
      </c>
      <c r="K1142">
        <f>Raw_Data!H1142</f>
        <v/>
      </c>
      <c r="L1142" s="30">
        <f>Raw_Data!I1142</f>
        <v/>
      </c>
      <c r="M1142" s="31">
        <f>Raw_Data!J1142</f>
        <v/>
      </c>
      <c r="N1142" s="17">
        <f>K1142*L1142</f>
        <v/>
      </c>
      <c r="O1142" s="17">
        <f>N1142*(1-M1142)</f>
        <v/>
      </c>
      <c r="P1142" s="17">
        <f>Raw_Data!L1142</f>
        <v/>
      </c>
      <c r="Q1142" s="17">
        <f>O1142-P1142</f>
        <v/>
      </c>
      <c r="R1142" s="31">
        <f>IF(O1142=0,0,Q1142/O1142)</f>
        <v/>
      </c>
      <c r="S1142">
        <f>XLOOKUP(F1142,Lookups!$B$7:$B$11,Lookups!$C$7:$C$11,"Unknown")</f>
        <v/>
      </c>
      <c r="T1142" s="31">
        <f>XLOOKUP(G1142,Lookups!$E$7:$E$11,Lookups!$F$7:$F$11,0)</f>
        <v/>
      </c>
      <c r="U1142" s="32">
        <f>R1142-T1142</f>
        <v/>
      </c>
      <c r="V1142">
        <f>XLOOKUP(I1142,Lookups!$H$7:$H$10,Lookups!$I$7:$I$10,"")</f>
        <v/>
      </c>
      <c r="W1142">
        <f>IF(O1142&gt;=50000,"HIGH VALUE","")</f>
        <v/>
      </c>
      <c r="X1142">
        <f>IF(Q1142&lt;0,"LOSS","")</f>
        <v/>
      </c>
      <c r="Y1142">
        <f>IFS(M1142&gt;=0.15,"Deep Discount",M1142&gt;=0.1,"Moderate",TRUE,"Standard")</f>
        <v/>
      </c>
    </row>
    <row r="1143">
      <c r="A1143">
        <f>Raw_Data!A1143</f>
        <v/>
      </c>
      <c r="B1143" s="29">
        <f>Raw_Data!B1143</f>
        <v/>
      </c>
      <c r="C1143">
        <f>YEAR(B1143)</f>
        <v/>
      </c>
      <c r="D1143">
        <f>MONTH(B1143)</f>
        <v/>
      </c>
      <c r="E1143">
        <f>TEXT(B1143,"MMM-YYYY")</f>
        <v/>
      </c>
      <c r="F1143">
        <f>Raw_Data!C1143</f>
        <v/>
      </c>
      <c r="G1143">
        <f>Raw_Data!D1143</f>
        <v/>
      </c>
      <c r="H1143">
        <f>Raw_Data!E1143</f>
        <v/>
      </c>
      <c r="I1143">
        <f>Raw_Data!F1143</f>
        <v/>
      </c>
      <c r="J1143">
        <f>Raw_Data!G1143</f>
        <v/>
      </c>
      <c r="K1143">
        <f>Raw_Data!H1143</f>
        <v/>
      </c>
      <c r="L1143" s="30">
        <f>Raw_Data!I1143</f>
        <v/>
      </c>
      <c r="M1143" s="31">
        <f>Raw_Data!J1143</f>
        <v/>
      </c>
      <c r="N1143" s="17">
        <f>K1143*L1143</f>
        <v/>
      </c>
      <c r="O1143" s="17">
        <f>N1143*(1-M1143)</f>
        <v/>
      </c>
      <c r="P1143" s="17">
        <f>Raw_Data!L1143</f>
        <v/>
      </c>
      <c r="Q1143" s="17">
        <f>O1143-P1143</f>
        <v/>
      </c>
      <c r="R1143" s="31">
        <f>IF(O1143=0,0,Q1143/O1143)</f>
        <v/>
      </c>
      <c r="S1143">
        <f>XLOOKUP(F1143,Lookups!$B$7:$B$11,Lookups!$C$7:$C$11,"Unknown")</f>
        <v/>
      </c>
      <c r="T1143" s="31">
        <f>XLOOKUP(G1143,Lookups!$E$7:$E$11,Lookups!$F$7:$F$11,0)</f>
        <v/>
      </c>
      <c r="U1143" s="32">
        <f>R1143-T1143</f>
        <v/>
      </c>
      <c r="V1143">
        <f>XLOOKUP(I1143,Lookups!$H$7:$H$10,Lookups!$I$7:$I$10,"")</f>
        <v/>
      </c>
      <c r="W1143">
        <f>IF(O1143&gt;=50000,"HIGH VALUE","")</f>
        <v/>
      </c>
      <c r="X1143">
        <f>IF(Q1143&lt;0,"LOSS","")</f>
        <v/>
      </c>
      <c r="Y1143">
        <f>IFS(M1143&gt;=0.15,"Deep Discount",M1143&gt;=0.1,"Moderate",TRUE,"Standard")</f>
        <v/>
      </c>
    </row>
    <row r="1144">
      <c r="A1144">
        <f>Raw_Data!A1144</f>
        <v/>
      </c>
      <c r="B1144" s="29">
        <f>Raw_Data!B1144</f>
        <v/>
      </c>
      <c r="C1144">
        <f>YEAR(B1144)</f>
        <v/>
      </c>
      <c r="D1144">
        <f>MONTH(B1144)</f>
        <v/>
      </c>
      <c r="E1144">
        <f>TEXT(B1144,"MMM-YYYY")</f>
        <v/>
      </c>
      <c r="F1144">
        <f>Raw_Data!C1144</f>
        <v/>
      </c>
      <c r="G1144">
        <f>Raw_Data!D1144</f>
        <v/>
      </c>
      <c r="H1144">
        <f>Raw_Data!E1144</f>
        <v/>
      </c>
      <c r="I1144">
        <f>Raw_Data!F1144</f>
        <v/>
      </c>
      <c r="J1144">
        <f>Raw_Data!G1144</f>
        <v/>
      </c>
      <c r="K1144">
        <f>Raw_Data!H1144</f>
        <v/>
      </c>
      <c r="L1144" s="30">
        <f>Raw_Data!I1144</f>
        <v/>
      </c>
      <c r="M1144" s="31">
        <f>Raw_Data!J1144</f>
        <v/>
      </c>
      <c r="N1144" s="17">
        <f>K1144*L1144</f>
        <v/>
      </c>
      <c r="O1144" s="17">
        <f>N1144*(1-M1144)</f>
        <v/>
      </c>
      <c r="P1144" s="17">
        <f>Raw_Data!L1144</f>
        <v/>
      </c>
      <c r="Q1144" s="17">
        <f>O1144-P1144</f>
        <v/>
      </c>
      <c r="R1144" s="31">
        <f>IF(O1144=0,0,Q1144/O1144)</f>
        <v/>
      </c>
      <c r="S1144">
        <f>XLOOKUP(F1144,Lookups!$B$7:$B$11,Lookups!$C$7:$C$11,"Unknown")</f>
        <v/>
      </c>
      <c r="T1144" s="31">
        <f>XLOOKUP(G1144,Lookups!$E$7:$E$11,Lookups!$F$7:$F$11,0)</f>
        <v/>
      </c>
      <c r="U1144" s="32">
        <f>R1144-T1144</f>
        <v/>
      </c>
      <c r="V1144">
        <f>XLOOKUP(I1144,Lookups!$H$7:$H$10,Lookups!$I$7:$I$10,"")</f>
        <v/>
      </c>
      <c r="W1144">
        <f>IF(O1144&gt;=50000,"HIGH VALUE","")</f>
        <v/>
      </c>
      <c r="X1144">
        <f>IF(Q1144&lt;0,"LOSS","")</f>
        <v/>
      </c>
      <c r="Y1144">
        <f>IFS(M1144&gt;=0.15,"Deep Discount",M1144&gt;=0.1,"Moderate",TRUE,"Standard")</f>
        <v/>
      </c>
    </row>
    <row r="1145">
      <c r="A1145">
        <f>Raw_Data!A1145</f>
        <v/>
      </c>
      <c r="B1145" s="29">
        <f>Raw_Data!B1145</f>
        <v/>
      </c>
      <c r="C1145">
        <f>YEAR(B1145)</f>
        <v/>
      </c>
      <c r="D1145">
        <f>MONTH(B1145)</f>
        <v/>
      </c>
      <c r="E1145">
        <f>TEXT(B1145,"MMM-YYYY")</f>
        <v/>
      </c>
      <c r="F1145">
        <f>Raw_Data!C1145</f>
        <v/>
      </c>
      <c r="G1145">
        <f>Raw_Data!D1145</f>
        <v/>
      </c>
      <c r="H1145">
        <f>Raw_Data!E1145</f>
        <v/>
      </c>
      <c r="I1145">
        <f>Raw_Data!F1145</f>
        <v/>
      </c>
      <c r="J1145">
        <f>Raw_Data!G1145</f>
        <v/>
      </c>
      <c r="K1145">
        <f>Raw_Data!H1145</f>
        <v/>
      </c>
      <c r="L1145" s="30">
        <f>Raw_Data!I1145</f>
        <v/>
      </c>
      <c r="M1145" s="31">
        <f>Raw_Data!J1145</f>
        <v/>
      </c>
      <c r="N1145" s="17">
        <f>K1145*L1145</f>
        <v/>
      </c>
      <c r="O1145" s="17">
        <f>N1145*(1-M1145)</f>
        <v/>
      </c>
      <c r="P1145" s="17">
        <f>Raw_Data!L1145</f>
        <v/>
      </c>
      <c r="Q1145" s="17">
        <f>O1145-P1145</f>
        <v/>
      </c>
      <c r="R1145" s="31">
        <f>IF(O1145=0,0,Q1145/O1145)</f>
        <v/>
      </c>
      <c r="S1145">
        <f>XLOOKUP(F1145,Lookups!$B$7:$B$11,Lookups!$C$7:$C$11,"Unknown")</f>
        <v/>
      </c>
      <c r="T1145" s="31">
        <f>XLOOKUP(G1145,Lookups!$E$7:$E$11,Lookups!$F$7:$F$11,0)</f>
        <v/>
      </c>
      <c r="U1145" s="32">
        <f>R1145-T1145</f>
        <v/>
      </c>
      <c r="V1145">
        <f>XLOOKUP(I1145,Lookups!$H$7:$H$10,Lookups!$I$7:$I$10,"")</f>
        <v/>
      </c>
      <c r="W1145">
        <f>IF(O1145&gt;=50000,"HIGH VALUE","")</f>
        <v/>
      </c>
      <c r="X1145">
        <f>IF(Q1145&lt;0,"LOSS","")</f>
        <v/>
      </c>
      <c r="Y1145">
        <f>IFS(M1145&gt;=0.15,"Deep Discount",M1145&gt;=0.1,"Moderate",TRUE,"Standard")</f>
        <v/>
      </c>
    </row>
    <row r="1146">
      <c r="A1146">
        <f>Raw_Data!A1146</f>
        <v/>
      </c>
      <c r="B1146" s="29">
        <f>Raw_Data!B1146</f>
        <v/>
      </c>
      <c r="C1146">
        <f>YEAR(B1146)</f>
        <v/>
      </c>
      <c r="D1146">
        <f>MONTH(B1146)</f>
        <v/>
      </c>
      <c r="E1146">
        <f>TEXT(B1146,"MMM-YYYY")</f>
        <v/>
      </c>
      <c r="F1146">
        <f>Raw_Data!C1146</f>
        <v/>
      </c>
      <c r="G1146">
        <f>Raw_Data!D1146</f>
        <v/>
      </c>
      <c r="H1146">
        <f>Raw_Data!E1146</f>
        <v/>
      </c>
      <c r="I1146">
        <f>Raw_Data!F1146</f>
        <v/>
      </c>
      <c r="J1146">
        <f>Raw_Data!G1146</f>
        <v/>
      </c>
      <c r="K1146">
        <f>Raw_Data!H1146</f>
        <v/>
      </c>
      <c r="L1146" s="30">
        <f>Raw_Data!I1146</f>
        <v/>
      </c>
      <c r="M1146" s="31">
        <f>Raw_Data!J1146</f>
        <v/>
      </c>
      <c r="N1146" s="17">
        <f>K1146*L1146</f>
        <v/>
      </c>
      <c r="O1146" s="17">
        <f>N1146*(1-M1146)</f>
        <v/>
      </c>
      <c r="P1146" s="17">
        <f>Raw_Data!L1146</f>
        <v/>
      </c>
      <c r="Q1146" s="17">
        <f>O1146-P1146</f>
        <v/>
      </c>
      <c r="R1146" s="31">
        <f>IF(O1146=0,0,Q1146/O1146)</f>
        <v/>
      </c>
      <c r="S1146">
        <f>XLOOKUP(F1146,Lookups!$B$7:$B$11,Lookups!$C$7:$C$11,"Unknown")</f>
        <v/>
      </c>
      <c r="T1146" s="31">
        <f>XLOOKUP(G1146,Lookups!$E$7:$E$11,Lookups!$F$7:$F$11,0)</f>
        <v/>
      </c>
      <c r="U1146" s="32">
        <f>R1146-T1146</f>
        <v/>
      </c>
      <c r="V1146">
        <f>XLOOKUP(I1146,Lookups!$H$7:$H$10,Lookups!$I$7:$I$10,"")</f>
        <v/>
      </c>
      <c r="W1146">
        <f>IF(O1146&gt;=50000,"HIGH VALUE","")</f>
        <v/>
      </c>
      <c r="X1146">
        <f>IF(Q1146&lt;0,"LOSS","")</f>
        <v/>
      </c>
      <c r="Y1146">
        <f>IFS(M1146&gt;=0.15,"Deep Discount",M1146&gt;=0.1,"Moderate",TRUE,"Standard")</f>
        <v/>
      </c>
    </row>
    <row r="1147">
      <c r="A1147">
        <f>Raw_Data!A1147</f>
        <v/>
      </c>
      <c r="B1147" s="29">
        <f>Raw_Data!B1147</f>
        <v/>
      </c>
      <c r="C1147">
        <f>YEAR(B1147)</f>
        <v/>
      </c>
      <c r="D1147">
        <f>MONTH(B1147)</f>
        <v/>
      </c>
      <c r="E1147">
        <f>TEXT(B1147,"MMM-YYYY")</f>
        <v/>
      </c>
      <c r="F1147">
        <f>Raw_Data!C1147</f>
        <v/>
      </c>
      <c r="G1147">
        <f>Raw_Data!D1147</f>
        <v/>
      </c>
      <c r="H1147">
        <f>Raw_Data!E1147</f>
        <v/>
      </c>
      <c r="I1147">
        <f>Raw_Data!F1147</f>
        <v/>
      </c>
      <c r="J1147">
        <f>Raw_Data!G1147</f>
        <v/>
      </c>
      <c r="K1147">
        <f>Raw_Data!H1147</f>
        <v/>
      </c>
      <c r="L1147" s="30">
        <f>Raw_Data!I1147</f>
        <v/>
      </c>
      <c r="M1147" s="31">
        <f>Raw_Data!J1147</f>
        <v/>
      </c>
      <c r="N1147" s="17">
        <f>K1147*L1147</f>
        <v/>
      </c>
      <c r="O1147" s="17">
        <f>N1147*(1-M1147)</f>
        <v/>
      </c>
      <c r="P1147" s="17">
        <f>Raw_Data!L1147</f>
        <v/>
      </c>
      <c r="Q1147" s="17">
        <f>O1147-P1147</f>
        <v/>
      </c>
      <c r="R1147" s="31">
        <f>IF(O1147=0,0,Q1147/O1147)</f>
        <v/>
      </c>
      <c r="S1147">
        <f>XLOOKUP(F1147,Lookups!$B$7:$B$11,Lookups!$C$7:$C$11,"Unknown")</f>
        <v/>
      </c>
      <c r="T1147" s="31">
        <f>XLOOKUP(G1147,Lookups!$E$7:$E$11,Lookups!$F$7:$F$11,0)</f>
        <v/>
      </c>
      <c r="U1147" s="32">
        <f>R1147-T1147</f>
        <v/>
      </c>
      <c r="V1147">
        <f>XLOOKUP(I1147,Lookups!$H$7:$H$10,Lookups!$I$7:$I$10,"")</f>
        <v/>
      </c>
      <c r="W1147">
        <f>IF(O1147&gt;=50000,"HIGH VALUE","")</f>
        <v/>
      </c>
      <c r="X1147">
        <f>IF(Q1147&lt;0,"LOSS","")</f>
        <v/>
      </c>
      <c r="Y1147">
        <f>IFS(M1147&gt;=0.15,"Deep Discount",M1147&gt;=0.1,"Moderate",TRUE,"Standard")</f>
        <v/>
      </c>
    </row>
    <row r="1148">
      <c r="A1148">
        <f>Raw_Data!A1148</f>
        <v/>
      </c>
      <c r="B1148" s="29">
        <f>Raw_Data!B1148</f>
        <v/>
      </c>
      <c r="C1148">
        <f>YEAR(B1148)</f>
        <v/>
      </c>
      <c r="D1148">
        <f>MONTH(B1148)</f>
        <v/>
      </c>
      <c r="E1148">
        <f>TEXT(B1148,"MMM-YYYY")</f>
        <v/>
      </c>
      <c r="F1148">
        <f>Raw_Data!C1148</f>
        <v/>
      </c>
      <c r="G1148">
        <f>Raw_Data!D1148</f>
        <v/>
      </c>
      <c r="H1148">
        <f>Raw_Data!E1148</f>
        <v/>
      </c>
      <c r="I1148">
        <f>Raw_Data!F1148</f>
        <v/>
      </c>
      <c r="J1148">
        <f>Raw_Data!G1148</f>
        <v/>
      </c>
      <c r="K1148">
        <f>Raw_Data!H1148</f>
        <v/>
      </c>
      <c r="L1148" s="30">
        <f>Raw_Data!I1148</f>
        <v/>
      </c>
      <c r="M1148" s="31">
        <f>Raw_Data!J1148</f>
        <v/>
      </c>
      <c r="N1148" s="17">
        <f>K1148*L1148</f>
        <v/>
      </c>
      <c r="O1148" s="17">
        <f>N1148*(1-M1148)</f>
        <v/>
      </c>
      <c r="P1148" s="17">
        <f>Raw_Data!L1148</f>
        <v/>
      </c>
      <c r="Q1148" s="17">
        <f>O1148-P1148</f>
        <v/>
      </c>
      <c r="R1148" s="31">
        <f>IF(O1148=0,0,Q1148/O1148)</f>
        <v/>
      </c>
      <c r="S1148">
        <f>XLOOKUP(F1148,Lookups!$B$7:$B$11,Lookups!$C$7:$C$11,"Unknown")</f>
        <v/>
      </c>
      <c r="T1148" s="31">
        <f>XLOOKUP(G1148,Lookups!$E$7:$E$11,Lookups!$F$7:$F$11,0)</f>
        <v/>
      </c>
      <c r="U1148" s="32">
        <f>R1148-T1148</f>
        <v/>
      </c>
      <c r="V1148">
        <f>XLOOKUP(I1148,Lookups!$H$7:$H$10,Lookups!$I$7:$I$10,"")</f>
        <v/>
      </c>
      <c r="W1148">
        <f>IF(O1148&gt;=50000,"HIGH VALUE","")</f>
        <v/>
      </c>
      <c r="X1148">
        <f>IF(Q1148&lt;0,"LOSS","")</f>
        <v/>
      </c>
      <c r="Y1148">
        <f>IFS(M1148&gt;=0.15,"Deep Discount",M1148&gt;=0.1,"Moderate",TRUE,"Standard")</f>
        <v/>
      </c>
    </row>
    <row r="1149">
      <c r="A1149">
        <f>Raw_Data!A1149</f>
        <v/>
      </c>
      <c r="B1149" s="29">
        <f>Raw_Data!B1149</f>
        <v/>
      </c>
      <c r="C1149">
        <f>YEAR(B1149)</f>
        <v/>
      </c>
      <c r="D1149">
        <f>MONTH(B1149)</f>
        <v/>
      </c>
      <c r="E1149">
        <f>TEXT(B1149,"MMM-YYYY")</f>
        <v/>
      </c>
      <c r="F1149">
        <f>Raw_Data!C1149</f>
        <v/>
      </c>
      <c r="G1149">
        <f>Raw_Data!D1149</f>
        <v/>
      </c>
      <c r="H1149">
        <f>Raw_Data!E1149</f>
        <v/>
      </c>
      <c r="I1149">
        <f>Raw_Data!F1149</f>
        <v/>
      </c>
      <c r="J1149">
        <f>Raw_Data!G1149</f>
        <v/>
      </c>
      <c r="K1149">
        <f>Raw_Data!H1149</f>
        <v/>
      </c>
      <c r="L1149" s="30">
        <f>Raw_Data!I1149</f>
        <v/>
      </c>
      <c r="M1149" s="31">
        <f>Raw_Data!J1149</f>
        <v/>
      </c>
      <c r="N1149" s="17">
        <f>K1149*L1149</f>
        <v/>
      </c>
      <c r="O1149" s="17">
        <f>N1149*(1-M1149)</f>
        <v/>
      </c>
      <c r="P1149" s="17">
        <f>Raw_Data!L1149</f>
        <v/>
      </c>
      <c r="Q1149" s="17">
        <f>O1149-P1149</f>
        <v/>
      </c>
      <c r="R1149" s="31">
        <f>IF(O1149=0,0,Q1149/O1149)</f>
        <v/>
      </c>
      <c r="S1149">
        <f>XLOOKUP(F1149,Lookups!$B$7:$B$11,Lookups!$C$7:$C$11,"Unknown")</f>
        <v/>
      </c>
      <c r="T1149" s="31">
        <f>XLOOKUP(G1149,Lookups!$E$7:$E$11,Lookups!$F$7:$F$11,0)</f>
        <v/>
      </c>
      <c r="U1149" s="32">
        <f>R1149-T1149</f>
        <v/>
      </c>
      <c r="V1149">
        <f>XLOOKUP(I1149,Lookups!$H$7:$H$10,Lookups!$I$7:$I$10,"")</f>
        <v/>
      </c>
      <c r="W1149">
        <f>IF(O1149&gt;=50000,"HIGH VALUE","")</f>
        <v/>
      </c>
      <c r="X1149">
        <f>IF(Q1149&lt;0,"LOSS","")</f>
        <v/>
      </c>
      <c r="Y1149">
        <f>IFS(M1149&gt;=0.15,"Deep Discount",M1149&gt;=0.1,"Moderate",TRUE,"Standard")</f>
        <v/>
      </c>
    </row>
    <row r="1150">
      <c r="A1150">
        <f>Raw_Data!A1150</f>
        <v/>
      </c>
      <c r="B1150" s="29">
        <f>Raw_Data!B1150</f>
        <v/>
      </c>
      <c r="C1150">
        <f>YEAR(B1150)</f>
        <v/>
      </c>
      <c r="D1150">
        <f>MONTH(B1150)</f>
        <v/>
      </c>
      <c r="E1150">
        <f>TEXT(B1150,"MMM-YYYY")</f>
        <v/>
      </c>
      <c r="F1150">
        <f>Raw_Data!C1150</f>
        <v/>
      </c>
      <c r="G1150">
        <f>Raw_Data!D1150</f>
        <v/>
      </c>
      <c r="H1150">
        <f>Raw_Data!E1150</f>
        <v/>
      </c>
      <c r="I1150">
        <f>Raw_Data!F1150</f>
        <v/>
      </c>
      <c r="J1150">
        <f>Raw_Data!G1150</f>
        <v/>
      </c>
      <c r="K1150">
        <f>Raw_Data!H1150</f>
        <v/>
      </c>
      <c r="L1150" s="30">
        <f>Raw_Data!I1150</f>
        <v/>
      </c>
      <c r="M1150" s="31">
        <f>Raw_Data!J1150</f>
        <v/>
      </c>
      <c r="N1150" s="17">
        <f>K1150*L1150</f>
        <v/>
      </c>
      <c r="O1150" s="17">
        <f>N1150*(1-M1150)</f>
        <v/>
      </c>
      <c r="P1150" s="17">
        <f>Raw_Data!L1150</f>
        <v/>
      </c>
      <c r="Q1150" s="17">
        <f>O1150-P1150</f>
        <v/>
      </c>
      <c r="R1150" s="31">
        <f>IF(O1150=0,0,Q1150/O1150)</f>
        <v/>
      </c>
      <c r="S1150">
        <f>XLOOKUP(F1150,Lookups!$B$7:$B$11,Lookups!$C$7:$C$11,"Unknown")</f>
        <v/>
      </c>
      <c r="T1150" s="31">
        <f>XLOOKUP(G1150,Lookups!$E$7:$E$11,Lookups!$F$7:$F$11,0)</f>
        <v/>
      </c>
      <c r="U1150" s="32">
        <f>R1150-T1150</f>
        <v/>
      </c>
      <c r="V1150">
        <f>XLOOKUP(I1150,Lookups!$H$7:$H$10,Lookups!$I$7:$I$10,"")</f>
        <v/>
      </c>
      <c r="W1150">
        <f>IF(O1150&gt;=50000,"HIGH VALUE","")</f>
        <v/>
      </c>
      <c r="X1150">
        <f>IF(Q1150&lt;0,"LOSS","")</f>
        <v/>
      </c>
      <c r="Y1150">
        <f>IFS(M1150&gt;=0.15,"Deep Discount",M1150&gt;=0.1,"Moderate",TRUE,"Standard")</f>
        <v/>
      </c>
    </row>
    <row r="1151">
      <c r="A1151">
        <f>Raw_Data!A1151</f>
        <v/>
      </c>
      <c r="B1151" s="29">
        <f>Raw_Data!B1151</f>
        <v/>
      </c>
      <c r="C1151">
        <f>YEAR(B1151)</f>
        <v/>
      </c>
      <c r="D1151">
        <f>MONTH(B1151)</f>
        <v/>
      </c>
      <c r="E1151">
        <f>TEXT(B1151,"MMM-YYYY")</f>
        <v/>
      </c>
      <c r="F1151">
        <f>Raw_Data!C1151</f>
        <v/>
      </c>
      <c r="G1151">
        <f>Raw_Data!D1151</f>
        <v/>
      </c>
      <c r="H1151">
        <f>Raw_Data!E1151</f>
        <v/>
      </c>
      <c r="I1151">
        <f>Raw_Data!F1151</f>
        <v/>
      </c>
      <c r="J1151">
        <f>Raw_Data!G1151</f>
        <v/>
      </c>
      <c r="K1151">
        <f>Raw_Data!H1151</f>
        <v/>
      </c>
      <c r="L1151" s="30">
        <f>Raw_Data!I1151</f>
        <v/>
      </c>
      <c r="M1151" s="31">
        <f>Raw_Data!J1151</f>
        <v/>
      </c>
      <c r="N1151" s="17">
        <f>K1151*L1151</f>
        <v/>
      </c>
      <c r="O1151" s="17">
        <f>N1151*(1-M1151)</f>
        <v/>
      </c>
      <c r="P1151" s="17">
        <f>Raw_Data!L1151</f>
        <v/>
      </c>
      <c r="Q1151" s="17">
        <f>O1151-P1151</f>
        <v/>
      </c>
      <c r="R1151" s="31">
        <f>IF(O1151=0,0,Q1151/O1151)</f>
        <v/>
      </c>
      <c r="S1151">
        <f>XLOOKUP(F1151,Lookups!$B$7:$B$11,Lookups!$C$7:$C$11,"Unknown")</f>
        <v/>
      </c>
      <c r="T1151" s="31">
        <f>XLOOKUP(G1151,Lookups!$E$7:$E$11,Lookups!$F$7:$F$11,0)</f>
        <v/>
      </c>
      <c r="U1151" s="32">
        <f>R1151-T1151</f>
        <v/>
      </c>
      <c r="V1151">
        <f>XLOOKUP(I1151,Lookups!$H$7:$H$10,Lookups!$I$7:$I$10,"")</f>
        <v/>
      </c>
      <c r="W1151">
        <f>IF(O1151&gt;=50000,"HIGH VALUE","")</f>
        <v/>
      </c>
      <c r="X1151">
        <f>IF(Q1151&lt;0,"LOSS","")</f>
        <v/>
      </c>
      <c r="Y1151">
        <f>IFS(M1151&gt;=0.15,"Deep Discount",M1151&gt;=0.1,"Moderate",TRUE,"Standard")</f>
        <v/>
      </c>
    </row>
    <row r="1152">
      <c r="A1152">
        <f>Raw_Data!A1152</f>
        <v/>
      </c>
      <c r="B1152" s="29">
        <f>Raw_Data!B1152</f>
        <v/>
      </c>
      <c r="C1152">
        <f>YEAR(B1152)</f>
        <v/>
      </c>
      <c r="D1152">
        <f>MONTH(B1152)</f>
        <v/>
      </c>
      <c r="E1152">
        <f>TEXT(B1152,"MMM-YYYY")</f>
        <v/>
      </c>
      <c r="F1152">
        <f>Raw_Data!C1152</f>
        <v/>
      </c>
      <c r="G1152">
        <f>Raw_Data!D1152</f>
        <v/>
      </c>
      <c r="H1152">
        <f>Raw_Data!E1152</f>
        <v/>
      </c>
      <c r="I1152">
        <f>Raw_Data!F1152</f>
        <v/>
      </c>
      <c r="J1152">
        <f>Raw_Data!G1152</f>
        <v/>
      </c>
      <c r="K1152">
        <f>Raw_Data!H1152</f>
        <v/>
      </c>
      <c r="L1152" s="30">
        <f>Raw_Data!I1152</f>
        <v/>
      </c>
      <c r="M1152" s="31">
        <f>Raw_Data!J1152</f>
        <v/>
      </c>
      <c r="N1152" s="17">
        <f>K1152*L1152</f>
        <v/>
      </c>
      <c r="O1152" s="17">
        <f>N1152*(1-M1152)</f>
        <v/>
      </c>
      <c r="P1152" s="17">
        <f>Raw_Data!L1152</f>
        <v/>
      </c>
      <c r="Q1152" s="17">
        <f>O1152-P1152</f>
        <v/>
      </c>
      <c r="R1152" s="31">
        <f>IF(O1152=0,0,Q1152/O1152)</f>
        <v/>
      </c>
      <c r="S1152">
        <f>XLOOKUP(F1152,Lookups!$B$7:$B$11,Lookups!$C$7:$C$11,"Unknown")</f>
        <v/>
      </c>
      <c r="T1152" s="31">
        <f>XLOOKUP(G1152,Lookups!$E$7:$E$11,Lookups!$F$7:$F$11,0)</f>
        <v/>
      </c>
      <c r="U1152" s="32">
        <f>R1152-T1152</f>
        <v/>
      </c>
      <c r="V1152">
        <f>XLOOKUP(I1152,Lookups!$H$7:$H$10,Lookups!$I$7:$I$10,"")</f>
        <v/>
      </c>
      <c r="W1152">
        <f>IF(O1152&gt;=50000,"HIGH VALUE","")</f>
        <v/>
      </c>
      <c r="X1152">
        <f>IF(Q1152&lt;0,"LOSS","")</f>
        <v/>
      </c>
      <c r="Y1152">
        <f>IFS(M1152&gt;=0.15,"Deep Discount",M1152&gt;=0.1,"Moderate",TRUE,"Standard")</f>
        <v/>
      </c>
    </row>
    <row r="1153">
      <c r="A1153">
        <f>Raw_Data!A1153</f>
        <v/>
      </c>
      <c r="B1153" s="29">
        <f>Raw_Data!B1153</f>
        <v/>
      </c>
      <c r="C1153">
        <f>YEAR(B1153)</f>
        <v/>
      </c>
      <c r="D1153">
        <f>MONTH(B1153)</f>
        <v/>
      </c>
      <c r="E1153">
        <f>TEXT(B1153,"MMM-YYYY")</f>
        <v/>
      </c>
      <c r="F1153">
        <f>Raw_Data!C1153</f>
        <v/>
      </c>
      <c r="G1153">
        <f>Raw_Data!D1153</f>
        <v/>
      </c>
      <c r="H1153">
        <f>Raw_Data!E1153</f>
        <v/>
      </c>
      <c r="I1153">
        <f>Raw_Data!F1153</f>
        <v/>
      </c>
      <c r="J1153">
        <f>Raw_Data!G1153</f>
        <v/>
      </c>
      <c r="K1153">
        <f>Raw_Data!H1153</f>
        <v/>
      </c>
      <c r="L1153" s="30">
        <f>Raw_Data!I1153</f>
        <v/>
      </c>
      <c r="M1153" s="31">
        <f>Raw_Data!J1153</f>
        <v/>
      </c>
      <c r="N1153" s="17">
        <f>K1153*L1153</f>
        <v/>
      </c>
      <c r="O1153" s="17">
        <f>N1153*(1-M1153)</f>
        <v/>
      </c>
      <c r="P1153" s="17">
        <f>Raw_Data!L1153</f>
        <v/>
      </c>
      <c r="Q1153" s="17">
        <f>O1153-P1153</f>
        <v/>
      </c>
      <c r="R1153" s="31">
        <f>IF(O1153=0,0,Q1153/O1153)</f>
        <v/>
      </c>
      <c r="S1153">
        <f>XLOOKUP(F1153,Lookups!$B$7:$B$11,Lookups!$C$7:$C$11,"Unknown")</f>
        <v/>
      </c>
      <c r="T1153" s="31">
        <f>XLOOKUP(G1153,Lookups!$E$7:$E$11,Lookups!$F$7:$F$11,0)</f>
        <v/>
      </c>
      <c r="U1153" s="32">
        <f>R1153-T1153</f>
        <v/>
      </c>
      <c r="V1153">
        <f>XLOOKUP(I1153,Lookups!$H$7:$H$10,Lookups!$I$7:$I$10,"")</f>
        <v/>
      </c>
      <c r="W1153">
        <f>IF(O1153&gt;=50000,"HIGH VALUE","")</f>
        <v/>
      </c>
      <c r="X1153">
        <f>IF(Q1153&lt;0,"LOSS","")</f>
        <v/>
      </c>
      <c r="Y1153">
        <f>IFS(M1153&gt;=0.15,"Deep Discount",M1153&gt;=0.1,"Moderate",TRUE,"Standard")</f>
        <v/>
      </c>
    </row>
    <row r="1154">
      <c r="A1154">
        <f>Raw_Data!A1154</f>
        <v/>
      </c>
      <c r="B1154" s="29">
        <f>Raw_Data!B1154</f>
        <v/>
      </c>
      <c r="C1154">
        <f>YEAR(B1154)</f>
        <v/>
      </c>
      <c r="D1154">
        <f>MONTH(B1154)</f>
        <v/>
      </c>
      <c r="E1154">
        <f>TEXT(B1154,"MMM-YYYY")</f>
        <v/>
      </c>
      <c r="F1154">
        <f>Raw_Data!C1154</f>
        <v/>
      </c>
      <c r="G1154">
        <f>Raw_Data!D1154</f>
        <v/>
      </c>
      <c r="H1154">
        <f>Raw_Data!E1154</f>
        <v/>
      </c>
      <c r="I1154">
        <f>Raw_Data!F1154</f>
        <v/>
      </c>
      <c r="J1154">
        <f>Raw_Data!G1154</f>
        <v/>
      </c>
      <c r="K1154">
        <f>Raw_Data!H1154</f>
        <v/>
      </c>
      <c r="L1154" s="30">
        <f>Raw_Data!I1154</f>
        <v/>
      </c>
      <c r="M1154" s="31">
        <f>Raw_Data!J1154</f>
        <v/>
      </c>
      <c r="N1154" s="17">
        <f>K1154*L1154</f>
        <v/>
      </c>
      <c r="O1154" s="17">
        <f>N1154*(1-M1154)</f>
        <v/>
      </c>
      <c r="P1154" s="17">
        <f>Raw_Data!L1154</f>
        <v/>
      </c>
      <c r="Q1154" s="17">
        <f>O1154-P1154</f>
        <v/>
      </c>
      <c r="R1154" s="31">
        <f>IF(O1154=0,0,Q1154/O1154)</f>
        <v/>
      </c>
      <c r="S1154">
        <f>XLOOKUP(F1154,Lookups!$B$7:$B$11,Lookups!$C$7:$C$11,"Unknown")</f>
        <v/>
      </c>
      <c r="T1154" s="31">
        <f>XLOOKUP(G1154,Lookups!$E$7:$E$11,Lookups!$F$7:$F$11,0)</f>
        <v/>
      </c>
      <c r="U1154" s="32">
        <f>R1154-T1154</f>
        <v/>
      </c>
      <c r="V1154">
        <f>XLOOKUP(I1154,Lookups!$H$7:$H$10,Lookups!$I$7:$I$10,"")</f>
        <v/>
      </c>
      <c r="W1154">
        <f>IF(O1154&gt;=50000,"HIGH VALUE","")</f>
        <v/>
      </c>
      <c r="X1154">
        <f>IF(Q1154&lt;0,"LOSS","")</f>
        <v/>
      </c>
      <c r="Y1154">
        <f>IFS(M1154&gt;=0.15,"Deep Discount",M1154&gt;=0.1,"Moderate",TRUE,"Standard")</f>
        <v/>
      </c>
    </row>
    <row r="1155">
      <c r="A1155">
        <f>Raw_Data!A1155</f>
        <v/>
      </c>
      <c r="B1155" s="29">
        <f>Raw_Data!B1155</f>
        <v/>
      </c>
      <c r="C1155">
        <f>YEAR(B1155)</f>
        <v/>
      </c>
      <c r="D1155">
        <f>MONTH(B1155)</f>
        <v/>
      </c>
      <c r="E1155">
        <f>TEXT(B1155,"MMM-YYYY")</f>
        <v/>
      </c>
      <c r="F1155">
        <f>Raw_Data!C1155</f>
        <v/>
      </c>
      <c r="G1155">
        <f>Raw_Data!D1155</f>
        <v/>
      </c>
      <c r="H1155">
        <f>Raw_Data!E1155</f>
        <v/>
      </c>
      <c r="I1155">
        <f>Raw_Data!F1155</f>
        <v/>
      </c>
      <c r="J1155">
        <f>Raw_Data!G1155</f>
        <v/>
      </c>
      <c r="K1155">
        <f>Raw_Data!H1155</f>
        <v/>
      </c>
      <c r="L1155" s="30">
        <f>Raw_Data!I1155</f>
        <v/>
      </c>
      <c r="M1155" s="31">
        <f>Raw_Data!J1155</f>
        <v/>
      </c>
      <c r="N1155" s="17">
        <f>K1155*L1155</f>
        <v/>
      </c>
      <c r="O1155" s="17">
        <f>N1155*(1-M1155)</f>
        <v/>
      </c>
      <c r="P1155" s="17">
        <f>Raw_Data!L1155</f>
        <v/>
      </c>
      <c r="Q1155" s="17">
        <f>O1155-P1155</f>
        <v/>
      </c>
      <c r="R1155" s="31">
        <f>IF(O1155=0,0,Q1155/O1155)</f>
        <v/>
      </c>
      <c r="S1155">
        <f>XLOOKUP(F1155,Lookups!$B$7:$B$11,Lookups!$C$7:$C$11,"Unknown")</f>
        <v/>
      </c>
      <c r="T1155" s="31">
        <f>XLOOKUP(G1155,Lookups!$E$7:$E$11,Lookups!$F$7:$F$11,0)</f>
        <v/>
      </c>
      <c r="U1155" s="32">
        <f>R1155-T1155</f>
        <v/>
      </c>
      <c r="V1155">
        <f>XLOOKUP(I1155,Lookups!$H$7:$H$10,Lookups!$I$7:$I$10,"")</f>
        <v/>
      </c>
      <c r="W1155">
        <f>IF(O1155&gt;=50000,"HIGH VALUE","")</f>
        <v/>
      </c>
      <c r="X1155">
        <f>IF(Q1155&lt;0,"LOSS","")</f>
        <v/>
      </c>
      <c r="Y1155">
        <f>IFS(M1155&gt;=0.15,"Deep Discount",M1155&gt;=0.1,"Moderate",TRUE,"Standard")</f>
        <v/>
      </c>
    </row>
    <row r="1156">
      <c r="A1156">
        <f>Raw_Data!A1156</f>
        <v/>
      </c>
      <c r="B1156" s="29">
        <f>Raw_Data!B1156</f>
        <v/>
      </c>
      <c r="C1156">
        <f>YEAR(B1156)</f>
        <v/>
      </c>
      <c r="D1156">
        <f>MONTH(B1156)</f>
        <v/>
      </c>
      <c r="E1156">
        <f>TEXT(B1156,"MMM-YYYY")</f>
        <v/>
      </c>
      <c r="F1156">
        <f>Raw_Data!C1156</f>
        <v/>
      </c>
      <c r="G1156">
        <f>Raw_Data!D1156</f>
        <v/>
      </c>
      <c r="H1156">
        <f>Raw_Data!E1156</f>
        <v/>
      </c>
      <c r="I1156">
        <f>Raw_Data!F1156</f>
        <v/>
      </c>
      <c r="J1156">
        <f>Raw_Data!G1156</f>
        <v/>
      </c>
      <c r="K1156">
        <f>Raw_Data!H1156</f>
        <v/>
      </c>
      <c r="L1156" s="30">
        <f>Raw_Data!I1156</f>
        <v/>
      </c>
      <c r="M1156" s="31">
        <f>Raw_Data!J1156</f>
        <v/>
      </c>
      <c r="N1156" s="17">
        <f>K1156*L1156</f>
        <v/>
      </c>
      <c r="O1156" s="17">
        <f>N1156*(1-M1156)</f>
        <v/>
      </c>
      <c r="P1156" s="17">
        <f>Raw_Data!L1156</f>
        <v/>
      </c>
      <c r="Q1156" s="17">
        <f>O1156-P1156</f>
        <v/>
      </c>
      <c r="R1156" s="31">
        <f>IF(O1156=0,0,Q1156/O1156)</f>
        <v/>
      </c>
      <c r="S1156">
        <f>XLOOKUP(F1156,Lookups!$B$7:$B$11,Lookups!$C$7:$C$11,"Unknown")</f>
        <v/>
      </c>
      <c r="T1156" s="31">
        <f>XLOOKUP(G1156,Lookups!$E$7:$E$11,Lookups!$F$7:$F$11,0)</f>
        <v/>
      </c>
      <c r="U1156" s="32">
        <f>R1156-T1156</f>
        <v/>
      </c>
      <c r="V1156">
        <f>XLOOKUP(I1156,Lookups!$H$7:$H$10,Lookups!$I$7:$I$10,"")</f>
        <v/>
      </c>
      <c r="W1156">
        <f>IF(O1156&gt;=50000,"HIGH VALUE","")</f>
        <v/>
      </c>
      <c r="X1156">
        <f>IF(Q1156&lt;0,"LOSS","")</f>
        <v/>
      </c>
      <c r="Y1156">
        <f>IFS(M1156&gt;=0.15,"Deep Discount",M1156&gt;=0.1,"Moderate",TRUE,"Standard")</f>
        <v/>
      </c>
    </row>
    <row r="1157">
      <c r="A1157">
        <f>Raw_Data!A1157</f>
        <v/>
      </c>
      <c r="B1157" s="29">
        <f>Raw_Data!B1157</f>
        <v/>
      </c>
      <c r="C1157">
        <f>YEAR(B1157)</f>
        <v/>
      </c>
      <c r="D1157">
        <f>MONTH(B1157)</f>
        <v/>
      </c>
      <c r="E1157">
        <f>TEXT(B1157,"MMM-YYYY")</f>
        <v/>
      </c>
      <c r="F1157">
        <f>Raw_Data!C1157</f>
        <v/>
      </c>
      <c r="G1157">
        <f>Raw_Data!D1157</f>
        <v/>
      </c>
      <c r="H1157">
        <f>Raw_Data!E1157</f>
        <v/>
      </c>
      <c r="I1157">
        <f>Raw_Data!F1157</f>
        <v/>
      </c>
      <c r="J1157">
        <f>Raw_Data!G1157</f>
        <v/>
      </c>
      <c r="K1157">
        <f>Raw_Data!H1157</f>
        <v/>
      </c>
      <c r="L1157" s="30">
        <f>Raw_Data!I1157</f>
        <v/>
      </c>
      <c r="M1157" s="31">
        <f>Raw_Data!J1157</f>
        <v/>
      </c>
      <c r="N1157" s="17">
        <f>K1157*L1157</f>
        <v/>
      </c>
      <c r="O1157" s="17">
        <f>N1157*(1-M1157)</f>
        <v/>
      </c>
      <c r="P1157" s="17">
        <f>Raw_Data!L1157</f>
        <v/>
      </c>
      <c r="Q1157" s="17">
        <f>O1157-P1157</f>
        <v/>
      </c>
      <c r="R1157" s="31">
        <f>IF(O1157=0,0,Q1157/O1157)</f>
        <v/>
      </c>
      <c r="S1157">
        <f>XLOOKUP(F1157,Lookups!$B$7:$B$11,Lookups!$C$7:$C$11,"Unknown")</f>
        <v/>
      </c>
      <c r="T1157" s="31">
        <f>XLOOKUP(G1157,Lookups!$E$7:$E$11,Lookups!$F$7:$F$11,0)</f>
        <v/>
      </c>
      <c r="U1157" s="32">
        <f>R1157-T1157</f>
        <v/>
      </c>
      <c r="V1157">
        <f>XLOOKUP(I1157,Lookups!$H$7:$H$10,Lookups!$I$7:$I$10,"")</f>
        <v/>
      </c>
      <c r="W1157">
        <f>IF(O1157&gt;=50000,"HIGH VALUE","")</f>
        <v/>
      </c>
      <c r="X1157">
        <f>IF(Q1157&lt;0,"LOSS","")</f>
        <v/>
      </c>
      <c r="Y1157">
        <f>IFS(M1157&gt;=0.15,"Deep Discount",M1157&gt;=0.1,"Moderate",TRUE,"Standard")</f>
        <v/>
      </c>
    </row>
    <row r="1158">
      <c r="A1158">
        <f>Raw_Data!A1158</f>
        <v/>
      </c>
      <c r="B1158" s="29">
        <f>Raw_Data!B1158</f>
        <v/>
      </c>
      <c r="C1158">
        <f>YEAR(B1158)</f>
        <v/>
      </c>
      <c r="D1158">
        <f>MONTH(B1158)</f>
        <v/>
      </c>
      <c r="E1158">
        <f>TEXT(B1158,"MMM-YYYY")</f>
        <v/>
      </c>
      <c r="F1158">
        <f>Raw_Data!C1158</f>
        <v/>
      </c>
      <c r="G1158">
        <f>Raw_Data!D1158</f>
        <v/>
      </c>
      <c r="H1158">
        <f>Raw_Data!E1158</f>
        <v/>
      </c>
      <c r="I1158">
        <f>Raw_Data!F1158</f>
        <v/>
      </c>
      <c r="J1158">
        <f>Raw_Data!G1158</f>
        <v/>
      </c>
      <c r="K1158">
        <f>Raw_Data!H1158</f>
        <v/>
      </c>
      <c r="L1158" s="30">
        <f>Raw_Data!I1158</f>
        <v/>
      </c>
      <c r="M1158" s="31">
        <f>Raw_Data!J1158</f>
        <v/>
      </c>
      <c r="N1158" s="17">
        <f>K1158*L1158</f>
        <v/>
      </c>
      <c r="O1158" s="17">
        <f>N1158*(1-M1158)</f>
        <v/>
      </c>
      <c r="P1158" s="17">
        <f>Raw_Data!L1158</f>
        <v/>
      </c>
      <c r="Q1158" s="17">
        <f>O1158-P1158</f>
        <v/>
      </c>
      <c r="R1158" s="31">
        <f>IF(O1158=0,0,Q1158/O1158)</f>
        <v/>
      </c>
      <c r="S1158">
        <f>XLOOKUP(F1158,Lookups!$B$7:$B$11,Lookups!$C$7:$C$11,"Unknown")</f>
        <v/>
      </c>
      <c r="T1158" s="31">
        <f>XLOOKUP(G1158,Lookups!$E$7:$E$11,Lookups!$F$7:$F$11,0)</f>
        <v/>
      </c>
      <c r="U1158" s="32">
        <f>R1158-T1158</f>
        <v/>
      </c>
      <c r="V1158">
        <f>XLOOKUP(I1158,Lookups!$H$7:$H$10,Lookups!$I$7:$I$10,"")</f>
        <v/>
      </c>
      <c r="W1158">
        <f>IF(O1158&gt;=50000,"HIGH VALUE","")</f>
        <v/>
      </c>
      <c r="X1158">
        <f>IF(Q1158&lt;0,"LOSS","")</f>
        <v/>
      </c>
      <c r="Y1158">
        <f>IFS(M1158&gt;=0.15,"Deep Discount",M1158&gt;=0.1,"Moderate",TRUE,"Standard")</f>
        <v/>
      </c>
    </row>
    <row r="1159">
      <c r="A1159">
        <f>Raw_Data!A1159</f>
        <v/>
      </c>
      <c r="B1159" s="29">
        <f>Raw_Data!B1159</f>
        <v/>
      </c>
      <c r="C1159">
        <f>YEAR(B1159)</f>
        <v/>
      </c>
      <c r="D1159">
        <f>MONTH(B1159)</f>
        <v/>
      </c>
      <c r="E1159">
        <f>TEXT(B1159,"MMM-YYYY")</f>
        <v/>
      </c>
      <c r="F1159">
        <f>Raw_Data!C1159</f>
        <v/>
      </c>
      <c r="G1159">
        <f>Raw_Data!D1159</f>
        <v/>
      </c>
      <c r="H1159">
        <f>Raw_Data!E1159</f>
        <v/>
      </c>
      <c r="I1159">
        <f>Raw_Data!F1159</f>
        <v/>
      </c>
      <c r="J1159">
        <f>Raw_Data!G1159</f>
        <v/>
      </c>
      <c r="K1159">
        <f>Raw_Data!H1159</f>
        <v/>
      </c>
      <c r="L1159" s="30">
        <f>Raw_Data!I1159</f>
        <v/>
      </c>
      <c r="M1159" s="31">
        <f>Raw_Data!J1159</f>
        <v/>
      </c>
      <c r="N1159" s="17">
        <f>K1159*L1159</f>
        <v/>
      </c>
      <c r="O1159" s="17">
        <f>N1159*(1-M1159)</f>
        <v/>
      </c>
      <c r="P1159" s="17">
        <f>Raw_Data!L1159</f>
        <v/>
      </c>
      <c r="Q1159" s="17">
        <f>O1159-P1159</f>
        <v/>
      </c>
      <c r="R1159" s="31">
        <f>IF(O1159=0,0,Q1159/O1159)</f>
        <v/>
      </c>
      <c r="S1159">
        <f>XLOOKUP(F1159,Lookups!$B$7:$B$11,Lookups!$C$7:$C$11,"Unknown")</f>
        <v/>
      </c>
      <c r="T1159" s="31">
        <f>XLOOKUP(G1159,Lookups!$E$7:$E$11,Lookups!$F$7:$F$11,0)</f>
        <v/>
      </c>
      <c r="U1159" s="32">
        <f>R1159-T1159</f>
        <v/>
      </c>
      <c r="V1159">
        <f>XLOOKUP(I1159,Lookups!$H$7:$H$10,Lookups!$I$7:$I$10,"")</f>
        <v/>
      </c>
      <c r="W1159">
        <f>IF(O1159&gt;=50000,"HIGH VALUE","")</f>
        <v/>
      </c>
      <c r="X1159">
        <f>IF(Q1159&lt;0,"LOSS","")</f>
        <v/>
      </c>
      <c r="Y1159">
        <f>IFS(M1159&gt;=0.15,"Deep Discount",M1159&gt;=0.1,"Moderate",TRUE,"Standard")</f>
        <v/>
      </c>
    </row>
    <row r="1160">
      <c r="A1160">
        <f>Raw_Data!A1160</f>
        <v/>
      </c>
      <c r="B1160" s="29">
        <f>Raw_Data!B1160</f>
        <v/>
      </c>
      <c r="C1160">
        <f>YEAR(B1160)</f>
        <v/>
      </c>
      <c r="D1160">
        <f>MONTH(B1160)</f>
        <v/>
      </c>
      <c r="E1160">
        <f>TEXT(B1160,"MMM-YYYY")</f>
        <v/>
      </c>
      <c r="F1160">
        <f>Raw_Data!C1160</f>
        <v/>
      </c>
      <c r="G1160">
        <f>Raw_Data!D1160</f>
        <v/>
      </c>
      <c r="H1160">
        <f>Raw_Data!E1160</f>
        <v/>
      </c>
      <c r="I1160">
        <f>Raw_Data!F1160</f>
        <v/>
      </c>
      <c r="J1160">
        <f>Raw_Data!G1160</f>
        <v/>
      </c>
      <c r="K1160">
        <f>Raw_Data!H1160</f>
        <v/>
      </c>
      <c r="L1160" s="30">
        <f>Raw_Data!I1160</f>
        <v/>
      </c>
      <c r="M1160" s="31">
        <f>Raw_Data!J1160</f>
        <v/>
      </c>
      <c r="N1160" s="17">
        <f>K1160*L1160</f>
        <v/>
      </c>
      <c r="O1160" s="17">
        <f>N1160*(1-M1160)</f>
        <v/>
      </c>
      <c r="P1160" s="17">
        <f>Raw_Data!L1160</f>
        <v/>
      </c>
      <c r="Q1160" s="17">
        <f>O1160-P1160</f>
        <v/>
      </c>
      <c r="R1160" s="31">
        <f>IF(O1160=0,0,Q1160/O1160)</f>
        <v/>
      </c>
      <c r="S1160">
        <f>XLOOKUP(F1160,Lookups!$B$7:$B$11,Lookups!$C$7:$C$11,"Unknown")</f>
        <v/>
      </c>
      <c r="T1160" s="31">
        <f>XLOOKUP(G1160,Lookups!$E$7:$E$11,Lookups!$F$7:$F$11,0)</f>
        <v/>
      </c>
      <c r="U1160" s="32">
        <f>R1160-T1160</f>
        <v/>
      </c>
      <c r="V1160">
        <f>XLOOKUP(I1160,Lookups!$H$7:$H$10,Lookups!$I$7:$I$10,"")</f>
        <v/>
      </c>
      <c r="W1160">
        <f>IF(O1160&gt;=50000,"HIGH VALUE","")</f>
        <v/>
      </c>
      <c r="X1160">
        <f>IF(Q1160&lt;0,"LOSS","")</f>
        <v/>
      </c>
      <c r="Y1160">
        <f>IFS(M1160&gt;=0.15,"Deep Discount",M1160&gt;=0.1,"Moderate",TRUE,"Standard")</f>
        <v/>
      </c>
    </row>
    <row r="1161">
      <c r="A1161">
        <f>Raw_Data!A1161</f>
        <v/>
      </c>
      <c r="B1161" s="29">
        <f>Raw_Data!B1161</f>
        <v/>
      </c>
      <c r="C1161">
        <f>YEAR(B1161)</f>
        <v/>
      </c>
      <c r="D1161">
        <f>MONTH(B1161)</f>
        <v/>
      </c>
      <c r="E1161">
        <f>TEXT(B1161,"MMM-YYYY")</f>
        <v/>
      </c>
      <c r="F1161">
        <f>Raw_Data!C1161</f>
        <v/>
      </c>
      <c r="G1161">
        <f>Raw_Data!D1161</f>
        <v/>
      </c>
      <c r="H1161">
        <f>Raw_Data!E1161</f>
        <v/>
      </c>
      <c r="I1161">
        <f>Raw_Data!F1161</f>
        <v/>
      </c>
      <c r="J1161">
        <f>Raw_Data!G1161</f>
        <v/>
      </c>
      <c r="K1161">
        <f>Raw_Data!H1161</f>
        <v/>
      </c>
      <c r="L1161" s="30">
        <f>Raw_Data!I1161</f>
        <v/>
      </c>
      <c r="M1161" s="31">
        <f>Raw_Data!J1161</f>
        <v/>
      </c>
      <c r="N1161" s="17">
        <f>K1161*L1161</f>
        <v/>
      </c>
      <c r="O1161" s="17">
        <f>N1161*(1-M1161)</f>
        <v/>
      </c>
      <c r="P1161" s="17">
        <f>Raw_Data!L1161</f>
        <v/>
      </c>
      <c r="Q1161" s="17">
        <f>O1161-P1161</f>
        <v/>
      </c>
      <c r="R1161" s="31">
        <f>IF(O1161=0,0,Q1161/O1161)</f>
        <v/>
      </c>
      <c r="S1161">
        <f>XLOOKUP(F1161,Lookups!$B$7:$B$11,Lookups!$C$7:$C$11,"Unknown")</f>
        <v/>
      </c>
      <c r="T1161" s="31">
        <f>XLOOKUP(G1161,Lookups!$E$7:$E$11,Lookups!$F$7:$F$11,0)</f>
        <v/>
      </c>
      <c r="U1161" s="32">
        <f>R1161-T1161</f>
        <v/>
      </c>
      <c r="V1161">
        <f>XLOOKUP(I1161,Lookups!$H$7:$H$10,Lookups!$I$7:$I$10,"")</f>
        <v/>
      </c>
      <c r="W1161">
        <f>IF(O1161&gt;=50000,"HIGH VALUE","")</f>
        <v/>
      </c>
      <c r="X1161">
        <f>IF(Q1161&lt;0,"LOSS","")</f>
        <v/>
      </c>
      <c r="Y1161">
        <f>IFS(M1161&gt;=0.15,"Deep Discount",M1161&gt;=0.1,"Moderate",TRUE,"Standard")</f>
        <v/>
      </c>
    </row>
    <row r="1162">
      <c r="A1162">
        <f>Raw_Data!A1162</f>
        <v/>
      </c>
      <c r="B1162" s="29">
        <f>Raw_Data!B1162</f>
        <v/>
      </c>
      <c r="C1162">
        <f>YEAR(B1162)</f>
        <v/>
      </c>
      <c r="D1162">
        <f>MONTH(B1162)</f>
        <v/>
      </c>
      <c r="E1162">
        <f>TEXT(B1162,"MMM-YYYY")</f>
        <v/>
      </c>
      <c r="F1162">
        <f>Raw_Data!C1162</f>
        <v/>
      </c>
      <c r="G1162">
        <f>Raw_Data!D1162</f>
        <v/>
      </c>
      <c r="H1162">
        <f>Raw_Data!E1162</f>
        <v/>
      </c>
      <c r="I1162">
        <f>Raw_Data!F1162</f>
        <v/>
      </c>
      <c r="J1162">
        <f>Raw_Data!G1162</f>
        <v/>
      </c>
      <c r="K1162">
        <f>Raw_Data!H1162</f>
        <v/>
      </c>
      <c r="L1162" s="30">
        <f>Raw_Data!I1162</f>
        <v/>
      </c>
      <c r="M1162" s="31">
        <f>Raw_Data!J1162</f>
        <v/>
      </c>
      <c r="N1162" s="17">
        <f>K1162*L1162</f>
        <v/>
      </c>
      <c r="O1162" s="17">
        <f>N1162*(1-M1162)</f>
        <v/>
      </c>
      <c r="P1162" s="17">
        <f>Raw_Data!L1162</f>
        <v/>
      </c>
      <c r="Q1162" s="17">
        <f>O1162-P1162</f>
        <v/>
      </c>
      <c r="R1162" s="31">
        <f>IF(O1162=0,0,Q1162/O1162)</f>
        <v/>
      </c>
      <c r="S1162">
        <f>XLOOKUP(F1162,Lookups!$B$7:$B$11,Lookups!$C$7:$C$11,"Unknown")</f>
        <v/>
      </c>
      <c r="T1162" s="31">
        <f>XLOOKUP(G1162,Lookups!$E$7:$E$11,Lookups!$F$7:$F$11,0)</f>
        <v/>
      </c>
      <c r="U1162" s="32">
        <f>R1162-T1162</f>
        <v/>
      </c>
      <c r="V1162">
        <f>XLOOKUP(I1162,Lookups!$H$7:$H$10,Lookups!$I$7:$I$10,"")</f>
        <v/>
      </c>
      <c r="W1162">
        <f>IF(O1162&gt;=50000,"HIGH VALUE","")</f>
        <v/>
      </c>
      <c r="X1162">
        <f>IF(Q1162&lt;0,"LOSS","")</f>
        <v/>
      </c>
      <c r="Y1162">
        <f>IFS(M1162&gt;=0.15,"Deep Discount",M1162&gt;=0.1,"Moderate",TRUE,"Standard")</f>
        <v/>
      </c>
    </row>
    <row r="1163">
      <c r="A1163">
        <f>Raw_Data!A1163</f>
        <v/>
      </c>
      <c r="B1163" s="29">
        <f>Raw_Data!B1163</f>
        <v/>
      </c>
      <c r="C1163">
        <f>YEAR(B1163)</f>
        <v/>
      </c>
      <c r="D1163">
        <f>MONTH(B1163)</f>
        <v/>
      </c>
      <c r="E1163">
        <f>TEXT(B1163,"MMM-YYYY")</f>
        <v/>
      </c>
      <c r="F1163">
        <f>Raw_Data!C1163</f>
        <v/>
      </c>
      <c r="G1163">
        <f>Raw_Data!D1163</f>
        <v/>
      </c>
      <c r="H1163">
        <f>Raw_Data!E1163</f>
        <v/>
      </c>
      <c r="I1163">
        <f>Raw_Data!F1163</f>
        <v/>
      </c>
      <c r="J1163">
        <f>Raw_Data!G1163</f>
        <v/>
      </c>
      <c r="K1163">
        <f>Raw_Data!H1163</f>
        <v/>
      </c>
      <c r="L1163" s="30">
        <f>Raw_Data!I1163</f>
        <v/>
      </c>
      <c r="M1163" s="31">
        <f>Raw_Data!J1163</f>
        <v/>
      </c>
      <c r="N1163" s="17">
        <f>K1163*L1163</f>
        <v/>
      </c>
      <c r="O1163" s="17">
        <f>N1163*(1-M1163)</f>
        <v/>
      </c>
      <c r="P1163" s="17">
        <f>Raw_Data!L1163</f>
        <v/>
      </c>
      <c r="Q1163" s="17">
        <f>O1163-P1163</f>
        <v/>
      </c>
      <c r="R1163" s="31">
        <f>IF(O1163=0,0,Q1163/O1163)</f>
        <v/>
      </c>
      <c r="S1163">
        <f>XLOOKUP(F1163,Lookups!$B$7:$B$11,Lookups!$C$7:$C$11,"Unknown")</f>
        <v/>
      </c>
      <c r="T1163" s="31">
        <f>XLOOKUP(G1163,Lookups!$E$7:$E$11,Lookups!$F$7:$F$11,0)</f>
        <v/>
      </c>
      <c r="U1163" s="32">
        <f>R1163-T1163</f>
        <v/>
      </c>
      <c r="V1163">
        <f>XLOOKUP(I1163,Lookups!$H$7:$H$10,Lookups!$I$7:$I$10,"")</f>
        <v/>
      </c>
      <c r="W1163">
        <f>IF(O1163&gt;=50000,"HIGH VALUE","")</f>
        <v/>
      </c>
      <c r="X1163">
        <f>IF(Q1163&lt;0,"LOSS","")</f>
        <v/>
      </c>
      <c r="Y1163">
        <f>IFS(M1163&gt;=0.15,"Deep Discount",M1163&gt;=0.1,"Moderate",TRUE,"Standard")</f>
        <v/>
      </c>
    </row>
    <row r="1164">
      <c r="A1164">
        <f>Raw_Data!A1164</f>
        <v/>
      </c>
      <c r="B1164" s="29">
        <f>Raw_Data!B1164</f>
        <v/>
      </c>
      <c r="C1164">
        <f>YEAR(B1164)</f>
        <v/>
      </c>
      <c r="D1164">
        <f>MONTH(B1164)</f>
        <v/>
      </c>
      <c r="E1164">
        <f>TEXT(B1164,"MMM-YYYY")</f>
        <v/>
      </c>
      <c r="F1164">
        <f>Raw_Data!C1164</f>
        <v/>
      </c>
      <c r="G1164">
        <f>Raw_Data!D1164</f>
        <v/>
      </c>
      <c r="H1164">
        <f>Raw_Data!E1164</f>
        <v/>
      </c>
      <c r="I1164">
        <f>Raw_Data!F1164</f>
        <v/>
      </c>
      <c r="J1164">
        <f>Raw_Data!G1164</f>
        <v/>
      </c>
      <c r="K1164">
        <f>Raw_Data!H1164</f>
        <v/>
      </c>
      <c r="L1164" s="30">
        <f>Raw_Data!I1164</f>
        <v/>
      </c>
      <c r="M1164" s="31">
        <f>Raw_Data!J1164</f>
        <v/>
      </c>
      <c r="N1164" s="17">
        <f>K1164*L1164</f>
        <v/>
      </c>
      <c r="O1164" s="17">
        <f>N1164*(1-M1164)</f>
        <v/>
      </c>
      <c r="P1164" s="17">
        <f>Raw_Data!L1164</f>
        <v/>
      </c>
      <c r="Q1164" s="17">
        <f>O1164-P1164</f>
        <v/>
      </c>
      <c r="R1164" s="31">
        <f>IF(O1164=0,0,Q1164/O1164)</f>
        <v/>
      </c>
      <c r="S1164">
        <f>XLOOKUP(F1164,Lookups!$B$7:$B$11,Lookups!$C$7:$C$11,"Unknown")</f>
        <v/>
      </c>
      <c r="T1164" s="31">
        <f>XLOOKUP(G1164,Lookups!$E$7:$E$11,Lookups!$F$7:$F$11,0)</f>
        <v/>
      </c>
      <c r="U1164" s="32">
        <f>R1164-T1164</f>
        <v/>
      </c>
      <c r="V1164">
        <f>XLOOKUP(I1164,Lookups!$H$7:$H$10,Lookups!$I$7:$I$10,"")</f>
        <v/>
      </c>
      <c r="W1164">
        <f>IF(O1164&gt;=50000,"HIGH VALUE","")</f>
        <v/>
      </c>
      <c r="X1164">
        <f>IF(Q1164&lt;0,"LOSS","")</f>
        <v/>
      </c>
      <c r="Y1164">
        <f>IFS(M1164&gt;=0.15,"Deep Discount",M1164&gt;=0.1,"Moderate",TRUE,"Standard")</f>
        <v/>
      </c>
    </row>
    <row r="1165">
      <c r="A1165">
        <f>Raw_Data!A1165</f>
        <v/>
      </c>
      <c r="B1165" s="29">
        <f>Raw_Data!B1165</f>
        <v/>
      </c>
      <c r="C1165">
        <f>YEAR(B1165)</f>
        <v/>
      </c>
      <c r="D1165">
        <f>MONTH(B1165)</f>
        <v/>
      </c>
      <c r="E1165">
        <f>TEXT(B1165,"MMM-YYYY")</f>
        <v/>
      </c>
      <c r="F1165">
        <f>Raw_Data!C1165</f>
        <v/>
      </c>
      <c r="G1165">
        <f>Raw_Data!D1165</f>
        <v/>
      </c>
      <c r="H1165">
        <f>Raw_Data!E1165</f>
        <v/>
      </c>
      <c r="I1165">
        <f>Raw_Data!F1165</f>
        <v/>
      </c>
      <c r="J1165">
        <f>Raw_Data!G1165</f>
        <v/>
      </c>
      <c r="K1165">
        <f>Raw_Data!H1165</f>
        <v/>
      </c>
      <c r="L1165" s="30">
        <f>Raw_Data!I1165</f>
        <v/>
      </c>
      <c r="M1165" s="31">
        <f>Raw_Data!J1165</f>
        <v/>
      </c>
      <c r="N1165" s="17">
        <f>K1165*L1165</f>
        <v/>
      </c>
      <c r="O1165" s="17">
        <f>N1165*(1-M1165)</f>
        <v/>
      </c>
      <c r="P1165" s="17">
        <f>Raw_Data!L1165</f>
        <v/>
      </c>
      <c r="Q1165" s="17">
        <f>O1165-P1165</f>
        <v/>
      </c>
      <c r="R1165" s="31">
        <f>IF(O1165=0,0,Q1165/O1165)</f>
        <v/>
      </c>
      <c r="S1165">
        <f>XLOOKUP(F1165,Lookups!$B$7:$B$11,Lookups!$C$7:$C$11,"Unknown")</f>
        <v/>
      </c>
      <c r="T1165" s="31">
        <f>XLOOKUP(G1165,Lookups!$E$7:$E$11,Lookups!$F$7:$F$11,0)</f>
        <v/>
      </c>
      <c r="U1165" s="32">
        <f>R1165-T1165</f>
        <v/>
      </c>
      <c r="V1165">
        <f>XLOOKUP(I1165,Lookups!$H$7:$H$10,Lookups!$I$7:$I$10,"")</f>
        <v/>
      </c>
      <c r="W1165">
        <f>IF(O1165&gt;=50000,"HIGH VALUE","")</f>
        <v/>
      </c>
      <c r="X1165">
        <f>IF(Q1165&lt;0,"LOSS","")</f>
        <v/>
      </c>
      <c r="Y1165">
        <f>IFS(M1165&gt;=0.15,"Deep Discount",M1165&gt;=0.1,"Moderate",TRUE,"Standard")</f>
        <v/>
      </c>
    </row>
    <row r="1166">
      <c r="A1166">
        <f>Raw_Data!A1166</f>
        <v/>
      </c>
      <c r="B1166" s="29">
        <f>Raw_Data!B1166</f>
        <v/>
      </c>
      <c r="C1166">
        <f>YEAR(B1166)</f>
        <v/>
      </c>
      <c r="D1166">
        <f>MONTH(B1166)</f>
        <v/>
      </c>
      <c r="E1166">
        <f>TEXT(B1166,"MMM-YYYY")</f>
        <v/>
      </c>
      <c r="F1166">
        <f>Raw_Data!C1166</f>
        <v/>
      </c>
      <c r="G1166">
        <f>Raw_Data!D1166</f>
        <v/>
      </c>
      <c r="H1166">
        <f>Raw_Data!E1166</f>
        <v/>
      </c>
      <c r="I1166">
        <f>Raw_Data!F1166</f>
        <v/>
      </c>
      <c r="J1166">
        <f>Raw_Data!G1166</f>
        <v/>
      </c>
      <c r="K1166">
        <f>Raw_Data!H1166</f>
        <v/>
      </c>
      <c r="L1166" s="30">
        <f>Raw_Data!I1166</f>
        <v/>
      </c>
      <c r="M1166" s="31">
        <f>Raw_Data!J1166</f>
        <v/>
      </c>
      <c r="N1166" s="17">
        <f>K1166*L1166</f>
        <v/>
      </c>
      <c r="O1166" s="17">
        <f>N1166*(1-M1166)</f>
        <v/>
      </c>
      <c r="P1166" s="17">
        <f>Raw_Data!L1166</f>
        <v/>
      </c>
      <c r="Q1166" s="17">
        <f>O1166-P1166</f>
        <v/>
      </c>
      <c r="R1166" s="31">
        <f>IF(O1166=0,0,Q1166/O1166)</f>
        <v/>
      </c>
      <c r="S1166">
        <f>XLOOKUP(F1166,Lookups!$B$7:$B$11,Lookups!$C$7:$C$11,"Unknown")</f>
        <v/>
      </c>
      <c r="T1166" s="31">
        <f>XLOOKUP(G1166,Lookups!$E$7:$E$11,Lookups!$F$7:$F$11,0)</f>
        <v/>
      </c>
      <c r="U1166" s="32">
        <f>R1166-T1166</f>
        <v/>
      </c>
      <c r="V1166">
        <f>XLOOKUP(I1166,Lookups!$H$7:$H$10,Lookups!$I$7:$I$10,"")</f>
        <v/>
      </c>
      <c r="W1166">
        <f>IF(O1166&gt;=50000,"HIGH VALUE","")</f>
        <v/>
      </c>
      <c r="X1166">
        <f>IF(Q1166&lt;0,"LOSS","")</f>
        <v/>
      </c>
      <c r="Y1166">
        <f>IFS(M1166&gt;=0.15,"Deep Discount",M1166&gt;=0.1,"Moderate",TRUE,"Standard")</f>
        <v/>
      </c>
    </row>
    <row r="1167">
      <c r="A1167">
        <f>Raw_Data!A1167</f>
        <v/>
      </c>
      <c r="B1167" s="29">
        <f>Raw_Data!B1167</f>
        <v/>
      </c>
      <c r="C1167">
        <f>YEAR(B1167)</f>
        <v/>
      </c>
      <c r="D1167">
        <f>MONTH(B1167)</f>
        <v/>
      </c>
      <c r="E1167">
        <f>TEXT(B1167,"MMM-YYYY")</f>
        <v/>
      </c>
      <c r="F1167">
        <f>Raw_Data!C1167</f>
        <v/>
      </c>
      <c r="G1167">
        <f>Raw_Data!D1167</f>
        <v/>
      </c>
      <c r="H1167">
        <f>Raw_Data!E1167</f>
        <v/>
      </c>
      <c r="I1167">
        <f>Raw_Data!F1167</f>
        <v/>
      </c>
      <c r="J1167">
        <f>Raw_Data!G1167</f>
        <v/>
      </c>
      <c r="K1167">
        <f>Raw_Data!H1167</f>
        <v/>
      </c>
      <c r="L1167" s="30">
        <f>Raw_Data!I1167</f>
        <v/>
      </c>
      <c r="M1167" s="31">
        <f>Raw_Data!J1167</f>
        <v/>
      </c>
      <c r="N1167" s="17">
        <f>K1167*L1167</f>
        <v/>
      </c>
      <c r="O1167" s="17">
        <f>N1167*(1-M1167)</f>
        <v/>
      </c>
      <c r="P1167" s="17">
        <f>Raw_Data!L1167</f>
        <v/>
      </c>
      <c r="Q1167" s="17">
        <f>O1167-P1167</f>
        <v/>
      </c>
      <c r="R1167" s="31">
        <f>IF(O1167=0,0,Q1167/O1167)</f>
        <v/>
      </c>
      <c r="S1167">
        <f>XLOOKUP(F1167,Lookups!$B$7:$B$11,Lookups!$C$7:$C$11,"Unknown")</f>
        <v/>
      </c>
      <c r="T1167" s="31">
        <f>XLOOKUP(G1167,Lookups!$E$7:$E$11,Lookups!$F$7:$F$11,0)</f>
        <v/>
      </c>
      <c r="U1167" s="32">
        <f>R1167-T1167</f>
        <v/>
      </c>
      <c r="V1167">
        <f>XLOOKUP(I1167,Lookups!$H$7:$H$10,Lookups!$I$7:$I$10,"")</f>
        <v/>
      </c>
      <c r="W1167">
        <f>IF(O1167&gt;=50000,"HIGH VALUE","")</f>
        <v/>
      </c>
      <c r="X1167">
        <f>IF(Q1167&lt;0,"LOSS","")</f>
        <v/>
      </c>
      <c r="Y1167">
        <f>IFS(M1167&gt;=0.15,"Deep Discount",M1167&gt;=0.1,"Moderate",TRUE,"Standard")</f>
        <v/>
      </c>
    </row>
    <row r="1168">
      <c r="A1168">
        <f>Raw_Data!A1168</f>
        <v/>
      </c>
      <c r="B1168" s="29">
        <f>Raw_Data!B1168</f>
        <v/>
      </c>
      <c r="C1168">
        <f>YEAR(B1168)</f>
        <v/>
      </c>
      <c r="D1168">
        <f>MONTH(B1168)</f>
        <v/>
      </c>
      <c r="E1168">
        <f>TEXT(B1168,"MMM-YYYY")</f>
        <v/>
      </c>
      <c r="F1168">
        <f>Raw_Data!C1168</f>
        <v/>
      </c>
      <c r="G1168">
        <f>Raw_Data!D1168</f>
        <v/>
      </c>
      <c r="H1168">
        <f>Raw_Data!E1168</f>
        <v/>
      </c>
      <c r="I1168">
        <f>Raw_Data!F1168</f>
        <v/>
      </c>
      <c r="J1168">
        <f>Raw_Data!G1168</f>
        <v/>
      </c>
      <c r="K1168">
        <f>Raw_Data!H1168</f>
        <v/>
      </c>
      <c r="L1168" s="30">
        <f>Raw_Data!I1168</f>
        <v/>
      </c>
      <c r="M1168" s="31">
        <f>Raw_Data!J1168</f>
        <v/>
      </c>
      <c r="N1168" s="17">
        <f>K1168*L1168</f>
        <v/>
      </c>
      <c r="O1168" s="17">
        <f>N1168*(1-M1168)</f>
        <v/>
      </c>
      <c r="P1168" s="17">
        <f>Raw_Data!L1168</f>
        <v/>
      </c>
      <c r="Q1168" s="17">
        <f>O1168-P1168</f>
        <v/>
      </c>
      <c r="R1168" s="31">
        <f>IF(O1168=0,0,Q1168/O1168)</f>
        <v/>
      </c>
      <c r="S1168">
        <f>XLOOKUP(F1168,Lookups!$B$7:$B$11,Lookups!$C$7:$C$11,"Unknown")</f>
        <v/>
      </c>
      <c r="T1168" s="31">
        <f>XLOOKUP(G1168,Lookups!$E$7:$E$11,Lookups!$F$7:$F$11,0)</f>
        <v/>
      </c>
      <c r="U1168" s="32">
        <f>R1168-T1168</f>
        <v/>
      </c>
      <c r="V1168">
        <f>XLOOKUP(I1168,Lookups!$H$7:$H$10,Lookups!$I$7:$I$10,"")</f>
        <v/>
      </c>
      <c r="W1168">
        <f>IF(O1168&gt;=50000,"HIGH VALUE","")</f>
        <v/>
      </c>
      <c r="X1168">
        <f>IF(Q1168&lt;0,"LOSS","")</f>
        <v/>
      </c>
      <c r="Y1168">
        <f>IFS(M1168&gt;=0.15,"Deep Discount",M1168&gt;=0.1,"Moderate",TRUE,"Standard")</f>
        <v/>
      </c>
    </row>
    <row r="1169">
      <c r="A1169">
        <f>Raw_Data!A1169</f>
        <v/>
      </c>
      <c r="B1169" s="29">
        <f>Raw_Data!B1169</f>
        <v/>
      </c>
      <c r="C1169">
        <f>YEAR(B1169)</f>
        <v/>
      </c>
      <c r="D1169">
        <f>MONTH(B1169)</f>
        <v/>
      </c>
      <c r="E1169">
        <f>TEXT(B1169,"MMM-YYYY")</f>
        <v/>
      </c>
      <c r="F1169">
        <f>Raw_Data!C1169</f>
        <v/>
      </c>
      <c r="G1169">
        <f>Raw_Data!D1169</f>
        <v/>
      </c>
      <c r="H1169">
        <f>Raw_Data!E1169</f>
        <v/>
      </c>
      <c r="I1169">
        <f>Raw_Data!F1169</f>
        <v/>
      </c>
      <c r="J1169">
        <f>Raw_Data!G1169</f>
        <v/>
      </c>
      <c r="K1169">
        <f>Raw_Data!H1169</f>
        <v/>
      </c>
      <c r="L1169" s="30">
        <f>Raw_Data!I1169</f>
        <v/>
      </c>
      <c r="M1169" s="31">
        <f>Raw_Data!J1169</f>
        <v/>
      </c>
      <c r="N1169" s="17">
        <f>K1169*L1169</f>
        <v/>
      </c>
      <c r="O1169" s="17">
        <f>N1169*(1-M1169)</f>
        <v/>
      </c>
      <c r="P1169" s="17">
        <f>Raw_Data!L1169</f>
        <v/>
      </c>
      <c r="Q1169" s="17">
        <f>O1169-P1169</f>
        <v/>
      </c>
      <c r="R1169" s="31">
        <f>IF(O1169=0,0,Q1169/O1169)</f>
        <v/>
      </c>
      <c r="S1169">
        <f>XLOOKUP(F1169,Lookups!$B$7:$B$11,Lookups!$C$7:$C$11,"Unknown")</f>
        <v/>
      </c>
      <c r="T1169" s="31">
        <f>XLOOKUP(G1169,Lookups!$E$7:$E$11,Lookups!$F$7:$F$11,0)</f>
        <v/>
      </c>
      <c r="U1169" s="32">
        <f>R1169-T1169</f>
        <v/>
      </c>
      <c r="V1169">
        <f>XLOOKUP(I1169,Lookups!$H$7:$H$10,Lookups!$I$7:$I$10,"")</f>
        <v/>
      </c>
      <c r="W1169">
        <f>IF(O1169&gt;=50000,"HIGH VALUE","")</f>
        <v/>
      </c>
      <c r="X1169">
        <f>IF(Q1169&lt;0,"LOSS","")</f>
        <v/>
      </c>
      <c r="Y1169">
        <f>IFS(M1169&gt;=0.15,"Deep Discount",M1169&gt;=0.1,"Moderate",TRUE,"Standard")</f>
        <v/>
      </c>
    </row>
    <row r="1170">
      <c r="A1170">
        <f>Raw_Data!A1170</f>
        <v/>
      </c>
      <c r="B1170" s="29">
        <f>Raw_Data!B1170</f>
        <v/>
      </c>
      <c r="C1170">
        <f>YEAR(B1170)</f>
        <v/>
      </c>
      <c r="D1170">
        <f>MONTH(B1170)</f>
        <v/>
      </c>
      <c r="E1170">
        <f>TEXT(B1170,"MMM-YYYY")</f>
        <v/>
      </c>
      <c r="F1170">
        <f>Raw_Data!C1170</f>
        <v/>
      </c>
      <c r="G1170">
        <f>Raw_Data!D1170</f>
        <v/>
      </c>
      <c r="H1170">
        <f>Raw_Data!E1170</f>
        <v/>
      </c>
      <c r="I1170">
        <f>Raw_Data!F1170</f>
        <v/>
      </c>
      <c r="J1170">
        <f>Raw_Data!G1170</f>
        <v/>
      </c>
      <c r="K1170">
        <f>Raw_Data!H1170</f>
        <v/>
      </c>
      <c r="L1170" s="30">
        <f>Raw_Data!I1170</f>
        <v/>
      </c>
      <c r="M1170" s="31">
        <f>Raw_Data!J1170</f>
        <v/>
      </c>
      <c r="N1170" s="17">
        <f>K1170*L1170</f>
        <v/>
      </c>
      <c r="O1170" s="17">
        <f>N1170*(1-M1170)</f>
        <v/>
      </c>
      <c r="P1170" s="17">
        <f>Raw_Data!L1170</f>
        <v/>
      </c>
      <c r="Q1170" s="17">
        <f>O1170-P1170</f>
        <v/>
      </c>
      <c r="R1170" s="31">
        <f>IF(O1170=0,0,Q1170/O1170)</f>
        <v/>
      </c>
      <c r="S1170">
        <f>XLOOKUP(F1170,Lookups!$B$7:$B$11,Lookups!$C$7:$C$11,"Unknown")</f>
        <v/>
      </c>
      <c r="T1170" s="31">
        <f>XLOOKUP(G1170,Lookups!$E$7:$E$11,Lookups!$F$7:$F$11,0)</f>
        <v/>
      </c>
      <c r="U1170" s="32">
        <f>R1170-T1170</f>
        <v/>
      </c>
      <c r="V1170">
        <f>XLOOKUP(I1170,Lookups!$H$7:$H$10,Lookups!$I$7:$I$10,"")</f>
        <v/>
      </c>
      <c r="W1170">
        <f>IF(O1170&gt;=50000,"HIGH VALUE","")</f>
        <v/>
      </c>
      <c r="X1170">
        <f>IF(Q1170&lt;0,"LOSS","")</f>
        <v/>
      </c>
      <c r="Y1170">
        <f>IFS(M1170&gt;=0.15,"Deep Discount",M1170&gt;=0.1,"Moderate",TRUE,"Standard")</f>
        <v/>
      </c>
    </row>
    <row r="1171">
      <c r="A1171">
        <f>Raw_Data!A1171</f>
        <v/>
      </c>
      <c r="B1171" s="29">
        <f>Raw_Data!B1171</f>
        <v/>
      </c>
      <c r="C1171">
        <f>YEAR(B1171)</f>
        <v/>
      </c>
      <c r="D1171">
        <f>MONTH(B1171)</f>
        <v/>
      </c>
      <c r="E1171">
        <f>TEXT(B1171,"MMM-YYYY")</f>
        <v/>
      </c>
      <c r="F1171">
        <f>Raw_Data!C1171</f>
        <v/>
      </c>
      <c r="G1171">
        <f>Raw_Data!D1171</f>
        <v/>
      </c>
      <c r="H1171">
        <f>Raw_Data!E1171</f>
        <v/>
      </c>
      <c r="I1171">
        <f>Raw_Data!F1171</f>
        <v/>
      </c>
      <c r="J1171">
        <f>Raw_Data!G1171</f>
        <v/>
      </c>
      <c r="K1171">
        <f>Raw_Data!H1171</f>
        <v/>
      </c>
      <c r="L1171" s="30">
        <f>Raw_Data!I1171</f>
        <v/>
      </c>
      <c r="M1171" s="31">
        <f>Raw_Data!J1171</f>
        <v/>
      </c>
      <c r="N1171" s="17">
        <f>K1171*L1171</f>
        <v/>
      </c>
      <c r="O1171" s="17">
        <f>N1171*(1-M1171)</f>
        <v/>
      </c>
      <c r="P1171" s="17">
        <f>Raw_Data!L1171</f>
        <v/>
      </c>
      <c r="Q1171" s="17">
        <f>O1171-P1171</f>
        <v/>
      </c>
      <c r="R1171" s="31">
        <f>IF(O1171=0,0,Q1171/O1171)</f>
        <v/>
      </c>
      <c r="S1171">
        <f>XLOOKUP(F1171,Lookups!$B$7:$B$11,Lookups!$C$7:$C$11,"Unknown")</f>
        <v/>
      </c>
      <c r="T1171" s="31">
        <f>XLOOKUP(G1171,Lookups!$E$7:$E$11,Lookups!$F$7:$F$11,0)</f>
        <v/>
      </c>
      <c r="U1171" s="32">
        <f>R1171-T1171</f>
        <v/>
      </c>
      <c r="V1171">
        <f>XLOOKUP(I1171,Lookups!$H$7:$H$10,Lookups!$I$7:$I$10,"")</f>
        <v/>
      </c>
      <c r="W1171">
        <f>IF(O1171&gt;=50000,"HIGH VALUE","")</f>
        <v/>
      </c>
      <c r="X1171">
        <f>IF(Q1171&lt;0,"LOSS","")</f>
        <v/>
      </c>
      <c r="Y1171">
        <f>IFS(M1171&gt;=0.15,"Deep Discount",M1171&gt;=0.1,"Moderate",TRUE,"Standard")</f>
        <v/>
      </c>
    </row>
    <row r="1172">
      <c r="A1172">
        <f>Raw_Data!A1172</f>
        <v/>
      </c>
      <c r="B1172" s="29">
        <f>Raw_Data!B1172</f>
        <v/>
      </c>
      <c r="C1172">
        <f>YEAR(B1172)</f>
        <v/>
      </c>
      <c r="D1172">
        <f>MONTH(B1172)</f>
        <v/>
      </c>
      <c r="E1172">
        <f>TEXT(B1172,"MMM-YYYY")</f>
        <v/>
      </c>
      <c r="F1172">
        <f>Raw_Data!C1172</f>
        <v/>
      </c>
      <c r="G1172">
        <f>Raw_Data!D1172</f>
        <v/>
      </c>
      <c r="H1172">
        <f>Raw_Data!E1172</f>
        <v/>
      </c>
      <c r="I1172">
        <f>Raw_Data!F1172</f>
        <v/>
      </c>
      <c r="J1172">
        <f>Raw_Data!G1172</f>
        <v/>
      </c>
      <c r="K1172">
        <f>Raw_Data!H1172</f>
        <v/>
      </c>
      <c r="L1172" s="30">
        <f>Raw_Data!I1172</f>
        <v/>
      </c>
      <c r="M1172" s="31">
        <f>Raw_Data!J1172</f>
        <v/>
      </c>
      <c r="N1172" s="17">
        <f>K1172*L1172</f>
        <v/>
      </c>
      <c r="O1172" s="17">
        <f>N1172*(1-M1172)</f>
        <v/>
      </c>
      <c r="P1172" s="17">
        <f>Raw_Data!L1172</f>
        <v/>
      </c>
      <c r="Q1172" s="17">
        <f>O1172-P1172</f>
        <v/>
      </c>
      <c r="R1172" s="31">
        <f>IF(O1172=0,0,Q1172/O1172)</f>
        <v/>
      </c>
      <c r="S1172">
        <f>XLOOKUP(F1172,Lookups!$B$7:$B$11,Lookups!$C$7:$C$11,"Unknown")</f>
        <v/>
      </c>
      <c r="T1172" s="31">
        <f>XLOOKUP(G1172,Lookups!$E$7:$E$11,Lookups!$F$7:$F$11,0)</f>
        <v/>
      </c>
      <c r="U1172" s="32">
        <f>R1172-T1172</f>
        <v/>
      </c>
      <c r="V1172">
        <f>XLOOKUP(I1172,Lookups!$H$7:$H$10,Lookups!$I$7:$I$10,"")</f>
        <v/>
      </c>
      <c r="W1172">
        <f>IF(O1172&gt;=50000,"HIGH VALUE","")</f>
        <v/>
      </c>
      <c r="X1172">
        <f>IF(Q1172&lt;0,"LOSS","")</f>
        <v/>
      </c>
      <c r="Y1172">
        <f>IFS(M1172&gt;=0.15,"Deep Discount",M1172&gt;=0.1,"Moderate",TRUE,"Standard")</f>
        <v/>
      </c>
    </row>
    <row r="1173">
      <c r="A1173">
        <f>Raw_Data!A1173</f>
        <v/>
      </c>
      <c r="B1173" s="29">
        <f>Raw_Data!B1173</f>
        <v/>
      </c>
      <c r="C1173">
        <f>YEAR(B1173)</f>
        <v/>
      </c>
      <c r="D1173">
        <f>MONTH(B1173)</f>
        <v/>
      </c>
      <c r="E1173">
        <f>TEXT(B1173,"MMM-YYYY")</f>
        <v/>
      </c>
      <c r="F1173">
        <f>Raw_Data!C1173</f>
        <v/>
      </c>
      <c r="G1173">
        <f>Raw_Data!D1173</f>
        <v/>
      </c>
      <c r="H1173">
        <f>Raw_Data!E1173</f>
        <v/>
      </c>
      <c r="I1173">
        <f>Raw_Data!F1173</f>
        <v/>
      </c>
      <c r="J1173">
        <f>Raw_Data!G1173</f>
        <v/>
      </c>
      <c r="K1173">
        <f>Raw_Data!H1173</f>
        <v/>
      </c>
      <c r="L1173" s="30">
        <f>Raw_Data!I1173</f>
        <v/>
      </c>
      <c r="M1173" s="31">
        <f>Raw_Data!J1173</f>
        <v/>
      </c>
      <c r="N1173" s="17">
        <f>K1173*L1173</f>
        <v/>
      </c>
      <c r="O1173" s="17">
        <f>N1173*(1-M1173)</f>
        <v/>
      </c>
      <c r="P1173" s="17">
        <f>Raw_Data!L1173</f>
        <v/>
      </c>
      <c r="Q1173" s="17">
        <f>O1173-P1173</f>
        <v/>
      </c>
      <c r="R1173" s="31">
        <f>IF(O1173=0,0,Q1173/O1173)</f>
        <v/>
      </c>
      <c r="S1173">
        <f>XLOOKUP(F1173,Lookups!$B$7:$B$11,Lookups!$C$7:$C$11,"Unknown")</f>
        <v/>
      </c>
      <c r="T1173" s="31">
        <f>XLOOKUP(G1173,Lookups!$E$7:$E$11,Lookups!$F$7:$F$11,0)</f>
        <v/>
      </c>
      <c r="U1173" s="32">
        <f>R1173-T1173</f>
        <v/>
      </c>
      <c r="V1173">
        <f>XLOOKUP(I1173,Lookups!$H$7:$H$10,Lookups!$I$7:$I$10,"")</f>
        <v/>
      </c>
      <c r="W1173">
        <f>IF(O1173&gt;=50000,"HIGH VALUE","")</f>
        <v/>
      </c>
      <c r="X1173">
        <f>IF(Q1173&lt;0,"LOSS","")</f>
        <v/>
      </c>
      <c r="Y1173">
        <f>IFS(M1173&gt;=0.15,"Deep Discount",M1173&gt;=0.1,"Moderate",TRUE,"Standard")</f>
        <v/>
      </c>
    </row>
    <row r="1174">
      <c r="A1174">
        <f>Raw_Data!A1174</f>
        <v/>
      </c>
      <c r="B1174" s="29">
        <f>Raw_Data!B1174</f>
        <v/>
      </c>
      <c r="C1174">
        <f>YEAR(B1174)</f>
        <v/>
      </c>
      <c r="D1174">
        <f>MONTH(B1174)</f>
        <v/>
      </c>
      <c r="E1174">
        <f>TEXT(B1174,"MMM-YYYY")</f>
        <v/>
      </c>
      <c r="F1174">
        <f>Raw_Data!C1174</f>
        <v/>
      </c>
      <c r="G1174">
        <f>Raw_Data!D1174</f>
        <v/>
      </c>
      <c r="H1174">
        <f>Raw_Data!E1174</f>
        <v/>
      </c>
      <c r="I1174">
        <f>Raw_Data!F1174</f>
        <v/>
      </c>
      <c r="J1174">
        <f>Raw_Data!G1174</f>
        <v/>
      </c>
      <c r="K1174">
        <f>Raw_Data!H1174</f>
        <v/>
      </c>
      <c r="L1174" s="30">
        <f>Raw_Data!I1174</f>
        <v/>
      </c>
      <c r="M1174" s="31">
        <f>Raw_Data!J1174</f>
        <v/>
      </c>
      <c r="N1174" s="17">
        <f>K1174*L1174</f>
        <v/>
      </c>
      <c r="O1174" s="17">
        <f>N1174*(1-M1174)</f>
        <v/>
      </c>
      <c r="P1174" s="17">
        <f>Raw_Data!L1174</f>
        <v/>
      </c>
      <c r="Q1174" s="17">
        <f>O1174-P1174</f>
        <v/>
      </c>
      <c r="R1174" s="31">
        <f>IF(O1174=0,0,Q1174/O1174)</f>
        <v/>
      </c>
      <c r="S1174">
        <f>XLOOKUP(F1174,Lookups!$B$7:$B$11,Lookups!$C$7:$C$11,"Unknown")</f>
        <v/>
      </c>
      <c r="T1174" s="31">
        <f>XLOOKUP(G1174,Lookups!$E$7:$E$11,Lookups!$F$7:$F$11,0)</f>
        <v/>
      </c>
      <c r="U1174" s="32">
        <f>R1174-T1174</f>
        <v/>
      </c>
      <c r="V1174">
        <f>XLOOKUP(I1174,Lookups!$H$7:$H$10,Lookups!$I$7:$I$10,"")</f>
        <v/>
      </c>
      <c r="W1174">
        <f>IF(O1174&gt;=50000,"HIGH VALUE","")</f>
        <v/>
      </c>
      <c r="X1174">
        <f>IF(Q1174&lt;0,"LOSS","")</f>
        <v/>
      </c>
      <c r="Y1174">
        <f>IFS(M1174&gt;=0.15,"Deep Discount",M1174&gt;=0.1,"Moderate",TRUE,"Standard")</f>
        <v/>
      </c>
    </row>
    <row r="1175">
      <c r="A1175">
        <f>Raw_Data!A1175</f>
        <v/>
      </c>
      <c r="B1175" s="29">
        <f>Raw_Data!B1175</f>
        <v/>
      </c>
      <c r="C1175">
        <f>YEAR(B1175)</f>
        <v/>
      </c>
      <c r="D1175">
        <f>MONTH(B1175)</f>
        <v/>
      </c>
      <c r="E1175">
        <f>TEXT(B1175,"MMM-YYYY")</f>
        <v/>
      </c>
      <c r="F1175">
        <f>Raw_Data!C1175</f>
        <v/>
      </c>
      <c r="G1175">
        <f>Raw_Data!D1175</f>
        <v/>
      </c>
      <c r="H1175">
        <f>Raw_Data!E1175</f>
        <v/>
      </c>
      <c r="I1175">
        <f>Raw_Data!F1175</f>
        <v/>
      </c>
      <c r="J1175">
        <f>Raw_Data!G1175</f>
        <v/>
      </c>
      <c r="K1175">
        <f>Raw_Data!H1175</f>
        <v/>
      </c>
      <c r="L1175" s="30">
        <f>Raw_Data!I1175</f>
        <v/>
      </c>
      <c r="M1175" s="31">
        <f>Raw_Data!J1175</f>
        <v/>
      </c>
      <c r="N1175" s="17">
        <f>K1175*L1175</f>
        <v/>
      </c>
      <c r="O1175" s="17">
        <f>N1175*(1-M1175)</f>
        <v/>
      </c>
      <c r="P1175" s="17">
        <f>Raw_Data!L1175</f>
        <v/>
      </c>
      <c r="Q1175" s="17">
        <f>O1175-P1175</f>
        <v/>
      </c>
      <c r="R1175" s="31">
        <f>IF(O1175=0,0,Q1175/O1175)</f>
        <v/>
      </c>
      <c r="S1175">
        <f>XLOOKUP(F1175,Lookups!$B$7:$B$11,Lookups!$C$7:$C$11,"Unknown")</f>
        <v/>
      </c>
      <c r="T1175" s="31">
        <f>XLOOKUP(G1175,Lookups!$E$7:$E$11,Lookups!$F$7:$F$11,0)</f>
        <v/>
      </c>
      <c r="U1175" s="32">
        <f>R1175-T1175</f>
        <v/>
      </c>
      <c r="V1175">
        <f>XLOOKUP(I1175,Lookups!$H$7:$H$10,Lookups!$I$7:$I$10,"")</f>
        <v/>
      </c>
      <c r="W1175">
        <f>IF(O1175&gt;=50000,"HIGH VALUE","")</f>
        <v/>
      </c>
      <c r="X1175">
        <f>IF(Q1175&lt;0,"LOSS","")</f>
        <v/>
      </c>
      <c r="Y1175">
        <f>IFS(M1175&gt;=0.15,"Deep Discount",M1175&gt;=0.1,"Moderate",TRUE,"Standard")</f>
        <v/>
      </c>
    </row>
    <row r="1176">
      <c r="A1176">
        <f>Raw_Data!A1176</f>
        <v/>
      </c>
      <c r="B1176" s="29">
        <f>Raw_Data!B1176</f>
        <v/>
      </c>
      <c r="C1176">
        <f>YEAR(B1176)</f>
        <v/>
      </c>
      <c r="D1176">
        <f>MONTH(B1176)</f>
        <v/>
      </c>
      <c r="E1176">
        <f>TEXT(B1176,"MMM-YYYY")</f>
        <v/>
      </c>
      <c r="F1176">
        <f>Raw_Data!C1176</f>
        <v/>
      </c>
      <c r="G1176">
        <f>Raw_Data!D1176</f>
        <v/>
      </c>
      <c r="H1176">
        <f>Raw_Data!E1176</f>
        <v/>
      </c>
      <c r="I1176">
        <f>Raw_Data!F1176</f>
        <v/>
      </c>
      <c r="J1176">
        <f>Raw_Data!G1176</f>
        <v/>
      </c>
      <c r="K1176">
        <f>Raw_Data!H1176</f>
        <v/>
      </c>
      <c r="L1176" s="30">
        <f>Raw_Data!I1176</f>
        <v/>
      </c>
      <c r="M1176" s="31">
        <f>Raw_Data!J1176</f>
        <v/>
      </c>
      <c r="N1176" s="17">
        <f>K1176*L1176</f>
        <v/>
      </c>
      <c r="O1176" s="17">
        <f>N1176*(1-M1176)</f>
        <v/>
      </c>
      <c r="P1176" s="17">
        <f>Raw_Data!L1176</f>
        <v/>
      </c>
      <c r="Q1176" s="17">
        <f>O1176-P1176</f>
        <v/>
      </c>
      <c r="R1176" s="31">
        <f>IF(O1176=0,0,Q1176/O1176)</f>
        <v/>
      </c>
      <c r="S1176">
        <f>XLOOKUP(F1176,Lookups!$B$7:$B$11,Lookups!$C$7:$C$11,"Unknown")</f>
        <v/>
      </c>
      <c r="T1176" s="31">
        <f>XLOOKUP(G1176,Lookups!$E$7:$E$11,Lookups!$F$7:$F$11,0)</f>
        <v/>
      </c>
      <c r="U1176" s="32">
        <f>R1176-T1176</f>
        <v/>
      </c>
      <c r="V1176">
        <f>XLOOKUP(I1176,Lookups!$H$7:$H$10,Lookups!$I$7:$I$10,"")</f>
        <v/>
      </c>
      <c r="W1176">
        <f>IF(O1176&gt;=50000,"HIGH VALUE","")</f>
        <v/>
      </c>
      <c r="X1176">
        <f>IF(Q1176&lt;0,"LOSS","")</f>
        <v/>
      </c>
      <c r="Y1176">
        <f>IFS(M1176&gt;=0.15,"Deep Discount",M1176&gt;=0.1,"Moderate",TRUE,"Standard")</f>
        <v/>
      </c>
    </row>
    <row r="1177">
      <c r="A1177">
        <f>Raw_Data!A1177</f>
        <v/>
      </c>
      <c r="B1177" s="29">
        <f>Raw_Data!B1177</f>
        <v/>
      </c>
      <c r="C1177">
        <f>YEAR(B1177)</f>
        <v/>
      </c>
      <c r="D1177">
        <f>MONTH(B1177)</f>
        <v/>
      </c>
      <c r="E1177">
        <f>TEXT(B1177,"MMM-YYYY")</f>
        <v/>
      </c>
      <c r="F1177">
        <f>Raw_Data!C1177</f>
        <v/>
      </c>
      <c r="G1177">
        <f>Raw_Data!D1177</f>
        <v/>
      </c>
      <c r="H1177">
        <f>Raw_Data!E1177</f>
        <v/>
      </c>
      <c r="I1177">
        <f>Raw_Data!F1177</f>
        <v/>
      </c>
      <c r="J1177">
        <f>Raw_Data!G1177</f>
        <v/>
      </c>
      <c r="K1177">
        <f>Raw_Data!H1177</f>
        <v/>
      </c>
      <c r="L1177" s="30">
        <f>Raw_Data!I1177</f>
        <v/>
      </c>
      <c r="M1177" s="31">
        <f>Raw_Data!J1177</f>
        <v/>
      </c>
      <c r="N1177" s="17">
        <f>K1177*L1177</f>
        <v/>
      </c>
      <c r="O1177" s="17">
        <f>N1177*(1-M1177)</f>
        <v/>
      </c>
      <c r="P1177" s="17">
        <f>Raw_Data!L1177</f>
        <v/>
      </c>
      <c r="Q1177" s="17">
        <f>O1177-P1177</f>
        <v/>
      </c>
      <c r="R1177" s="31">
        <f>IF(O1177=0,0,Q1177/O1177)</f>
        <v/>
      </c>
      <c r="S1177">
        <f>XLOOKUP(F1177,Lookups!$B$7:$B$11,Lookups!$C$7:$C$11,"Unknown")</f>
        <v/>
      </c>
      <c r="T1177" s="31">
        <f>XLOOKUP(G1177,Lookups!$E$7:$E$11,Lookups!$F$7:$F$11,0)</f>
        <v/>
      </c>
      <c r="U1177" s="32">
        <f>R1177-T1177</f>
        <v/>
      </c>
      <c r="V1177">
        <f>XLOOKUP(I1177,Lookups!$H$7:$H$10,Lookups!$I$7:$I$10,"")</f>
        <v/>
      </c>
      <c r="W1177">
        <f>IF(O1177&gt;=50000,"HIGH VALUE","")</f>
        <v/>
      </c>
      <c r="X1177">
        <f>IF(Q1177&lt;0,"LOSS","")</f>
        <v/>
      </c>
      <c r="Y1177">
        <f>IFS(M1177&gt;=0.15,"Deep Discount",M1177&gt;=0.1,"Moderate",TRUE,"Standard")</f>
        <v/>
      </c>
    </row>
    <row r="1178">
      <c r="A1178">
        <f>Raw_Data!A1178</f>
        <v/>
      </c>
      <c r="B1178" s="29">
        <f>Raw_Data!B1178</f>
        <v/>
      </c>
      <c r="C1178">
        <f>YEAR(B1178)</f>
        <v/>
      </c>
      <c r="D1178">
        <f>MONTH(B1178)</f>
        <v/>
      </c>
      <c r="E1178">
        <f>TEXT(B1178,"MMM-YYYY")</f>
        <v/>
      </c>
      <c r="F1178">
        <f>Raw_Data!C1178</f>
        <v/>
      </c>
      <c r="G1178">
        <f>Raw_Data!D1178</f>
        <v/>
      </c>
      <c r="H1178">
        <f>Raw_Data!E1178</f>
        <v/>
      </c>
      <c r="I1178">
        <f>Raw_Data!F1178</f>
        <v/>
      </c>
      <c r="J1178">
        <f>Raw_Data!G1178</f>
        <v/>
      </c>
      <c r="K1178">
        <f>Raw_Data!H1178</f>
        <v/>
      </c>
      <c r="L1178" s="30">
        <f>Raw_Data!I1178</f>
        <v/>
      </c>
      <c r="M1178" s="31">
        <f>Raw_Data!J1178</f>
        <v/>
      </c>
      <c r="N1178" s="17">
        <f>K1178*L1178</f>
        <v/>
      </c>
      <c r="O1178" s="17">
        <f>N1178*(1-M1178)</f>
        <v/>
      </c>
      <c r="P1178" s="17">
        <f>Raw_Data!L1178</f>
        <v/>
      </c>
      <c r="Q1178" s="17">
        <f>O1178-P1178</f>
        <v/>
      </c>
      <c r="R1178" s="31">
        <f>IF(O1178=0,0,Q1178/O1178)</f>
        <v/>
      </c>
      <c r="S1178">
        <f>XLOOKUP(F1178,Lookups!$B$7:$B$11,Lookups!$C$7:$C$11,"Unknown")</f>
        <v/>
      </c>
      <c r="T1178" s="31">
        <f>XLOOKUP(G1178,Lookups!$E$7:$E$11,Lookups!$F$7:$F$11,0)</f>
        <v/>
      </c>
      <c r="U1178" s="32">
        <f>R1178-T1178</f>
        <v/>
      </c>
      <c r="V1178">
        <f>XLOOKUP(I1178,Lookups!$H$7:$H$10,Lookups!$I$7:$I$10,"")</f>
        <v/>
      </c>
      <c r="W1178">
        <f>IF(O1178&gt;=50000,"HIGH VALUE","")</f>
        <v/>
      </c>
      <c r="X1178">
        <f>IF(Q1178&lt;0,"LOSS","")</f>
        <v/>
      </c>
      <c r="Y1178">
        <f>IFS(M1178&gt;=0.15,"Deep Discount",M1178&gt;=0.1,"Moderate",TRUE,"Standard")</f>
        <v/>
      </c>
    </row>
    <row r="1179">
      <c r="A1179">
        <f>Raw_Data!A1179</f>
        <v/>
      </c>
      <c r="B1179" s="29">
        <f>Raw_Data!B1179</f>
        <v/>
      </c>
      <c r="C1179">
        <f>YEAR(B1179)</f>
        <v/>
      </c>
      <c r="D1179">
        <f>MONTH(B1179)</f>
        <v/>
      </c>
      <c r="E1179">
        <f>TEXT(B1179,"MMM-YYYY")</f>
        <v/>
      </c>
      <c r="F1179">
        <f>Raw_Data!C1179</f>
        <v/>
      </c>
      <c r="G1179">
        <f>Raw_Data!D1179</f>
        <v/>
      </c>
      <c r="H1179">
        <f>Raw_Data!E1179</f>
        <v/>
      </c>
      <c r="I1179">
        <f>Raw_Data!F1179</f>
        <v/>
      </c>
      <c r="J1179">
        <f>Raw_Data!G1179</f>
        <v/>
      </c>
      <c r="K1179">
        <f>Raw_Data!H1179</f>
        <v/>
      </c>
      <c r="L1179" s="30">
        <f>Raw_Data!I1179</f>
        <v/>
      </c>
      <c r="M1179" s="31">
        <f>Raw_Data!J1179</f>
        <v/>
      </c>
      <c r="N1179" s="17">
        <f>K1179*L1179</f>
        <v/>
      </c>
      <c r="O1179" s="17">
        <f>N1179*(1-M1179)</f>
        <v/>
      </c>
      <c r="P1179" s="17">
        <f>Raw_Data!L1179</f>
        <v/>
      </c>
      <c r="Q1179" s="17">
        <f>O1179-P1179</f>
        <v/>
      </c>
      <c r="R1179" s="31">
        <f>IF(O1179=0,0,Q1179/O1179)</f>
        <v/>
      </c>
      <c r="S1179">
        <f>XLOOKUP(F1179,Lookups!$B$7:$B$11,Lookups!$C$7:$C$11,"Unknown")</f>
        <v/>
      </c>
      <c r="T1179" s="31">
        <f>XLOOKUP(G1179,Lookups!$E$7:$E$11,Lookups!$F$7:$F$11,0)</f>
        <v/>
      </c>
      <c r="U1179" s="32">
        <f>R1179-T1179</f>
        <v/>
      </c>
      <c r="V1179">
        <f>XLOOKUP(I1179,Lookups!$H$7:$H$10,Lookups!$I$7:$I$10,"")</f>
        <v/>
      </c>
      <c r="W1179">
        <f>IF(O1179&gt;=50000,"HIGH VALUE","")</f>
        <v/>
      </c>
      <c r="X1179">
        <f>IF(Q1179&lt;0,"LOSS","")</f>
        <v/>
      </c>
      <c r="Y1179">
        <f>IFS(M1179&gt;=0.15,"Deep Discount",M1179&gt;=0.1,"Moderate",TRUE,"Standard")</f>
        <v/>
      </c>
    </row>
    <row r="1180">
      <c r="A1180">
        <f>Raw_Data!A1180</f>
        <v/>
      </c>
      <c r="B1180" s="29">
        <f>Raw_Data!B1180</f>
        <v/>
      </c>
      <c r="C1180">
        <f>YEAR(B1180)</f>
        <v/>
      </c>
      <c r="D1180">
        <f>MONTH(B1180)</f>
        <v/>
      </c>
      <c r="E1180">
        <f>TEXT(B1180,"MMM-YYYY")</f>
        <v/>
      </c>
      <c r="F1180">
        <f>Raw_Data!C1180</f>
        <v/>
      </c>
      <c r="G1180">
        <f>Raw_Data!D1180</f>
        <v/>
      </c>
      <c r="H1180">
        <f>Raw_Data!E1180</f>
        <v/>
      </c>
      <c r="I1180">
        <f>Raw_Data!F1180</f>
        <v/>
      </c>
      <c r="J1180">
        <f>Raw_Data!G1180</f>
        <v/>
      </c>
      <c r="K1180">
        <f>Raw_Data!H1180</f>
        <v/>
      </c>
      <c r="L1180" s="30">
        <f>Raw_Data!I1180</f>
        <v/>
      </c>
      <c r="M1180" s="31">
        <f>Raw_Data!J1180</f>
        <v/>
      </c>
      <c r="N1180" s="17">
        <f>K1180*L1180</f>
        <v/>
      </c>
      <c r="O1180" s="17">
        <f>N1180*(1-M1180)</f>
        <v/>
      </c>
      <c r="P1180" s="17">
        <f>Raw_Data!L1180</f>
        <v/>
      </c>
      <c r="Q1180" s="17">
        <f>O1180-P1180</f>
        <v/>
      </c>
      <c r="R1180" s="31">
        <f>IF(O1180=0,0,Q1180/O1180)</f>
        <v/>
      </c>
      <c r="S1180">
        <f>XLOOKUP(F1180,Lookups!$B$7:$B$11,Lookups!$C$7:$C$11,"Unknown")</f>
        <v/>
      </c>
      <c r="T1180" s="31">
        <f>XLOOKUP(G1180,Lookups!$E$7:$E$11,Lookups!$F$7:$F$11,0)</f>
        <v/>
      </c>
      <c r="U1180" s="32">
        <f>R1180-T1180</f>
        <v/>
      </c>
      <c r="V1180">
        <f>XLOOKUP(I1180,Lookups!$H$7:$H$10,Lookups!$I$7:$I$10,"")</f>
        <v/>
      </c>
      <c r="W1180">
        <f>IF(O1180&gt;=50000,"HIGH VALUE","")</f>
        <v/>
      </c>
      <c r="X1180">
        <f>IF(Q1180&lt;0,"LOSS","")</f>
        <v/>
      </c>
      <c r="Y1180">
        <f>IFS(M1180&gt;=0.15,"Deep Discount",M1180&gt;=0.1,"Moderate",TRUE,"Standard")</f>
        <v/>
      </c>
    </row>
    <row r="1181">
      <c r="A1181">
        <f>Raw_Data!A1181</f>
        <v/>
      </c>
      <c r="B1181" s="29">
        <f>Raw_Data!B1181</f>
        <v/>
      </c>
      <c r="C1181">
        <f>YEAR(B1181)</f>
        <v/>
      </c>
      <c r="D1181">
        <f>MONTH(B1181)</f>
        <v/>
      </c>
      <c r="E1181">
        <f>TEXT(B1181,"MMM-YYYY")</f>
        <v/>
      </c>
      <c r="F1181">
        <f>Raw_Data!C1181</f>
        <v/>
      </c>
      <c r="G1181">
        <f>Raw_Data!D1181</f>
        <v/>
      </c>
      <c r="H1181">
        <f>Raw_Data!E1181</f>
        <v/>
      </c>
      <c r="I1181">
        <f>Raw_Data!F1181</f>
        <v/>
      </c>
      <c r="J1181">
        <f>Raw_Data!G1181</f>
        <v/>
      </c>
      <c r="K1181">
        <f>Raw_Data!H1181</f>
        <v/>
      </c>
      <c r="L1181" s="30">
        <f>Raw_Data!I1181</f>
        <v/>
      </c>
      <c r="M1181" s="31">
        <f>Raw_Data!J1181</f>
        <v/>
      </c>
      <c r="N1181" s="17">
        <f>K1181*L1181</f>
        <v/>
      </c>
      <c r="O1181" s="17">
        <f>N1181*(1-M1181)</f>
        <v/>
      </c>
      <c r="P1181" s="17">
        <f>Raw_Data!L1181</f>
        <v/>
      </c>
      <c r="Q1181" s="17">
        <f>O1181-P1181</f>
        <v/>
      </c>
      <c r="R1181" s="31">
        <f>IF(O1181=0,0,Q1181/O1181)</f>
        <v/>
      </c>
      <c r="S1181">
        <f>XLOOKUP(F1181,Lookups!$B$7:$B$11,Lookups!$C$7:$C$11,"Unknown")</f>
        <v/>
      </c>
      <c r="T1181" s="31">
        <f>XLOOKUP(G1181,Lookups!$E$7:$E$11,Lookups!$F$7:$F$11,0)</f>
        <v/>
      </c>
      <c r="U1181" s="32">
        <f>R1181-T1181</f>
        <v/>
      </c>
      <c r="V1181">
        <f>XLOOKUP(I1181,Lookups!$H$7:$H$10,Lookups!$I$7:$I$10,"")</f>
        <v/>
      </c>
      <c r="W1181">
        <f>IF(O1181&gt;=50000,"HIGH VALUE","")</f>
        <v/>
      </c>
      <c r="X1181">
        <f>IF(Q1181&lt;0,"LOSS","")</f>
        <v/>
      </c>
      <c r="Y1181">
        <f>IFS(M1181&gt;=0.15,"Deep Discount",M1181&gt;=0.1,"Moderate",TRUE,"Standard")</f>
        <v/>
      </c>
    </row>
    <row r="1182">
      <c r="A1182">
        <f>Raw_Data!A1182</f>
        <v/>
      </c>
      <c r="B1182" s="29">
        <f>Raw_Data!B1182</f>
        <v/>
      </c>
      <c r="C1182">
        <f>YEAR(B1182)</f>
        <v/>
      </c>
      <c r="D1182">
        <f>MONTH(B1182)</f>
        <v/>
      </c>
      <c r="E1182">
        <f>TEXT(B1182,"MMM-YYYY")</f>
        <v/>
      </c>
      <c r="F1182">
        <f>Raw_Data!C1182</f>
        <v/>
      </c>
      <c r="G1182">
        <f>Raw_Data!D1182</f>
        <v/>
      </c>
      <c r="H1182">
        <f>Raw_Data!E1182</f>
        <v/>
      </c>
      <c r="I1182">
        <f>Raw_Data!F1182</f>
        <v/>
      </c>
      <c r="J1182">
        <f>Raw_Data!G1182</f>
        <v/>
      </c>
      <c r="K1182">
        <f>Raw_Data!H1182</f>
        <v/>
      </c>
      <c r="L1182" s="30">
        <f>Raw_Data!I1182</f>
        <v/>
      </c>
      <c r="M1182" s="31">
        <f>Raw_Data!J1182</f>
        <v/>
      </c>
      <c r="N1182" s="17">
        <f>K1182*L1182</f>
        <v/>
      </c>
      <c r="O1182" s="17">
        <f>N1182*(1-M1182)</f>
        <v/>
      </c>
      <c r="P1182" s="17">
        <f>Raw_Data!L1182</f>
        <v/>
      </c>
      <c r="Q1182" s="17">
        <f>O1182-P1182</f>
        <v/>
      </c>
      <c r="R1182" s="31">
        <f>IF(O1182=0,0,Q1182/O1182)</f>
        <v/>
      </c>
      <c r="S1182">
        <f>XLOOKUP(F1182,Lookups!$B$7:$B$11,Lookups!$C$7:$C$11,"Unknown")</f>
        <v/>
      </c>
      <c r="T1182" s="31">
        <f>XLOOKUP(G1182,Lookups!$E$7:$E$11,Lookups!$F$7:$F$11,0)</f>
        <v/>
      </c>
      <c r="U1182" s="32">
        <f>R1182-T1182</f>
        <v/>
      </c>
      <c r="V1182">
        <f>XLOOKUP(I1182,Lookups!$H$7:$H$10,Lookups!$I$7:$I$10,"")</f>
        <v/>
      </c>
      <c r="W1182">
        <f>IF(O1182&gt;=50000,"HIGH VALUE","")</f>
        <v/>
      </c>
      <c r="X1182">
        <f>IF(Q1182&lt;0,"LOSS","")</f>
        <v/>
      </c>
      <c r="Y1182">
        <f>IFS(M1182&gt;=0.15,"Deep Discount",M1182&gt;=0.1,"Moderate",TRUE,"Standard")</f>
        <v/>
      </c>
    </row>
    <row r="1183">
      <c r="A1183">
        <f>Raw_Data!A1183</f>
        <v/>
      </c>
      <c r="B1183" s="29">
        <f>Raw_Data!B1183</f>
        <v/>
      </c>
      <c r="C1183">
        <f>YEAR(B1183)</f>
        <v/>
      </c>
      <c r="D1183">
        <f>MONTH(B1183)</f>
        <v/>
      </c>
      <c r="E1183">
        <f>TEXT(B1183,"MMM-YYYY")</f>
        <v/>
      </c>
      <c r="F1183">
        <f>Raw_Data!C1183</f>
        <v/>
      </c>
      <c r="G1183">
        <f>Raw_Data!D1183</f>
        <v/>
      </c>
      <c r="H1183">
        <f>Raw_Data!E1183</f>
        <v/>
      </c>
      <c r="I1183">
        <f>Raw_Data!F1183</f>
        <v/>
      </c>
      <c r="J1183">
        <f>Raw_Data!G1183</f>
        <v/>
      </c>
      <c r="K1183">
        <f>Raw_Data!H1183</f>
        <v/>
      </c>
      <c r="L1183" s="30">
        <f>Raw_Data!I1183</f>
        <v/>
      </c>
      <c r="M1183" s="31">
        <f>Raw_Data!J1183</f>
        <v/>
      </c>
      <c r="N1183" s="17">
        <f>K1183*L1183</f>
        <v/>
      </c>
      <c r="O1183" s="17">
        <f>N1183*(1-M1183)</f>
        <v/>
      </c>
      <c r="P1183" s="17">
        <f>Raw_Data!L1183</f>
        <v/>
      </c>
      <c r="Q1183" s="17">
        <f>O1183-P1183</f>
        <v/>
      </c>
      <c r="R1183" s="31">
        <f>IF(O1183=0,0,Q1183/O1183)</f>
        <v/>
      </c>
      <c r="S1183">
        <f>XLOOKUP(F1183,Lookups!$B$7:$B$11,Lookups!$C$7:$C$11,"Unknown")</f>
        <v/>
      </c>
      <c r="T1183" s="31">
        <f>XLOOKUP(G1183,Lookups!$E$7:$E$11,Lookups!$F$7:$F$11,0)</f>
        <v/>
      </c>
      <c r="U1183" s="32">
        <f>R1183-T1183</f>
        <v/>
      </c>
      <c r="V1183">
        <f>XLOOKUP(I1183,Lookups!$H$7:$H$10,Lookups!$I$7:$I$10,"")</f>
        <v/>
      </c>
      <c r="W1183">
        <f>IF(O1183&gt;=50000,"HIGH VALUE","")</f>
        <v/>
      </c>
      <c r="X1183">
        <f>IF(Q1183&lt;0,"LOSS","")</f>
        <v/>
      </c>
      <c r="Y1183">
        <f>IFS(M1183&gt;=0.15,"Deep Discount",M1183&gt;=0.1,"Moderate",TRUE,"Standard")</f>
        <v/>
      </c>
    </row>
    <row r="1184">
      <c r="A1184">
        <f>Raw_Data!A1184</f>
        <v/>
      </c>
      <c r="B1184" s="29">
        <f>Raw_Data!B1184</f>
        <v/>
      </c>
      <c r="C1184">
        <f>YEAR(B1184)</f>
        <v/>
      </c>
      <c r="D1184">
        <f>MONTH(B1184)</f>
        <v/>
      </c>
      <c r="E1184">
        <f>TEXT(B1184,"MMM-YYYY")</f>
        <v/>
      </c>
      <c r="F1184">
        <f>Raw_Data!C1184</f>
        <v/>
      </c>
      <c r="G1184">
        <f>Raw_Data!D1184</f>
        <v/>
      </c>
      <c r="H1184">
        <f>Raw_Data!E1184</f>
        <v/>
      </c>
      <c r="I1184">
        <f>Raw_Data!F1184</f>
        <v/>
      </c>
      <c r="J1184">
        <f>Raw_Data!G1184</f>
        <v/>
      </c>
      <c r="K1184">
        <f>Raw_Data!H1184</f>
        <v/>
      </c>
      <c r="L1184" s="30">
        <f>Raw_Data!I1184</f>
        <v/>
      </c>
      <c r="M1184" s="31">
        <f>Raw_Data!J1184</f>
        <v/>
      </c>
      <c r="N1184" s="17">
        <f>K1184*L1184</f>
        <v/>
      </c>
      <c r="O1184" s="17">
        <f>N1184*(1-M1184)</f>
        <v/>
      </c>
      <c r="P1184" s="17">
        <f>Raw_Data!L1184</f>
        <v/>
      </c>
      <c r="Q1184" s="17">
        <f>O1184-P1184</f>
        <v/>
      </c>
      <c r="R1184" s="31">
        <f>IF(O1184=0,0,Q1184/O1184)</f>
        <v/>
      </c>
      <c r="S1184">
        <f>XLOOKUP(F1184,Lookups!$B$7:$B$11,Lookups!$C$7:$C$11,"Unknown")</f>
        <v/>
      </c>
      <c r="T1184" s="31">
        <f>XLOOKUP(G1184,Lookups!$E$7:$E$11,Lookups!$F$7:$F$11,0)</f>
        <v/>
      </c>
      <c r="U1184" s="32">
        <f>R1184-T1184</f>
        <v/>
      </c>
      <c r="V1184">
        <f>XLOOKUP(I1184,Lookups!$H$7:$H$10,Lookups!$I$7:$I$10,"")</f>
        <v/>
      </c>
      <c r="W1184">
        <f>IF(O1184&gt;=50000,"HIGH VALUE","")</f>
        <v/>
      </c>
      <c r="X1184">
        <f>IF(Q1184&lt;0,"LOSS","")</f>
        <v/>
      </c>
      <c r="Y1184">
        <f>IFS(M1184&gt;=0.15,"Deep Discount",M1184&gt;=0.1,"Moderate",TRUE,"Standard")</f>
        <v/>
      </c>
    </row>
    <row r="1185">
      <c r="A1185">
        <f>Raw_Data!A1185</f>
        <v/>
      </c>
      <c r="B1185" s="29">
        <f>Raw_Data!B1185</f>
        <v/>
      </c>
      <c r="C1185">
        <f>YEAR(B1185)</f>
        <v/>
      </c>
      <c r="D1185">
        <f>MONTH(B1185)</f>
        <v/>
      </c>
      <c r="E1185">
        <f>TEXT(B1185,"MMM-YYYY")</f>
        <v/>
      </c>
      <c r="F1185">
        <f>Raw_Data!C1185</f>
        <v/>
      </c>
      <c r="G1185">
        <f>Raw_Data!D1185</f>
        <v/>
      </c>
      <c r="H1185">
        <f>Raw_Data!E1185</f>
        <v/>
      </c>
      <c r="I1185">
        <f>Raw_Data!F1185</f>
        <v/>
      </c>
      <c r="J1185">
        <f>Raw_Data!G1185</f>
        <v/>
      </c>
      <c r="K1185">
        <f>Raw_Data!H1185</f>
        <v/>
      </c>
      <c r="L1185" s="30">
        <f>Raw_Data!I1185</f>
        <v/>
      </c>
      <c r="M1185" s="31">
        <f>Raw_Data!J1185</f>
        <v/>
      </c>
      <c r="N1185" s="17">
        <f>K1185*L1185</f>
        <v/>
      </c>
      <c r="O1185" s="17">
        <f>N1185*(1-M1185)</f>
        <v/>
      </c>
      <c r="P1185" s="17">
        <f>Raw_Data!L1185</f>
        <v/>
      </c>
      <c r="Q1185" s="17">
        <f>O1185-P1185</f>
        <v/>
      </c>
      <c r="R1185" s="31">
        <f>IF(O1185=0,0,Q1185/O1185)</f>
        <v/>
      </c>
      <c r="S1185">
        <f>XLOOKUP(F1185,Lookups!$B$7:$B$11,Lookups!$C$7:$C$11,"Unknown")</f>
        <v/>
      </c>
      <c r="T1185" s="31">
        <f>XLOOKUP(G1185,Lookups!$E$7:$E$11,Lookups!$F$7:$F$11,0)</f>
        <v/>
      </c>
      <c r="U1185" s="32">
        <f>R1185-T1185</f>
        <v/>
      </c>
      <c r="V1185">
        <f>XLOOKUP(I1185,Lookups!$H$7:$H$10,Lookups!$I$7:$I$10,"")</f>
        <v/>
      </c>
      <c r="W1185">
        <f>IF(O1185&gt;=50000,"HIGH VALUE","")</f>
        <v/>
      </c>
      <c r="X1185">
        <f>IF(Q1185&lt;0,"LOSS","")</f>
        <v/>
      </c>
      <c r="Y1185">
        <f>IFS(M1185&gt;=0.15,"Deep Discount",M1185&gt;=0.1,"Moderate",TRUE,"Standard")</f>
        <v/>
      </c>
    </row>
    <row r="1186">
      <c r="A1186">
        <f>Raw_Data!A1186</f>
        <v/>
      </c>
      <c r="B1186" s="29">
        <f>Raw_Data!B1186</f>
        <v/>
      </c>
      <c r="C1186">
        <f>YEAR(B1186)</f>
        <v/>
      </c>
      <c r="D1186">
        <f>MONTH(B1186)</f>
        <v/>
      </c>
      <c r="E1186">
        <f>TEXT(B1186,"MMM-YYYY")</f>
        <v/>
      </c>
      <c r="F1186">
        <f>Raw_Data!C1186</f>
        <v/>
      </c>
      <c r="G1186">
        <f>Raw_Data!D1186</f>
        <v/>
      </c>
      <c r="H1186">
        <f>Raw_Data!E1186</f>
        <v/>
      </c>
      <c r="I1186">
        <f>Raw_Data!F1186</f>
        <v/>
      </c>
      <c r="J1186">
        <f>Raw_Data!G1186</f>
        <v/>
      </c>
      <c r="K1186">
        <f>Raw_Data!H1186</f>
        <v/>
      </c>
      <c r="L1186" s="30">
        <f>Raw_Data!I1186</f>
        <v/>
      </c>
      <c r="M1186" s="31">
        <f>Raw_Data!J1186</f>
        <v/>
      </c>
      <c r="N1186" s="17">
        <f>K1186*L1186</f>
        <v/>
      </c>
      <c r="O1186" s="17">
        <f>N1186*(1-M1186)</f>
        <v/>
      </c>
      <c r="P1186" s="17">
        <f>Raw_Data!L1186</f>
        <v/>
      </c>
      <c r="Q1186" s="17">
        <f>O1186-P1186</f>
        <v/>
      </c>
      <c r="R1186" s="31">
        <f>IF(O1186=0,0,Q1186/O1186)</f>
        <v/>
      </c>
      <c r="S1186">
        <f>XLOOKUP(F1186,Lookups!$B$7:$B$11,Lookups!$C$7:$C$11,"Unknown")</f>
        <v/>
      </c>
      <c r="T1186" s="31">
        <f>XLOOKUP(G1186,Lookups!$E$7:$E$11,Lookups!$F$7:$F$11,0)</f>
        <v/>
      </c>
      <c r="U1186" s="32">
        <f>R1186-T1186</f>
        <v/>
      </c>
      <c r="V1186">
        <f>XLOOKUP(I1186,Lookups!$H$7:$H$10,Lookups!$I$7:$I$10,"")</f>
        <v/>
      </c>
      <c r="W1186">
        <f>IF(O1186&gt;=50000,"HIGH VALUE","")</f>
        <v/>
      </c>
      <c r="X1186">
        <f>IF(Q1186&lt;0,"LOSS","")</f>
        <v/>
      </c>
      <c r="Y1186">
        <f>IFS(M1186&gt;=0.15,"Deep Discount",M1186&gt;=0.1,"Moderate",TRUE,"Standard")</f>
        <v/>
      </c>
    </row>
    <row r="1187">
      <c r="A1187">
        <f>Raw_Data!A1187</f>
        <v/>
      </c>
      <c r="B1187" s="29">
        <f>Raw_Data!B1187</f>
        <v/>
      </c>
      <c r="C1187">
        <f>YEAR(B1187)</f>
        <v/>
      </c>
      <c r="D1187">
        <f>MONTH(B1187)</f>
        <v/>
      </c>
      <c r="E1187">
        <f>TEXT(B1187,"MMM-YYYY")</f>
        <v/>
      </c>
      <c r="F1187">
        <f>Raw_Data!C1187</f>
        <v/>
      </c>
      <c r="G1187">
        <f>Raw_Data!D1187</f>
        <v/>
      </c>
      <c r="H1187">
        <f>Raw_Data!E1187</f>
        <v/>
      </c>
      <c r="I1187">
        <f>Raw_Data!F1187</f>
        <v/>
      </c>
      <c r="J1187">
        <f>Raw_Data!G1187</f>
        <v/>
      </c>
      <c r="K1187">
        <f>Raw_Data!H1187</f>
        <v/>
      </c>
      <c r="L1187" s="30">
        <f>Raw_Data!I1187</f>
        <v/>
      </c>
      <c r="M1187" s="31">
        <f>Raw_Data!J1187</f>
        <v/>
      </c>
      <c r="N1187" s="17">
        <f>K1187*L1187</f>
        <v/>
      </c>
      <c r="O1187" s="17">
        <f>N1187*(1-M1187)</f>
        <v/>
      </c>
      <c r="P1187" s="17">
        <f>Raw_Data!L1187</f>
        <v/>
      </c>
      <c r="Q1187" s="17">
        <f>O1187-P1187</f>
        <v/>
      </c>
      <c r="R1187" s="31">
        <f>IF(O1187=0,0,Q1187/O1187)</f>
        <v/>
      </c>
      <c r="S1187">
        <f>XLOOKUP(F1187,Lookups!$B$7:$B$11,Lookups!$C$7:$C$11,"Unknown")</f>
        <v/>
      </c>
      <c r="T1187" s="31">
        <f>XLOOKUP(G1187,Lookups!$E$7:$E$11,Lookups!$F$7:$F$11,0)</f>
        <v/>
      </c>
      <c r="U1187" s="32">
        <f>R1187-T1187</f>
        <v/>
      </c>
      <c r="V1187">
        <f>XLOOKUP(I1187,Lookups!$H$7:$H$10,Lookups!$I$7:$I$10,"")</f>
        <v/>
      </c>
      <c r="W1187">
        <f>IF(O1187&gt;=50000,"HIGH VALUE","")</f>
        <v/>
      </c>
      <c r="X1187">
        <f>IF(Q1187&lt;0,"LOSS","")</f>
        <v/>
      </c>
      <c r="Y1187">
        <f>IFS(M1187&gt;=0.15,"Deep Discount",M1187&gt;=0.1,"Moderate",TRUE,"Standard")</f>
        <v/>
      </c>
    </row>
    <row r="1188">
      <c r="A1188">
        <f>Raw_Data!A1188</f>
        <v/>
      </c>
      <c r="B1188" s="29">
        <f>Raw_Data!B1188</f>
        <v/>
      </c>
      <c r="C1188">
        <f>YEAR(B1188)</f>
        <v/>
      </c>
      <c r="D1188">
        <f>MONTH(B1188)</f>
        <v/>
      </c>
      <c r="E1188">
        <f>TEXT(B1188,"MMM-YYYY")</f>
        <v/>
      </c>
      <c r="F1188">
        <f>Raw_Data!C1188</f>
        <v/>
      </c>
      <c r="G1188">
        <f>Raw_Data!D1188</f>
        <v/>
      </c>
      <c r="H1188">
        <f>Raw_Data!E1188</f>
        <v/>
      </c>
      <c r="I1188">
        <f>Raw_Data!F1188</f>
        <v/>
      </c>
      <c r="J1188">
        <f>Raw_Data!G1188</f>
        <v/>
      </c>
      <c r="K1188">
        <f>Raw_Data!H1188</f>
        <v/>
      </c>
      <c r="L1188" s="30">
        <f>Raw_Data!I1188</f>
        <v/>
      </c>
      <c r="M1188" s="31">
        <f>Raw_Data!J1188</f>
        <v/>
      </c>
      <c r="N1188" s="17">
        <f>K1188*L1188</f>
        <v/>
      </c>
      <c r="O1188" s="17">
        <f>N1188*(1-M1188)</f>
        <v/>
      </c>
      <c r="P1188" s="17">
        <f>Raw_Data!L1188</f>
        <v/>
      </c>
      <c r="Q1188" s="17">
        <f>O1188-P1188</f>
        <v/>
      </c>
      <c r="R1188" s="31">
        <f>IF(O1188=0,0,Q1188/O1188)</f>
        <v/>
      </c>
      <c r="S1188">
        <f>XLOOKUP(F1188,Lookups!$B$7:$B$11,Lookups!$C$7:$C$11,"Unknown")</f>
        <v/>
      </c>
      <c r="T1188" s="31">
        <f>XLOOKUP(G1188,Lookups!$E$7:$E$11,Lookups!$F$7:$F$11,0)</f>
        <v/>
      </c>
      <c r="U1188" s="32">
        <f>R1188-T1188</f>
        <v/>
      </c>
      <c r="V1188">
        <f>XLOOKUP(I1188,Lookups!$H$7:$H$10,Lookups!$I$7:$I$10,"")</f>
        <v/>
      </c>
      <c r="W1188">
        <f>IF(O1188&gt;=50000,"HIGH VALUE","")</f>
        <v/>
      </c>
      <c r="X1188">
        <f>IF(Q1188&lt;0,"LOSS","")</f>
        <v/>
      </c>
      <c r="Y1188">
        <f>IFS(M1188&gt;=0.15,"Deep Discount",M1188&gt;=0.1,"Moderate",TRUE,"Standard")</f>
        <v/>
      </c>
    </row>
    <row r="1189">
      <c r="A1189">
        <f>Raw_Data!A1189</f>
        <v/>
      </c>
      <c r="B1189" s="29">
        <f>Raw_Data!B1189</f>
        <v/>
      </c>
      <c r="C1189">
        <f>YEAR(B1189)</f>
        <v/>
      </c>
      <c r="D1189">
        <f>MONTH(B1189)</f>
        <v/>
      </c>
      <c r="E1189">
        <f>TEXT(B1189,"MMM-YYYY")</f>
        <v/>
      </c>
      <c r="F1189">
        <f>Raw_Data!C1189</f>
        <v/>
      </c>
      <c r="G1189">
        <f>Raw_Data!D1189</f>
        <v/>
      </c>
      <c r="H1189">
        <f>Raw_Data!E1189</f>
        <v/>
      </c>
      <c r="I1189">
        <f>Raw_Data!F1189</f>
        <v/>
      </c>
      <c r="J1189">
        <f>Raw_Data!G1189</f>
        <v/>
      </c>
      <c r="K1189">
        <f>Raw_Data!H1189</f>
        <v/>
      </c>
      <c r="L1189" s="30">
        <f>Raw_Data!I1189</f>
        <v/>
      </c>
      <c r="M1189" s="31">
        <f>Raw_Data!J1189</f>
        <v/>
      </c>
      <c r="N1189" s="17">
        <f>K1189*L1189</f>
        <v/>
      </c>
      <c r="O1189" s="17">
        <f>N1189*(1-M1189)</f>
        <v/>
      </c>
      <c r="P1189" s="17">
        <f>Raw_Data!L1189</f>
        <v/>
      </c>
      <c r="Q1189" s="17">
        <f>O1189-P1189</f>
        <v/>
      </c>
      <c r="R1189" s="31">
        <f>IF(O1189=0,0,Q1189/O1189)</f>
        <v/>
      </c>
      <c r="S1189">
        <f>XLOOKUP(F1189,Lookups!$B$7:$B$11,Lookups!$C$7:$C$11,"Unknown")</f>
        <v/>
      </c>
      <c r="T1189" s="31">
        <f>XLOOKUP(G1189,Lookups!$E$7:$E$11,Lookups!$F$7:$F$11,0)</f>
        <v/>
      </c>
      <c r="U1189" s="32">
        <f>R1189-T1189</f>
        <v/>
      </c>
      <c r="V1189">
        <f>XLOOKUP(I1189,Lookups!$H$7:$H$10,Lookups!$I$7:$I$10,"")</f>
        <v/>
      </c>
      <c r="W1189">
        <f>IF(O1189&gt;=50000,"HIGH VALUE","")</f>
        <v/>
      </c>
      <c r="X1189">
        <f>IF(Q1189&lt;0,"LOSS","")</f>
        <v/>
      </c>
      <c r="Y1189">
        <f>IFS(M1189&gt;=0.15,"Deep Discount",M1189&gt;=0.1,"Moderate",TRUE,"Standard")</f>
        <v/>
      </c>
    </row>
    <row r="1190">
      <c r="A1190">
        <f>Raw_Data!A1190</f>
        <v/>
      </c>
      <c r="B1190" s="29">
        <f>Raw_Data!B1190</f>
        <v/>
      </c>
      <c r="C1190">
        <f>YEAR(B1190)</f>
        <v/>
      </c>
      <c r="D1190">
        <f>MONTH(B1190)</f>
        <v/>
      </c>
      <c r="E1190">
        <f>TEXT(B1190,"MMM-YYYY")</f>
        <v/>
      </c>
      <c r="F1190">
        <f>Raw_Data!C1190</f>
        <v/>
      </c>
      <c r="G1190">
        <f>Raw_Data!D1190</f>
        <v/>
      </c>
      <c r="H1190">
        <f>Raw_Data!E1190</f>
        <v/>
      </c>
      <c r="I1190">
        <f>Raw_Data!F1190</f>
        <v/>
      </c>
      <c r="J1190">
        <f>Raw_Data!G1190</f>
        <v/>
      </c>
      <c r="K1190">
        <f>Raw_Data!H1190</f>
        <v/>
      </c>
      <c r="L1190" s="30">
        <f>Raw_Data!I1190</f>
        <v/>
      </c>
      <c r="M1190" s="31">
        <f>Raw_Data!J1190</f>
        <v/>
      </c>
      <c r="N1190" s="17">
        <f>K1190*L1190</f>
        <v/>
      </c>
      <c r="O1190" s="17">
        <f>N1190*(1-M1190)</f>
        <v/>
      </c>
      <c r="P1190" s="17">
        <f>Raw_Data!L1190</f>
        <v/>
      </c>
      <c r="Q1190" s="17">
        <f>O1190-P1190</f>
        <v/>
      </c>
      <c r="R1190" s="31">
        <f>IF(O1190=0,0,Q1190/O1190)</f>
        <v/>
      </c>
      <c r="S1190">
        <f>XLOOKUP(F1190,Lookups!$B$7:$B$11,Lookups!$C$7:$C$11,"Unknown")</f>
        <v/>
      </c>
      <c r="T1190" s="31">
        <f>XLOOKUP(G1190,Lookups!$E$7:$E$11,Lookups!$F$7:$F$11,0)</f>
        <v/>
      </c>
      <c r="U1190" s="32">
        <f>R1190-T1190</f>
        <v/>
      </c>
      <c r="V1190">
        <f>XLOOKUP(I1190,Lookups!$H$7:$H$10,Lookups!$I$7:$I$10,"")</f>
        <v/>
      </c>
      <c r="W1190">
        <f>IF(O1190&gt;=50000,"HIGH VALUE","")</f>
        <v/>
      </c>
      <c r="X1190">
        <f>IF(Q1190&lt;0,"LOSS","")</f>
        <v/>
      </c>
      <c r="Y1190">
        <f>IFS(M1190&gt;=0.15,"Deep Discount",M1190&gt;=0.1,"Moderate",TRUE,"Standard")</f>
        <v/>
      </c>
    </row>
    <row r="1191">
      <c r="A1191">
        <f>Raw_Data!A1191</f>
        <v/>
      </c>
      <c r="B1191" s="29">
        <f>Raw_Data!B1191</f>
        <v/>
      </c>
      <c r="C1191">
        <f>YEAR(B1191)</f>
        <v/>
      </c>
      <c r="D1191">
        <f>MONTH(B1191)</f>
        <v/>
      </c>
      <c r="E1191">
        <f>TEXT(B1191,"MMM-YYYY")</f>
        <v/>
      </c>
      <c r="F1191">
        <f>Raw_Data!C1191</f>
        <v/>
      </c>
      <c r="G1191">
        <f>Raw_Data!D1191</f>
        <v/>
      </c>
      <c r="H1191">
        <f>Raw_Data!E1191</f>
        <v/>
      </c>
      <c r="I1191">
        <f>Raw_Data!F1191</f>
        <v/>
      </c>
      <c r="J1191">
        <f>Raw_Data!G1191</f>
        <v/>
      </c>
      <c r="K1191">
        <f>Raw_Data!H1191</f>
        <v/>
      </c>
      <c r="L1191" s="30">
        <f>Raw_Data!I1191</f>
        <v/>
      </c>
      <c r="M1191" s="31">
        <f>Raw_Data!J1191</f>
        <v/>
      </c>
      <c r="N1191" s="17">
        <f>K1191*L1191</f>
        <v/>
      </c>
      <c r="O1191" s="17">
        <f>N1191*(1-M1191)</f>
        <v/>
      </c>
      <c r="P1191" s="17">
        <f>Raw_Data!L1191</f>
        <v/>
      </c>
      <c r="Q1191" s="17">
        <f>O1191-P1191</f>
        <v/>
      </c>
      <c r="R1191" s="31">
        <f>IF(O1191=0,0,Q1191/O1191)</f>
        <v/>
      </c>
      <c r="S1191">
        <f>XLOOKUP(F1191,Lookups!$B$7:$B$11,Lookups!$C$7:$C$11,"Unknown")</f>
        <v/>
      </c>
      <c r="T1191" s="31">
        <f>XLOOKUP(G1191,Lookups!$E$7:$E$11,Lookups!$F$7:$F$11,0)</f>
        <v/>
      </c>
      <c r="U1191" s="32">
        <f>R1191-T1191</f>
        <v/>
      </c>
      <c r="V1191">
        <f>XLOOKUP(I1191,Lookups!$H$7:$H$10,Lookups!$I$7:$I$10,"")</f>
        <v/>
      </c>
      <c r="W1191">
        <f>IF(O1191&gt;=50000,"HIGH VALUE","")</f>
        <v/>
      </c>
      <c r="X1191">
        <f>IF(Q1191&lt;0,"LOSS","")</f>
        <v/>
      </c>
      <c r="Y1191">
        <f>IFS(M1191&gt;=0.15,"Deep Discount",M1191&gt;=0.1,"Moderate",TRUE,"Standard")</f>
        <v/>
      </c>
    </row>
    <row r="1192">
      <c r="A1192">
        <f>Raw_Data!A1192</f>
        <v/>
      </c>
      <c r="B1192" s="29">
        <f>Raw_Data!B1192</f>
        <v/>
      </c>
      <c r="C1192">
        <f>YEAR(B1192)</f>
        <v/>
      </c>
      <c r="D1192">
        <f>MONTH(B1192)</f>
        <v/>
      </c>
      <c r="E1192">
        <f>TEXT(B1192,"MMM-YYYY")</f>
        <v/>
      </c>
      <c r="F1192">
        <f>Raw_Data!C1192</f>
        <v/>
      </c>
      <c r="G1192">
        <f>Raw_Data!D1192</f>
        <v/>
      </c>
      <c r="H1192">
        <f>Raw_Data!E1192</f>
        <v/>
      </c>
      <c r="I1192">
        <f>Raw_Data!F1192</f>
        <v/>
      </c>
      <c r="J1192">
        <f>Raw_Data!G1192</f>
        <v/>
      </c>
      <c r="K1192">
        <f>Raw_Data!H1192</f>
        <v/>
      </c>
      <c r="L1192" s="30">
        <f>Raw_Data!I1192</f>
        <v/>
      </c>
      <c r="M1192" s="31">
        <f>Raw_Data!J1192</f>
        <v/>
      </c>
      <c r="N1192" s="17">
        <f>K1192*L1192</f>
        <v/>
      </c>
      <c r="O1192" s="17">
        <f>N1192*(1-M1192)</f>
        <v/>
      </c>
      <c r="P1192" s="17">
        <f>Raw_Data!L1192</f>
        <v/>
      </c>
      <c r="Q1192" s="17">
        <f>O1192-P1192</f>
        <v/>
      </c>
      <c r="R1192" s="31">
        <f>IF(O1192=0,0,Q1192/O1192)</f>
        <v/>
      </c>
      <c r="S1192">
        <f>XLOOKUP(F1192,Lookups!$B$7:$B$11,Lookups!$C$7:$C$11,"Unknown")</f>
        <v/>
      </c>
      <c r="T1192" s="31">
        <f>XLOOKUP(G1192,Lookups!$E$7:$E$11,Lookups!$F$7:$F$11,0)</f>
        <v/>
      </c>
      <c r="U1192" s="32">
        <f>R1192-T1192</f>
        <v/>
      </c>
      <c r="V1192">
        <f>XLOOKUP(I1192,Lookups!$H$7:$H$10,Lookups!$I$7:$I$10,"")</f>
        <v/>
      </c>
      <c r="W1192">
        <f>IF(O1192&gt;=50000,"HIGH VALUE","")</f>
        <v/>
      </c>
      <c r="X1192">
        <f>IF(Q1192&lt;0,"LOSS","")</f>
        <v/>
      </c>
      <c r="Y1192">
        <f>IFS(M1192&gt;=0.15,"Deep Discount",M1192&gt;=0.1,"Moderate",TRUE,"Standard")</f>
        <v/>
      </c>
    </row>
    <row r="1193">
      <c r="A1193">
        <f>Raw_Data!A1193</f>
        <v/>
      </c>
      <c r="B1193" s="29">
        <f>Raw_Data!B1193</f>
        <v/>
      </c>
      <c r="C1193">
        <f>YEAR(B1193)</f>
        <v/>
      </c>
      <c r="D1193">
        <f>MONTH(B1193)</f>
        <v/>
      </c>
      <c r="E1193">
        <f>TEXT(B1193,"MMM-YYYY")</f>
        <v/>
      </c>
      <c r="F1193">
        <f>Raw_Data!C1193</f>
        <v/>
      </c>
      <c r="G1193">
        <f>Raw_Data!D1193</f>
        <v/>
      </c>
      <c r="H1193">
        <f>Raw_Data!E1193</f>
        <v/>
      </c>
      <c r="I1193">
        <f>Raw_Data!F1193</f>
        <v/>
      </c>
      <c r="J1193">
        <f>Raw_Data!G1193</f>
        <v/>
      </c>
      <c r="K1193">
        <f>Raw_Data!H1193</f>
        <v/>
      </c>
      <c r="L1193" s="30">
        <f>Raw_Data!I1193</f>
        <v/>
      </c>
      <c r="M1193" s="31">
        <f>Raw_Data!J1193</f>
        <v/>
      </c>
      <c r="N1193" s="17">
        <f>K1193*L1193</f>
        <v/>
      </c>
      <c r="O1193" s="17">
        <f>N1193*(1-M1193)</f>
        <v/>
      </c>
      <c r="P1193" s="17">
        <f>Raw_Data!L1193</f>
        <v/>
      </c>
      <c r="Q1193" s="17">
        <f>O1193-P1193</f>
        <v/>
      </c>
      <c r="R1193" s="31">
        <f>IF(O1193=0,0,Q1193/O1193)</f>
        <v/>
      </c>
      <c r="S1193">
        <f>XLOOKUP(F1193,Lookups!$B$7:$B$11,Lookups!$C$7:$C$11,"Unknown")</f>
        <v/>
      </c>
      <c r="T1193" s="31">
        <f>XLOOKUP(G1193,Lookups!$E$7:$E$11,Lookups!$F$7:$F$11,0)</f>
        <v/>
      </c>
      <c r="U1193" s="32">
        <f>R1193-T1193</f>
        <v/>
      </c>
      <c r="V1193">
        <f>XLOOKUP(I1193,Lookups!$H$7:$H$10,Lookups!$I$7:$I$10,"")</f>
        <v/>
      </c>
      <c r="W1193">
        <f>IF(O1193&gt;=50000,"HIGH VALUE","")</f>
        <v/>
      </c>
      <c r="X1193">
        <f>IF(Q1193&lt;0,"LOSS","")</f>
        <v/>
      </c>
      <c r="Y1193">
        <f>IFS(M1193&gt;=0.15,"Deep Discount",M1193&gt;=0.1,"Moderate",TRUE,"Standard")</f>
        <v/>
      </c>
    </row>
    <row r="1194">
      <c r="A1194">
        <f>Raw_Data!A1194</f>
        <v/>
      </c>
      <c r="B1194" s="29">
        <f>Raw_Data!B1194</f>
        <v/>
      </c>
      <c r="C1194">
        <f>YEAR(B1194)</f>
        <v/>
      </c>
      <c r="D1194">
        <f>MONTH(B1194)</f>
        <v/>
      </c>
      <c r="E1194">
        <f>TEXT(B1194,"MMM-YYYY")</f>
        <v/>
      </c>
      <c r="F1194">
        <f>Raw_Data!C1194</f>
        <v/>
      </c>
      <c r="G1194">
        <f>Raw_Data!D1194</f>
        <v/>
      </c>
      <c r="H1194">
        <f>Raw_Data!E1194</f>
        <v/>
      </c>
      <c r="I1194">
        <f>Raw_Data!F1194</f>
        <v/>
      </c>
      <c r="J1194">
        <f>Raw_Data!G1194</f>
        <v/>
      </c>
      <c r="K1194">
        <f>Raw_Data!H1194</f>
        <v/>
      </c>
      <c r="L1194" s="30">
        <f>Raw_Data!I1194</f>
        <v/>
      </c>
      <c r="M1194" s="31">
        <f>Raw_Data!J1194</f>
        <v/>
      </c>
      <c r="N1194" s="17">
        <f>K1194*L1194</f>
        <v/>
      </c>
      <c r="O1194" s="17">
        <f>N1194*(1-M1194)</f>
        <v/>
      </c>
      <c r="P1194" s="17">
        <f>Raw_Data!L1194</f>
        <v/>
      </c>
      <c r="Q1194" s="17">
        <f>O1194-P1194</f>
        <v/>
      </c>
      <c r="R1194" s="31">
        <f>IF(O1194=0,0,Q1194/O1194)</f>
        <v/>
      </c>
      <c r="S1194">
        <f>XLOOKUP(F1194,Lookups!$B$7:$B$11,Lookups!$C$7:$C$11,"Unknown")</f>
        <v/>
      </c>
      <c r="T1194" s="31">
        <f>XLOOKUP(G1194,Lookups!$E$7:$E$11,Lookups!$F$7:$F$11,0)</f>
        <v/>
      </c>
      <c r="U1194" s="32">
        <f>R1194-T1194</f>
        <v/>
      </c>
      <c r="V1194">
        <f>XLOOKUP(I1194,Lookups!$H$7:$H$10,Lookups!$I$7:$I$10,"")</f>
        <v/>
      </c>
      <c r="W1194">
        <f>IF(O1194&gt;=50000,"HIGH VALUE","")</f>
        <v/>
      </c>
      <c r="X1194">
        <f>IF(Q1194&lt;0,"LOSS","")</f>
        <v/>
      </c>
      <c r="Y1194">
        <f>IFS(M1194&gt;=0.15,"Deep Discount",M1194&gt;=0.1,"Moderate",TRUE,"Standard")</f>
        <v/>
      </c>
    </row>
    <row r="1195">
      <c r="A1195">
        <f>Raw_Data!A1195</f>
        <v/>
      </c>
      <c r="B1195" s="29">
        <f>Raw_Data!B1195</f>
        <v/>
      </c>
      <c r="C1195">
        <f>YEAR(B1195)</f>
        <v/>
      </c>
      <c r="D1195">
        <f>MONTH(B1195)</f>
        <v/>
      </c>
      <c r="E1195">
        <f>TEXT(B1195,"MMM-YYYY")</f>
        <v/>
      </c>
      <c r="F1195">
        <f>Raw_Data!C1195</f>
        <v/>
      </c>
      <c r="G1195">
        <f>Raw_Data!D1195</f>
        <v/>
      </c>
      <c r="H1195">
        <f>Raw_Data!E1195</f>
        <v/>
      </c>
      <c r="I1195">
        <f>Raw_Data!F1195</f>
        <v/>
      </c>
      <c r="J1195">
        <f>Raw_Data!G1195</f>
        <v/>
      </c>
      <c r="K1195">
        <f>Raw_Data!H1195</f>
        <v/>
      </c>
      <c r="L1195" s="30">
        <f>Raw_Data!I1195</f>
        <v/>
      </c>
      <c r="M1195" s="31">
        <f>Raw_Data!J1195</f>
        <v/>
      </c>
      <c r="N1195" s="17">
        <f>K1195*L1195</f>
        <v/>
      </c>
      <c r="O1195" s="17">
        <f>N1195*(1-M1195)</f>
        <v/>
      </c>
      <c r="P1195" s="17">
        <f>Raw_Data!L1195</f>
        <v/>
      </c>
      <c r="Q1195" s="17">
        <f>O1195-P1195</f>
        <v/>
      </c>
      <c r="R1195" s="31">
        <f>IF(O1195=0,0,Q1195/O1195)</f>
        <v/>
      </c>
      <c r="S1195">
        <f>XLOOKUP(F1195,Lookups!$B$7:$B$11,Lookups!$C$7:$C$11,"Unknown")</f>
        <v/>
      </c>
      <c r="T1195" s="31">
        <f>XLOOKUP(G1195,Lookups!$E$7:$E$11,Lookups!$F$7:$F$11,0)</f>
        <v/>
      </c>
      <c r="U1195" s="32">
        <f>R1195-T1195</f>
        <v/>
      </c>
      <c r="V1195">
        <f>XLOOKUP(I1195,Lookups!$H$7:$H$10,Lookups!$I$7:$I$10,"")</f>
        <v/>
      </c>
      <c r="W1195">
        <f>IF(O1195&gt;=50000,"HIGH VALUE","")</f>
        <v/>
      </c>
      <c r="X1195">
        <f>IF(Q1195&lt;0,"LOSS","")</f>
        <v/>
      </c>
      <c r="Y1195">
        <f>IFS(M1195&gt;=0.15,"Deep Discount",M1195&gt;=0.1,"Moderate",TRUE,"Standard")</f>
        <v/>
      </c>
    </row>
    <row r="1196">
      <c r="A1196">
        <f>Raw_Data!A1196</f>
        <v/>
      </c>
      <c r="B1196" s="29">
        <f>Raw_Data!B1196</f>
        <v/>
      </c>
      <c r="C1196">
        <f>YEAR(B1196)</f>
        <v/>
      </c>
      <c r="D1196">
        <f>MONTH(B1196)</f>
        <v/>
      </c>
      <c r="E1196">
        <f>TEXT(B1196,"MMM-YYYY")</f>
        <v/>
      </c>
      <c r="F1196">
        <f>Raw_Data!C1196</f>
        <v/>
      </c>
      <c r="G1196">
        <f>Raw_Data!D1196</f>
        <v/>
      </c>
      <c r="H1196">
        <f>Raw_Data!E1196</f>
        <v/>
      </c>
      <c r="I1196">
        <f>Raw_Data!F1196</f>
        <v/>
      </c>
      <c r="J1196">
        <f>Raw_Data!G1196</f>
        <v/>
      </c>
      <c r="K1196">
        <f>Raw_Data!H1196</f>
        <v/>
      </c>
      <c r="L1196" s="30">
        <f>Raw_Data!I1196</f>
        <v/>
      </c>
      <c r="M1196" s="31">
        <f>Raw_Data!J1196</f>
        <v/>
      </c>
      <c r="N1196" s="17">
        <f>K1196*L1196</f>
        <v/>
      </c>
      <c r="O1196" s="17">
        <f>N1196*(1-M1196)</f>
        <v/>
      </c>
      <c r="P1196" s="17">
        <f>Raw_Data!L1196</f>
        <v/>
      </c>
      <c r="Q1196" s="17">
        <f>O1196-P1196</f>
        <v/>
      </c>
      <c r="R1196" s="31">
        <f>IF(O1196=0,0,Q1196/O1196)</f>
        <v/>
      </c>
      <c r="S1196">
        <f>XLOOKUP(F1196,Lookups!$B$7:$B$11,Lookups!$C$7:$C$11,"Unknown")</f>
        <v/>
      </c>
      <c r="T1196" s="31">
        <f>XLOOKUP(G1196,Lookups!$E$7:$E$11,Lookups!$F$7:$F$11,0)</f>
        <v/>
      </c>
      <c r="U1196" s="32">
        <f>R1196-T1196</f>
        <v/>
      </c>
      <c r="V1196">
        <f>XLOOKUP(I1196,Lookups!$H$7:$H$10,Lookups!$I$7:$I$10,"")</f>
        <v/>
      </c>
      <c r="W1196">
        <f>IF(O1196&gt;=50000,"HIGH VALUE","")</f>
        <v/>
      </c>
      <c r="X1196">
        <f>IF(Q1196&lt;0,"LOSS","")</f>
        <v/>
      </c>
      <c r="Y1196">
        <f>IFS(M1196&gt;=0.15,"Deep Discount",M1196&gt;=0.1,"Moderate",TRUE,"Standard")</f>
        <v/>
      </c>
    </row>
    <row r="1197">
      <c r="A1197">
        <f>Raw_Data!A1197</f>
        <v/>
      </c>
      <c r="B1197" s="29">
        <f>Raw_Data!B1197</f>
        <v/>
      </c>
      <c r="C1197">
        <f>YEAR(B1197)</f>
        <v/>
      </c>
      <c r="D1197">
        <f>MONTH(B1197)</f>
        <v/>
      </c>
      <c r="E1197">
        <f>TEXT(B1197,"MMM-YYYY")</f>
        <v/>
      </c>
      <c r="F1197">
        <f>Raw_Data!C1197</f>
        <v/>
      </c>
      <c r="G1197">
        <f>Raw_Data!D1197</f>
        <v/>
      </c>
      <c r="H1197">
        <f>Raw_Data!E1197</f>
        <v/>
      </c>
      <c r="I1197">
        <f>Raw_Data!F1197</f>
        <v/>
      </c>
      <c r="J1197">
        <f>Raw_Data!G1197</f>
        <v/>
      </c>
      <c r="K1197">
        <f>Raw_Data!H1197</f>
        <v/>
      </c>
      <c r="L1197" s="30">
        <f>Raw_Data!I1197</f>
        <v/>
      </c>
      <c r="M1197" s="31">
        <f>Raw_Data!J1197</f>
        <v/>
      </c>
      <c r="N1197" s="17">
        <f>K1197*L1197</f>
        <v/>
      </c>
      <c r="O1197" s="17">
        <f>N1197*(1-M1197)</f>
        <v/>
      </c>
      <c r="P1197" s="17">
        <f>Raw_Data!L1197</f>
        <v/>
      </c>
      <c r="Q1197" s="17">
        <f>O1197-P1197</f>
        <v/>
      </c>
      <c r="R1197" s="31">
        <f>IF(O1197=0,0,Q1197/O1197)</f>
        <v/>
      </c>
      <c r="S1197">
        <f>XLOOKUP(F1197,Lookups!$B$7:$B$11,Lookups!$C$7:$C$11,"Unknown")</f>
        <v/>
      </c>
      <c r="T1197" s="31">
        <f>XLOOKUP(G1197,Lookups!$E$7:$E$11,Lookups!$F$7:$F$11,0)</f>
        <v/>
      </c>
      <c r="U1197" s="32">
        <f>R1197-T1197</f>
        <v/>
      </c>
      <c r="V1197">
        <f>XLOOKUP(I1197,Lookups!$H$7:$H$10,Lookups!$I$7:$I$10,"")</f>
        <v/>
      </c>
      <c r="W1197">
        <f>IF(O1197&gt;=50000,"HIGH VALUE","")</f>
        <v/>
      </c>
      <c r="X1197">
        <f>IF(Q1197&lt;0,"LOSS","")</f>
        <v/>
      </c>
      <c r="Y1197">
        <f>IFS(M1197&gt;=0.15,"Deep Discount",M1197&gt;=0.1,"Moderate",TRUE,"Standard")</f>
        <v/>
      </c>
    </row>
    <row r="1198">
      <c r="A1198">
        <f>Raw_Data!A1198</f>
        <v/>
      </c>
      <c r="B1198" s="29">
        <f>Raw_Data!B1198</f>
        <v/>
      </c>
      <c r="C1198">
        <f>YEAR(B1198)</f>
        <v/>
      </c>
      <c r="D1198">
        <f>MONTH(B1198)</f>
        <v/>
      </c>
      <c r="E1198">
        <f>TEXT(B1198,"MMM-YYYY")</f>
        <v/>
      </c>
      <c r="F1198">
        <f>Raw_Data!C1198</f>
        <v/>
      </c>
      <c r="G1198">
        <f>Raw_Data!D1198</f>
        <v/>
      </c>
      <c r="H1198">
        <f>Raw_Data!E1198</f>
        <v/>
      </c>
      <c r="I1198">
        <f>Raw_Data!F1198</f>
        <v/>
      </c>
      <c r="J1198">
        <f>Raw_Data!G1198</f>
        <v/>
      </c>
      <c r="K1198">
        <f>Raw_Data!H1198</f>
        <v/>
      </c>
      <c r="L1198" s="30">
        <f>Raw_Data!I1198</f>
        <v/>
      </c>
      <c r="M1198" s="31">
        <f>Raw_Data!J1198</f>
        <v/>
      </c>
      <c r="N1198" s="17">
        <f>K1198*L1198</f>
        <v/>
      </c>
      <c r="O1198" s="17">
        <f>N1198*(1-M1198)</f>
        <v/>
      </c>
      <c r="P1198" s="17">
        <f>Raw_Data!L1198</f>
        <v/>
      </c>
      <c r="Q1198" s="17">
        <f>O1198-P1198</f>
        <v/>
      </c>
      <c r="R1198" s="31">
        <f>IF(O1198=0,0,Q1198/O1198)</f>
        <v/>
      </c>
      <c r="S1198">
        <f>XLOOKUP(F1198,Lookups!$B$7:$B$11,Lookups!$C$7:$C$11,"Unknown")</f>
        <v/>
      </c>
      <c r="T1198" s="31">
        <f>XLOOKUP(G1198,Lookups!$E$7:$E$11,Lookups!$F$7:$F$11,0)</f>
        <v/>
      </c>
      <c r="U1198" s="32">
        <f>R1198-T1198</f>
        <v/>
      </c>
      <c r="V1198">
        <f>XLOOKUP(I1198,Lookups!$H$7:$H$10,Lookups!$I$7:$I$10,"")</f>
        <v/>
      </c>
      <c r="W1198">
        <f>IF(O1198&gt;=50000,"HIGH VALUE","")</f>
        <v/>
      </c>
      <c r="X1198">
        <f>IF(Q1198&lt;0,"LOSS","")</f>
        <v/>
      </c>
      <c r="Y1198">
        <f>IFS(M1198&gt;=0.15,"Deep Discount",M1198&gt;=0.1,"Moderate",TRUE,"Standard")</f>
        <v/>
      </c>
    </row>
    <row r="1199">
      <c r="A1199">
        <f>Raw_Data!A1199</f>
        <v/>
      </c>
      <c r="B1199" s="29">
        <f>Raw_Data!B1199</f>
        <v/>
      </c>
      <c r="C1199">
        <f>YEAR(B1199)</f>
        <v/>
      </c>
      <c r="D1199">
        <f>MONTH(B1199)</f>
        <v/>
      </c>
      <c r="E1199">
        <f>TEXT(B1199,"MMM-YYYY")</f>
        <v/>
      </c>
      <c r="F1199">
        <f>Raw_Data!C1199</f>
        <v/>
      </c>
      <c r="G1199">
        <f>Raw_Data!D1199</f>
        <v/>
      </c>
      <c r="H1199">
        <f>Raw_Data!E1199</f>
        <v/>
      </c>
      <c r="I1199">
        <f>Raw_Data!F1199</f>
        <v/>
      </c>
      <c r="J1199">
        <f>Raw_Data!G1199</f>
        <v/>
      </c>
      <c r="K1199">
        <f>Raw_Data!H1199</f>
        <v/>
      </c>
      <c r="L1199" s="30">
        <f>Raw_Data!I1199</f>
        <v/>
      </c>
      <c r="M1199" s="31">
        <f>Raw_Data!J1199</f>
        <v/>
      </c>
      <c r="N1199" s="17">
        <f>K1199*L1199</f>
        <v/>
      </c>
      <c r="O1199" s="17">
        <f>N1199*(1-M1199)</f>
        <v/>
      </c>
      <c r="P1199" s="17">
        <f>Raw_Data!L1199</f>
        <v/>
      </c>
      <c r="Q1199" s="17">
        <f>O1199-P1199</f>
        <v/>
      </c>
      <c r="R1199" s="31">
        <f>IF(O1199=0,0,Q1199/O1199)</f>
        <v/>
      </c>
      <c r="S1199">
        <f>XLOOKUP(F1199,Lookups!$B$7:$B$11,Lookups!$C$7:$C$11,"Unknown")</f>
        <v/>
      </c>
      <c r="T1199" s="31">
        <f>XLOOKUP(G1199,Lookups!$E$7:$E$11,Lookups!$F$7:$F$11,0)</f>
        <v/>
      </c>
      <c r="U1199" s="32">
        <f>R1199-T1199</f>
        <v/>
      </c>
      <c r="V1199">
        <f>XLOOKUP(I1199,Lookups!$H$7:$H$10,Lookups!$I$7:$I$10,"")</f>
        <v/>
      </c>
      <c r="W1199">
        <f>IF(O1199&gt;=50000,"HIGH VALUE","")</f>
        <v/>
      </c>
      <c r="X1199">
        <f>IF(Q1199&lt;0,"LOSS","")</f>
        <v/>
      </c>
      <c r="Y1199">
        <f>IFS(M1199&gt;=0.15,"Deep Discount",M1199&gt;=0.1,"Moderate",TRUE,"Standard")</f>
        <v/>
      </c>
    </row>
    <row r="1200">
      <c r="A1200">
        <f>Raw_Data!A1200</f>
        <v/>
      </c>
      <c r="B1200" s="29">
        <f>Raw_Data!B1200</f>
        <v/>
      </c>
      <c r="C1200">
        <f>YEAR(B1200)</f>
        <v/>
      </c>
      <c r="D1200">
        <f>MONTH(B1200)</f>
        <v/>
      </c>
      <c r="E1200">
        <f>TEXT(B1200,"MMM-YYYY")</f>
        <v/>
      </c>
      <c r="F1200">
        <f>Raw_Data!C1200</f>
        <v/>
      </c>
      <c r="G1200">
        <f>Raw_Data!D1200</f>
        <v/>
      </c>
      <c r="H1200">
        <f>Raw_Data!E1200</f>
        <v/>
      </c>
      <c r="I1200">
        <f>Raw_Data!F1200</f>
        <v/>
      </c>
      <c r="J1200">
        <f>Raw_Data!G1200</f>
        <v/>
      </c>
      <c r="K1200">
        <f>Raw_Data!H1200</f>
        <v/>
      </c>
      <c r="L1200" s="30">
        <f>Raw_Data!I1200</f>
        <v/>
      </c>
      <c r="M1200" s="31">
        <f>Raw_Data!J1200</f>
        <v/>
      </c>
      <c r="N1200" s="17">
        <f>K1200*L1200</f>
        <v/>
      </c>
      <c r="O1200" s="17">
        <f>N1200*(1-M1200)</f>
        <v/>
      </c>
      <c r="P1200" s="17">
        <f>Raw_Data!L1200</f>
        <v/>
      </c>
      <c r="Q1200" s="17">
        <f>O1200-P1200</f>
        <v/>
      </c>
      <c r="R1200" s="31">
        <f>IF(O1200=0,0,Q1200/O1200)</f>
        <v/>
      </c>
      <c r="S1200">
        <f>XLOOKUP(F1200,Lookups!$B$7:$B$11,Lookups!$C$7:$C$11,"Unknown")</f>
        <v/>
      </c>
      <c r="T1200" s="31">
        <f>XLOOKUP(G1200,Lookups!$E$7:$E$11,Lookups!$F$7:$F$11,0)</f>
        <v/>
      </c>
      <c r="U1200" s="32">
        <f>R1200-T1200</f>
        <v/>
      </c>
      <c r="V1200">
        <f>XLOOKUP(I1200,Lookups!$H$7:$H$10,Lookups!$I$7:$I$10,"")</f>
        <v/>
      </c>
      <c r="W1200">
        <f>IF(O1200&gt;=50000,"HIGH VALUE","")</f>
        <v/>
      </c>
      <c r="X1200">
        <f>IF(Q1200&lt;0,"LOSS","")</f>
        <v/>
      </c>
      <c r="Y1200">
        <f>IFS(M1200&gt;=0.15,"Deep Discount",M1200&gt;=0.1,"Moderate",TRUE,"Standard")</f>
        <v/>
      </c>
    </row>
    <row r="1201">
      <c r="A1201">
        <f>Raw_Data!A1201</f>
        <v/>
      </c>
      <c r="B1201" s="29">
        <f>Raw_Data!B1201</f>
        <v/>
      </c>
      <c r="C1201">
        <f>YEAR(B1201)</f>
        <v/>
      </c>
      <c r="D1201">
        <f>MONTH(B1201)</f>
        <v/>
      </c>
      <c r="E1201">
        <f>TEXT(B1201,"MMM-YYYY")</f>
        <v/>
      </c>
      <c r="F1201">
        <f>Raw_Data!C1201</f>
        <v/>
      </c>
      <c r="G1201">
        <f>Raw_Data!D1201</f>
        <v/>
      </c>
      <c r="H1201">
        <f>Raw_Data!E1201</f>
        <v/>
      </c>
      <c r="I1201">
        <f>Raw_Data!F1201</f>
        <v/>
      </c>
      <c r="J1201">
        <f>Raw_Data!G1201</f>
        <v/>
      </c>
      <c r="K1201">
        <f>Raw_Data!H1201</f>
        <v/>
      </c>
      <c r="L1201" s="30">
        <f>Raw_Data!I1201</f>
        <v/>
      </c>
      <c r="M1201" s="31">
        <f>Raw_Data!J1201</f>
        <v/>
      </c>
      <c r="N1201" s="17">
        <f>K1201*L1201</f>
        <v/>
      </c>
      <c r="O1201" s="17">
        <f>N1201*(1-M1201)</f>
        <v/>
      </c>
      <c r="P1201" s="17">
        <f>Raw_Data!L1201</f>
        <v/>
      </c>
      <c r="Q1201" s="17">
        <f>O1201-P1201</f>
        <v/>
      </c>
      <c r="R1201" s="31">
        <f>IF(O1201=0,0,Q1201/O1201)</f>
        <v/>
      </c>
      <c r="S1201">
        <f>XLOOKUP(F1201,Lookups!$B$7:$B$11,Lookups!$C$7:$C$11,"Unknown")</f>
        <v/>
      </c>
      <c r="T1201" s="31">
        <f>XLOOKUP(G1201,Lookups!$E$7:$E$11,Lookups!$F$7:$F$11,0)</f>
        <v/>
      </c>
      <c r="U1201" s="32">
        <f>R1201-T1201</f>
        <v/>
      </c>
      <c r="V1201">
        <f>XLOOKUP(I1201,Lookups!$H$7:$H$10,Lookups!$I$7:$I$10,"")</f>
        <v/>
      </c>
      <c r="W1201">
        <f>IF(O1201&gt;=50000,"HIGH VALUE","")</f>
        <v/>
      </c>
      <c r="X1201">
        <f>IF(Q1201&lt;0,"LOSS","")</f>
        <v/>
      </c>
      <c r="Y1201">
        <f>IFS(M1201&gt;=0.15,"Deep Discount",M1201&gt;=0.1,"Moderate",TRUE,"Standard")</f>
        <v/>
      </c>
    </row>
    <row r="1203">
      <c r="A1203" s="33" t="inlineStr">
        <is>
          <t>NOTE: All columns C–Y are Excel formulas. XLOOKUP needs Excel 365/2021; INDEX/MATCH equivalent shown on Advanced_Formulas.</t>
        </is>
      </c>
    </row>
  </sheetData>
  <autoFilter ref="A1:Y1201"/>
  <conditionalFormatting sqref="R2:R1201">
    <cfRule type="cellIs" priority="1" operator="greaterThanOrEqual" dxfId="2">
      <formula>0.2</formula>
    </cfRule>
    <cfRule type="cellIs" priority="2" operator="lessThan" dxfId="3">
      <formula>0.1</formula>
    </cfRule>
  </conditionalFormatting>
  <conditionalFormatting sqref="U2:U1201">
    <cfRule type="cellIs" priority="3" operator="greaterThanOrEqual" dxfId="4">
      <formula>0</formula>
    </cfRule>
    <cfRule type="cellIs" priority="4" operator="lessThan" dxfId="5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8" customWidth="1" min="3" max="3"/>
    <col width="5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</cols>
  <sheetData>
    <row r="2">
      <c r="B2" s="1" t="inlineStr">
        <is>
          <t>Advanced Formulas Showcase</t>
        </is>
      </c>
    </row>
    <row r="3">
      <c r="B3" s="25" t="inlineStr">
        <is>
          <t>Labels + live formulas against Clean_Model / Raw_Data / Lookups  ·  Interview walkthrough panel</t>
        </is>
      </c>
    </row>
    <row r="5">
      <c r="B5" s="4" t="inlineStr">
        <is>
          <t>Parameters (change these)</t>
        </is>
      </c>
    </row>
    <row r="6">
      <c r="B6" t="inlineStr">
        <is>
          <t>Selected Region</t>
        </is>
      </c>
      <c r="C6" s="34" t="inlineStr">
        <is>
          <t>North</t>
        </is>
      </c>
    </row>
    <row r="7">
      <c r="B7" t="inlineStr">
        <is>
          <t>Selected Category</t>
        </is>
      </c>
      <c r="C7" s="34" t="inlineStr">
        <is>
          <t>Electronics</t>
        </is>
      </c>
    </row>
    <row r="8">
      <c r="B8" t="inlineStr">
        <is>
          <t>Selected Year</t>
        </is>
      </c>
      <c r="C8" s="34" t="n">
        <v>2025</v>
      </c>
    </row>
    <row r="9">
      <c r="B9" t="inlineStr">
        <is>
          <t>High-Value Threshold (₹)</t>
        </is>
      </c>
      <c r="C9" s="35" t="n">
        <v>50000</v>
      </c>
    </row>
    <row r="11">
      <c r="B11" s="12" t="inlineStr">
        <is>
          <t>Function / Pattern</t>
        </is>
      </c>
      <c r="C11" s="12" t="inlineStr">
        <is>
          <t>Result</t>
        </is>
      </c>
      <c r="D11" s="12" t="inlineStr">
        <is>
          <t>Formula (audit)</t>
        </is>
      </c>
    </row>
    <row r="12">
      <c r="B12" s="36" t="inlineStr">
        <is>
          <t>SUMIFS — Revenue by Region</t>
        </is>
      </c>
      <c r="C12" s="37">
        <f>SUMIFS(Clean_Model!O:O,Clean_Model!F:F,$C$6)</f>
        <v/>
      </c>
      <c r="D12" s="38">
        <f>SUMIFS(Clean_Model!O:O,Clean_Model!F:F,$C$6)</f>
        <v/>
      </c>
    </row>
    <row r="13">
      <c r="B13" s="36" t="inlineStr">
        <is>
          <t>SUMIFS — Rev Region+Category</t>
        </is>
      </c>
      <c r="C13" s="37">
        <f>SUMIFS(Clean_Model!O:O,Clean_Model!F:F,$C$6,Clean_Model!G:G,$C$7)</f>
        <v/>
      </c>
      <c r="D13" s="38">
        <f>SUMIFS(Clean_Model!O:O,Clean_Model!F:F,$C$6,Clean_Model!G:G,$C$7)</f>
        <v/>
      </c>
    </row>
    <row r="14">
      <c r="B14" s="36" t="inlineStr">
        <is>
          <t>COUNTIFS — Orders (Region+Year)</t>
        </is>
      </c>
      <c r="C14" s="39">
        <f>COUNTIFS(Clean_Model!F:F,$C$6,Clean_Model!C:C,$C$8)</f>
        <v/>
      </c>
      <c r="D14" s="38">
        <f>COUNTIFS(Clean_Model!F:F,$C$6,Clean_Model!C:C,$C$8)</f>
        <v/>
      </c>
    </row>
    <row r="15">
      <c r="B15" s="36" t="inlineStr">
        <is>
          <t>AVERAGEIFS — AOV by Segment</t>
        </is>
      </c>
      <c r="C15" s="37">
        <f>AVERAGEIFS(Clean_Model!O:O,Clean_Model!I:I,"Enterprise")</f>
        <v/>
      </c>
      <c r="D15" s="38">
        <f>AVERAGEIFS(Clean_Model!O:O,Clean_Model!I:I,"Enterprise")</f>
        <v/>
      </c>
    </row>
    <row r="16">
      <c r="B16" s="36" t="inlineStr">
        <is>
          <t>XLOOKUP — Manager for Region</t>
        </is>
      </c>
      <c r="C16" s="40">
        <f>XLOOKUP($C$6,Lookups!$B$7:$B$11,Lookups!$C$7:$C$11,"N/A")</f>
        <v/>
      </c>
      <c r="D16" s="38">
        <f>XLOOKUP($C$6,Lookups!$B$7:$B$11,Lookups!$C$7:$C$11,"N/A")</f>
        <v/>
      </c>
    </row>
    <row r="17">
      <c r="B17" s="36" t="inlineStr">
        <is>
          <t>INDEX/MATCH — Target Margin</t>
        </is>
      </c>
      <c r="C17" s="41">
        <f>INDEX(Lookups!$F$7:$F$11,MATCH($C$7,Lookups!$E$7:$E$11,0))</f>
        <v/>
      </c>
      <c r="D17" s="38">
        <f>INDEX(Lookups!$F$7:$F$11,MATCH($C$7,Lookups!$E$7:$E$11,0))</f>
        <v/>
      </c>
    </row>
    <row r="18">
      <c r="B18" s="36" t="inlineStr">
        <is>
          <t>IFS — Region tier label</t>
        </is>
      </c>
      <c r="C18" s="40">
        <f>IFS($C$6="North","Tier-A",$C$6="West","Tier-A",$C$6="South","Tier-B",TRUE,"Tier-C")</f>
        <v/>
      </c>
      <c r="D18" s="38">
        <f>IFS($C$6="North","Tier-A",$C$6="West","Tier-A",$C$6="South","Tier-B",TRUE,"Tier-C")</f>
        <v/>
      </c>
    </row>
    <row r="19">
      <c r="B19" s="36" t="inlineStr">
        <is>
          <t>Nested IF — performance band</t>
        </is>
      </c>
      <c r="C19" s="40">
        <f>IF(SUMIFS(Clean_Model!O:O,Clean_Model!F:F,$C$6)&gt;=5000000,"Star",IF(SUMIFS(Clean_Model!O:O,Clean_Model!F:F,$C$6)&gt;=2000000,"Solid","Watch"))</f>
        <v/>
      </c>
      <c r="D19" s="38">
        <f>IF(SUMIFS(...Region)&gt;=50L,"Star",IF(...&gt;=20L,"Solid","Watch"))</f>
        <v/>
      </c>
    </row>
    <row r="20">
      <c r="B20" s="36" t="inlineStr">
        <is>
          <t>TEXT — formatted period label</t>
        </is>
      </c>
      <c r="C20" s="40">
        <f>TEXT(DATE($C$8,1,1),"YYYY")&amp;" · Region "&amp;$C$6</f>
        <v/>
      </c>
      <c r="D20" s="38">
        <f>TEXT(DATE($C$8,1,1),"YYYY")&amp;" · Region "&amp;$C$6</f>
        <v/>
      </c>
    </row>
    <row r="21">
      <c r="B21" s="36" t="inlineStr">
        <is>
          <t>EOMONTH — month-end for Jan of year</t>
        </is>
      </c>
      <c r="C21" s="42">
        <f>EOMONTH(DATE($C$8,1,1),0)</f>
        <v/>
      </c>
      <c r="D21" s="38">
        <f>EOMONTH(DATE($C$8,1,1),0)</f>
        <v/>
      </c>
    </row>
    <row r="22">
      <c r="B22" s="36" t="inlineStr">
        <is>
          <t>DATE — FY start construct</t>
        </is>
      </c>
      <c r="C22" s="42">
        <f>DATE($C$8,4,1)</f>
        <v/>
      </c>
      <c r="D22" s="38">
        <f>DATE($C$8,4,1)  // illustrative India FY start</f>
        <v/>
      </c>
    </row>
    <row r="23">
      <c r="B23" s="36" t="inlineStr">
        <is>
          <t>SUMPRODUCT — unique customers (approx)</t>
        </is>
      </c>
      <c r="C23" s="43">
        <f>SUMPRODUCT((Clean_Model!F$2:F$1201=$C$6)/COUNTIFS(Clean_Model!J$2:J$1201,Clean_Model!J$2:J$1201,Clean_Model!F$2:F$1201,$C$6))</f>
        <v/>
      </c>
      <c r="D23" s="38">
        <f>SUMPRODUCT((Region=sel)/COUNTIFS(Customer,Customer,Region,sel))</f>
        <v/>
      </c>
    </row>
    <row r="24">
      <c r="B24" s="36" t="inlineStr">
        <is>
          <t>SUMPRODUCT — weighted margin</t>
        </is>
      </c>
      <c r="C24" s="41">
        <f>SUMPRODUCT((Clean_Model!F$2:F$1201=$C$6)*(Clean_Model!Q$2:Q$1201))/SUMPRODUCT((Clean_Model!F$2:F$1201=$C$6)*(Clean_Model!O$2:O$1201))</f>
        <v/>
      </c>
      <c r="D24" s="38">
        <f>SUMPRODUCT((Region=sel)*Profit)/SUMPRODUCT((Region=sel)*NetRev)</f>
        <v/>
      </c>
    </row>
    <row r="25">
      <c r="B25" s="36" t="inlineStr">
        <is>
          <t>COUNTIFS — High value orders</t>
        </is>
      </c>
      <c r="C25" s="39">
        <f>COUNTIFS(Clean_Model!O:O,"&gt;="&amp;$C$9,Clean_Model!F:F,$C$6)</f>
        <v/>
      </c>
      <c r="D25" s="38">
        <f>COUNTIFS(Clean_Model!O:O,"&gt;="&amp;$C$9,Clean_Model!F:F,$C$6)</f>
        <v/>
      </c>
    </row>
    <row r="26">
      <c r="B26" s="36" t="inlineStr">
        <is>
          <t>AVERAGEIFS — Margin % filter</t>
        </is>
      </c>
      <c r="C26" s="41">
        <f>AVERAGEIFS(Clean_Model!R:R,Clean_Model!G:G,$C$7,Clean_Model!C:C,$C$8)</f>
        <v/>
      </c>
      <c r="D26" s="38">
        <f>AVERAGEIFS(Clean_Model!R:R,Clean_Model!G:G,$C$7,Clean_Model!C:C,$C$8)</f>
        <v/>
      </c>
    </row>
    <row r="27">
      <c r="B27" s="36" t="inlineStr">
        <is>
          <t>MAXIFS — Peak order (Region)</t>
        </is>
      </c>
      <c r="C27" s="37">
        <f>MAXIFS(Clean_Model!O:O,Clean_Model!F:F,$C$6)</f>
        <v/>
      </c>
      <c r="D27" s="38">
        <f>MAXIFS(Clean_Model!O:O,Clean_Model!F:F,$C$6)</f>
        <v/>
      </c>
    </row>
    <row r="28">
      <c r="B28" s="36" t="inlineStr">
        <is>
          <t>MINIFS — Smallest order (Cat)</t>
        </is>
      </c>
      <c r="C28" s="37">
        <f>MINIFS(Clean_Model!O:O,Clean_Model!G:G,$C$7)</f>
        <v/>
      </c>
      <c r="D28" s="38">
        <f>MINIFS(Clean_Model!O:O,Clean_Model!G:G,$C$7)</f>
        <v/>
      </c>
    </row>
    <row r="29">
      <c r="B29" s="36" t="inlineStr">
        <is>
          <t>TEXTJOIN — region list</t>
        </is>
      </c>
      <c r="C29" s="40">
        <f>TEXTJOIN(" | ",TRUE,Lookups!B7:B11)</f>
        <v/>
      </c>
      <c r="D29" s="38">
        <f>TEXTJOIN(" | ",TRUE,Lookups!B7:B11)</f>
        <v/>
      </c>
    </row>
    <row r="30">
      <c r="B30" s="36" t="inlineStr">
        <is>
          <t>YoY — 2025 vs 2024 Revenue</t>
        </is>
      </c>
      <c r="C30" s="44">
        <f>SUMIFS(Clean_Model!O:O,Clean_Model!C:C,2025)/SUMIFS(Clean_Model!O:O,Clean_Model!C:C,2024)-1</f>
        <v/>
      </c>
      <c r="D30" s="38">
        <f>SUMIFS(Net,Year,2025)/SUMIFS(Net,Year,2024)-1</f>
        <v/>
      </c>
    </row>
    <row r="31">
      <c r="B31" s="36" t="inlineStr">
        <is>
          <t>IFERROR — safe divide demo</t>
        </is>
      </c>
      <c r="C31" s="41">
        <f>IFERROR(SUMIFS(Clean_Model!Q:Q,Clean_Model!F:F,$C$6)/SUMIFS(Clean_Model!O:O,Clean_Model!F:F,$C$6),0)</f>
        <v/>
      </c>
      <c r="D31" s="38">
        <f>IFERROR(Profit/Revenue for region, 0)</f>
        <v/>
      </c>
    </row>
    <row r="33">
      <c r="B33" s="4" t="inlineStr">
        <is>
          <t>RANK panel — Regions by Revenue</t>
        </is>
      </c>
    </row>
    <row r="34">
      <c r="B34" s="45" t="inlineStr">
        <is>
          <t>Region</t>
        </is>
      </c>
      <c r="C34" s="45" t="inlineStr">
        <is>
          <t>Revenue</t>
        </is>
      </c>
      <c r="D34" s="45" t="inlineStr">
        <is>
          <t>Rank</t>
        </is>
      </c>
    </row>
    <row r="35">
      <c r="B35" s="46" t="inlineStr">
        <is>
          <t>North</t>
        </is>
      </c>
      <c r="C35" s="47">
        <f>SUMIF(Clean_Model!F:F,B35,Clean_Model!O:O)</f>
        <v/>
      </c>
      <c r="D35" s="48">
        <f>RANK(C35,$C$35:$C$39,0)</f>
        <v/>
      </c>
    </row>
    <row r="36">
      <c r="B36" s="46" t="inlineStr">
        <is>
          <t>South</t>
        </is>
      </c>
      <c r="C36" s="47">
        <f>SUMIF(Clean_Model!F:F,B36,Clean_Model!O:O)</f>
        <v/>
      </c>
      <c r="D36" s="48">
        <f>RANK(C36,$C$35:$C$39,0)</f>
        <v/>
      </c>
    </row>
    <row r="37">
      <c r="B37" s="46" t="inlineStr">
        <is>
          <t>East</t>
        </is>
      </c>
      <c r="C37" s="47">
        <f>SUMIF(Clean_Model!F:F,B37,Clean_Model!O:O)</f>
        <v/>
      </c>
      <c r="D37" s="48">
        <f>RANK(C37,$C$35:$C$39,0)</f>
        <v/>
      </c>
    </row>
    <row r="38">
      <c r="B38" s="46" t="inlineStr">
        <is>
          <t>West</t>
        </is>
      </c>
      <c r="C38" s="47">
        <f>SUMIF(Clean_Model!F:F,B38,Clean_Model!O:O)</f>
        <v/>
      </c>
      <c r="D38" s="48">
        <f>RANK(C38,$C$35:$C$39,0)</f>
        <v/>
      </c>
    </row>
    <row r="39">
      <c r="B39" s="46" t="inlineStr">
        <is>
          <t>Central</t>
        </is>
      </c>
      <c r="C39" s="47">
        <f>SUMIF(Clean_Model!F:F,B39,Clean_Model!O:O)</f>
        <v/>
      </c>
      <c r="D39" s="48">
        <f>RANK(C39,$C$35:$C$39,0)</f>
        <v/>
      </c>
    </row>
    <row r="42">
      <c r="B42" s="4" t="inlineStr">
        <is>
          <t>Running Total — Monthly Net Revenue (Selected Year)</t>
        </is>
      </c>
    </row>
    <row r="43">
      <c r="B43" s="45" t="inlineStr">
        <is>
          <t>Month</t>
        </is>
      </c>
      <c r="C43" s="45" t="inlineStr">
        <is>
          <t>Month Rev</t>
        </is>
      </c>
      <c r="D43" s="45" t="inlineStr">
        <is>
          <t>Running Total</t>
        </is>
      </c>
    </row>
    <row r="44">
      <c r="B44" s="46" t="n">
        <v>1</v>
      </c>
      <c r="C44" s="47">
        <f>SUMIFS(Clean_Model!O:O,Clean_Model!C:C,$C$8,Clean_Model!D:D,B44)</f>
        <v/>
      </c>
      <c r="D44" s="47">
        <f>SUM($C$44:C44)</f>
        <v/>
      </c>
    </row>
    <row r="45">
      <c r="B45" s="46" t="n">
        <v>2</v>
      </c>
      <c r="C45" s="47">
        <f>SUMIFS(Clean_Model!O:O,Clean_Model!C:C,$C$8,Clean_Model!D:D,B45)</f>
        <v/>
      </c>
      <c r="D45" s="47">
        <f>SUM($C$44:C45)</f>
        <v/>
      </c>
    </row>
    <row r="46">
      <c r="B46" s="46" t="n">
        <v>3</v>
      </c>
      <c r="C46" s="47">
        <f>SUMIFS(Clean_Model!O:O,Clean_Model!C:C,$C$8,Clean_Model!D:D,B46)</f>
        <v/>
      </c>
      <c r="D46" s="47">
        <f>SUM($C$44:C46)</f>
        <v/>
      </c>
    </row>
    <row r="47">
      <c r="B47" s="46" t="n">
        <v>4</v>
      </c>
      <c r="C47" s="47">
        <f>SUMIFS(Clean_Model!O:O,Clean_Model!C:C,$C$8,Clean_Model!D:D,B47)</f>
        <v/>
      </c>
      <c r="D47" s="47">
        <f>SUM($C$44:C47)</f>
        <v/>
      </c>
    </row>
    <row r="48">
      <c r="B48" s="46" t="n">
        <v>5</v>
      </c>
      <c r="C48" s="47">
        <f>SUMIFS(Clean_Model!O:O,Clean_Model!C:C,$C$8,Clean_Model!D:D,B48)</f>
        <v/>
      </c>
      <c r="D48" s="47">
        <f>SUM($C$44:C48)</f>
        <v/>
      </c>
    </row>
    <row r="49">
      <c r="B49" s="46" t="n">
        <v>6</v>
      </c>
      <c r="C49" s="47">
        <f>SUMIFS(Clean_Model!O:O,Clean_Model!C:C,$C$8,Clean_Model!D:D,B49)</f>
        <v/>
      </c>
      <c r="D49" s="47">
        <f>SUM($C$44:C49)</f>
        <v/>
      </c>
    </row>
    <row r="50">
      <c r="B50" s="46" t="n">
        <v>7</v>
      </c>
      <c r="C50" s="47">
        <f>SUMIFS(Clean_Model!O:O,Clean_Model!C:C,$C$8,Clean_Model!D:D,B50)</f>
        <v/>
      </c>
      <c r="D50" s="47">
        <f>SUM($C$44:C50)</f>
        <v/>
      </c>
    </row>
    <row r="51">
      <c r="B51" s="46" t="n">
        <v>8</v>
      </c>
      <c r="C51" s="47">
        <f>SUMIFS(Clean_Model!O:O,Clean_Model!C:C,$C$8,Clean_Model!D:D,B51)</f>
        <v/>
      </c>
      <c r="D51" s="47">
        <f>SUM($C$44:C51)</f>
        <v/>
      </c>
    </row>
    <row r="52">
      <c r="B52" s="46" t="n">
        <v>9</v>
      </c>
      <c r="C52" s="47">
        <f>SUMIFS(Clean_Model!O:O,Clean_Model!C:C,$C$8,Clean_Model!D:D,B52)</f>
        <v/>
      </c>
      <c r="D52" s="47">
        <f>SUM($C$44:C52)</f>
        <v/>
      </c>
    </row>
    <row r="53">
      <c r="B53" s="46" t="n">
        <v>10</v>
      </c>
      <c r="C53" s="47">
        <f>SUMIFS(Clean_Model!O:O,Clean_Model!C:C,$C$8,Clean_Model!D:D,B53)</f>
        <v/>
      </c>
      <c r="D53" s="47">
        <f>SUM($C$44:C53)</f>
        <v/>
      </c>
    </row>
    <row r="54">
      <c r="B54" s="46" t="n">
        <v>11</v>
      </c>
      <c r="C54" s="47">
        <f>SUMIFS(Clean_Model!O:O,Clean_Model!C:C,$C$8,Clean_Model!D:D,B54)</f>
        <v/>
      </c>
      <c r="D54" s="47">
        <f>SUM($C$44:C54)</f>
        <v/>
      </c>
    </row>
    <row r="55">
      <c r="B55" s="46" t="n">
        <v>12</v>
      </c>
      <c r="C55" s="47">
        <f>SUMIFS(Clean_Model!O:O,Clean_Model!C:C,$C$8,Clean_Model!D:D,B55)</f>
        <v/>
      </c>
      <c r="D55" s="47">
        <f>SUM($C$44:C55)</f>
        <v/>
      </c>
    </row>
    <row r="58">
      <c r="B58" s="4" t="inlineStr">
        <is>
          <t>Optional — Excel 365 Dynamic Arrays</t>
        </is>
      </c>
    </row>
    <row r="59">
      <c r="B59" s="33" t="inlineStr">
        <is>
          <t>Open in Excel 365 for spill results. openpyxl writes the formulas; older Excel shows #NAME? / needs Ctrl+Shift+Enter era workarounds.</t>
        </is>
      </c>
    </row>
    <row r="61">
      <c r="B61" s="5" t="inlineStr">
        <is>
          <t>UNIQUE regions</t>
        </is>
      </c>
      <c r="C61" s="49">
        <f>UNIQUE(Clean_Model!F2:F1201)</f>
        <v/>
      </c>
      <c r="D61" s="49">
        <f>UNIQUE(Clean_Model!F2:F1201)</f>
        <v/>
      </c>
    </row>
    <row r="62">
      <c r="B62" s="5" t="inlineStr">
        <is>
          <t>SORT categories</t>
        </is>
      </c>
      <c r="C62" s="49">
        <f>SORT(UNIQUE(Clean_Model!G2:G1201))</f>
        <v/>
      </c>
      <c r="D62" s="50" t="inlineStr">
        <is>
          <t>Dynamic array — Excel 365</t>
        </is>
      </c>
    </row>
    <row r="63">
      <c r="B63" s="5" t="inlineStr">
        <is>
          <t>FILTER high-value North</t>
        </is>
      </c>
      <c r="C63" s="49">
        <f>FILTER(Clean_Model!A2:A1201,(Clean_Model!F2:F1201=$C$6)*(Clean_Model!O2:O1201&gt;=$C$9),"None")</f>
        <v/>
      </c>
      <c r="D63" s="50" t="inlineStr">
        <is>
          <t>FILTER OrderIDs where Region=param &amp; Net&gt;=threshold</t>
        </is>
      </c>
    </row>
    <row r="65">
      <c r="B65" s="5" t="inlineStr">
        <is>
          <t>VLOOKUP classic (Manager)</t>
        </is>
      </c>
      <c r="C65" s="51">
        <f>VLOOKUP($C$6,Lookups!$B$7:$C$11,2,FALSE)</f>
        <v/>
      </c>
    </row>
  </sheetData>
  <dataValidations count="3">
    <dataValidation sqref="C6" showDropDown="0" showInputMessage="0" showErrorMessage="0" allowBlank="0" type="list">
      <formula1>"North,South,East,West,Central"</formula1>
    </dataValidation>
    <dataValidation sqref="C7" showDropDown="0" showInputMessage="0" showErrorMessage="0" allowBlank="0" type="list">
      <formula1>"Electronics,Furniture,Office Supplies,Apparel,Home &amp; Kitchen"</formula1>
    </dataValidation>
    <dataValidation sqref="C8" showDropDown="0" showInputMessage="0" showErrorMessage="0" allowBlank="0" type="list">
      <formula1>"2024,2025"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2026-09-10T17:19:27Z</dcterms:created>
  <dcterms:modified xsi:type="dcterms:W3CDTF">2026-09-10T17:19:27Z</dcterms:modified>
</cp:coreProperties>
</file>